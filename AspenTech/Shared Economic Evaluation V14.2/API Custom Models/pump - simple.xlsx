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spenTech\Shared Economic Evaluation V8.8\API Custom Models\"/>
    </mc:Choice>
  </mc:AlternateContent>
  <bookViews>
    <workbookView xWindow="105" yWindow="135" windowWidth="15480" windowHeight="11640" activeTab="1"/>
  </bookViews>
  <sheets>
    <sheet name="Custom Rules" sheetId="2" r:id="rId1"/>
    <sheet name="Input" sheetId="1" r:id="rId2"/>
    <sheet name="Output" sheetId="3" r:id="rId3"/>
  </sheets>
  <calcPr calcId="152511"/>
</workbook>
</file>

<file path=xl/calcChain.xml><?xml version="1.0" encoding="utf-8"?>
<calcChain xmlns="http://schemas.openxmlformats.org/spreadsheetml/2006/main">
  <c r="J24" i="2" l="1"/>
  <c r="D6" i="3" s="1"/>
  <c r="J25" i="2"/>
  <c r="D7" i="3" s="1"/>
  <c r="D10" i="2" l="1"/>
  <c r="D11" i="2"/>
  <c r="M8" i="2"/>
  <c r="N8" i="2"/>
  <c r="E11" i="2"/>
  <c r="D8" i="3"/>
  <c r="M4" i="2"/>
  <c r="D7" i="2"/>
  <c r="E9" i="2"/>
  <c r="E10" i="2"/>
  <c r="E8" i="2"/>
  <c r="D9" i="2"/>
  <c r="D8" i="2"/>
  <c r="M7" i="2"/>
  <c r="M5" i="2"/>
  <c r="I25" i="2" s="1"/>
  <c r="C7" i="3" s="1"/>
  <c r="M6" i="2"/>
  <c r="C5" i="3"/>
  <c r="N6" i="2"/>
  <c r="N7" i="2"/>
  <c r="N5" i="2"/>
  <c r="I23" i="2"/>
  <c r="I26" i="2" l="1"/>
  <c r="C8" i="3" s="1"/>
  <c r="I24" i="2"/>
  <c r="C6" i="3" s="1"/>
</calcChain>
</file>

<file path=xl/sharedStrings.xml><?xml version="1.0" encoding="utf-8"?>
<sst xmlns="http://schemas.openxmlformats.org/spreadsheetml/2006/main" count="69" uniqueCount="31">
  <si>
    <t>Value</t>
  </si>
  <si>
    <t>Units</t>
  </si>
  <si>
    <t>Stream Name</t>
  </si>
  <si>
    <t>Connection Stream Information</t>
  </si>
  <si>
    <t>Item Information</t>
  </si>
  <si>
    <t>Equipment Name</t>
  </si>
  <si>
    <t>User Model Output Template</t>
  </si>
  <si>
    <t>Stream Direction</t>
  </si>
  <si>
    <t>User Model Input Template</t>
  </si>
  <si>
    <t>Project Component Type</t>
  </si>
  <si>
    <t>CpDesignGaugePressure</t>
  </si>
  <si>
    <t>CpDesignTemperature</t>
  </si>
  <si>
    <t>Component Name</t>
  </si>
  <si>
    <t>Design Temperature</t>
  </si>
  <si>
    <t>Customized Pump</t>
  </si>
  <si>
    <t>Temperature</t>
  </si>
  <si>
    <t>Pressure</t>
  </si>
  <si>
    <t>Total Mass Flow</t>
  </si>
  <si>
    <t>Description</t>
  </si>
  <si>
    <r>
      <t>P</t>
    </r>
    <r>
      <rPr>
        <vertAlign val="subscript"/>
        <sz val="10"/>
        <color indexed="10"/>
        <rFont val="Arial"/>
        <family val="2"/>
      </rPr>
      <t>custom</t>
    </r>
    <r>
      <rPr>
        <sz val="10"/>
        <color indexed="10"/>
        <rFont val="Arial"/>
        <family val="2"/>
      </rPr>
      <t xml:space="preserve"> = Picarus(high) * 1.1</t>
    </r>
  </si>
  <si>
    <r>
      <t>T</t>
    </r>
    <r>
      <rPr>
        <vertAlign val="subscript"/>
        <sz val="10"/>
        <color indexed="10"/>
        <rFont val="Arial"/>
        <family val="2"/>
      </rPr>
      <t>custom</t>
    </r>
    <r>
      <rPr>
        <sz val="10"/>
        <color indexed="10"/>
        <rFont val="Arial"/>
        <family val="2"/>
      </rPr>
      <t xml:space="preserve"> = Ticarus(high) +50</t>
    </r>
  </si>
  <si>
    <t>Liquid Flow Rate</t>
  </si>
  <si>
    <r>
      <t>FlowRate</t>
    </r>
    <r>
      <rPr>
        <vertAlign val="subscript"/>
        <sz val="10"/>
        <color indexed="10"/>
        <rFont val="Arial"/>
        <family val="2"/>
      </rPr>
      <t>custom</t>
    </r>
    <r>
      <rPr>
        <sz val="10"/>
        <color indexed="10"/>
        <rFont val="Arial"/>
        <family val="2"/>
      </rPr>
      <t xml:space="preserve"> = FlowRate</t>
    </r>
    <r>
      <rPr>
        <vertAlign val="subscript"/>
        <sz val="10"/>
        <color indexed="10"/>
        <rFont val="Arial"/>
        <family val="2"/>
      </rPr>
      <t>icarus</t>
    </r>
    <r>
      <rPr>
        <sz val="10"/>
        <color indexed="10"/>
        <rFont val="Arial"/>
        <family val="2"/>
      </rPr>
      <t>(high)</t>
    </r>
  </si>
  <si>
    <t>CpLiquidFlowrate</t>
  </si>
  <si>
    <t>Liquid Mass Density</t>
  </si>
  <si>
    <t>Design Gauge Pressure</t>
  </si>
  <si>
    <t>DEG F</t>
  </si>
  <si>
    <t>PSIA</t>
  </si>
  <si>
    <t>LB/H</t>
  </si>
  <si>
    <t>PCF</t>
  </si>
  <si>
    <t>CFH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</si>
</sst>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vertAlign val="subscript"/>
      <sz val="10"/>
      <color indexed="10"/>
      <name val="Arial"/>
      <family val="2"/>
    </font>
    <font>
      <sz val="10"/>
      <color indexed="8"/>
      <name val="Arial"/>
    </font>
    <font>
      <b/>
      <sz val="10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0" fillId="2" borderId="7" xfId="0" applyFill="1" applyBorder="1"/>
    <xf numFmtId="0" fontId="0" fillId="4" borderId="8" xfId="0" applyFill="1" applyBorder="1"/>
    <xf numFmtId="49" fontId="1" fillId="0" borderId="5" xfId="0" applyNumberFormat="1" applyFont="1" applyBorder="1"/>
    <xf numFmtId="0" fontId="0" fillId="0" borderId="5" xfId="0" applyBorder="1"/>
    <xf numFmtId="49" fontId="1" fillId="0" borderId="6" xfId="0" applyNumberFormat="1" applyFont="1" applyBorder="1"/>
    <xf numFmtId="0" fontId="0" fillId="0" borderId="6" xfId="0" applyBorder="1"/>
    <xf numFmtId="0" fontId="0" fillId="2" borderId="8" xfId="0" applyFill="1" applyBorder="1"/>
    <xf numFmtId="0" fontId="1" fillId="5" borderId="10" xfId="0" applyFont="1" applyFill="1" applyBorder="1"/>
    <xf numFmtId="0" fontId="1" fillId="5" borderId="11" xfId="0" applyFont="1" applyFill="1" applyBorder="1"/>
    <xf numFmtId="164" fontId="1" fillId="0" borderId="12" xfId="0" applyNumberFormat="1" applyFont="1" applyBorder="1"/>
    <xf numFmtId="49" fontId="1" fillId="0" borderId="12" xfId="0" applyNumberFormat="1" applyFont="1" applyBorder="1"/>
    <xf numFmtId="49" fontId="1" fillId="0" borderId="13" xfId="0" applyNumberFormat="1" applyFont="1" applyBorder="1"/>
    <xf numFmtId="0" fontId="8" fillId="0" borderId="0" xfId="0" applyFont="1" applyFill="1"/>
    <xf numFmtId="0" fontId="10" fillId="0" borderId="0" xfId="0" applyFont="1"/>
    <xf numFmtId="0" fontId="6" fillId="4" borderId="14" xfId="0" applyFont="1" applyFill="1" applyBorder="1" applyAlignment="1">
      <alignment horizontal="right"/>
    </xf>
    <xf numFmtId="0" fontId="6" fillId="4" borderId="11" xfId="0" applyFont="1" applyFill="1" applyBorder="1" applyAlignment="1">
      <alignment horizontal="right"/>
    </xf>
    <xf numFmtId="0" fontId="6" fillId="4" borderId="0" xfId="0" applyFont="1" applyFill="1" applyBorder="1" applyAlignment="1">
      <alignment horizontal="right"/>
    </xf>
    <xf numFmtId="0" fontId="6" fillId="4" borderId="15" xfId="0" applyFont="1" applyFill="1" applyBorder="1" applyAlignment="1">
      <alignment horizontal="right"/>
    </xf>
    <xf numFmtId="0" fontId="6" fillId="4" borderId="16" xfId="0" applyFont="1" applyFill="1" applyBorder="1" applyAlignment="1">
      <alignment horizontal="right"/>
    </xf>
    <xf numFmtId="0" fontId="6" fillId="4" borderId="17" xfId="0" applyFont="1" applyFill="1" applyBorder="1" applyAlignment="1">
      <alignment horizontal="right"/>
    </xf>
    <xf numFmtId="0" fontId="1" fillId="0" borderId="5" xfId="0" applyFont="1" applyBorder="1"/>
    <xf numFmtId="0" fontId="0" fillId="4" borderId="2" xfId="0" applyFill="1" applyBorder="1"/>
    <xf numFmtId="0" fontId="1" fillId="0" borderId="17" xfId="0" applyFont="1" applyBorder="1"/>
    <xf numFmtId="0" fontId="1" fillId="0" borderId="18" xfId="0" applyFont="1" applyBorder="1"/>
    <xf numFmtId="0" fontId="1" fillId="0" borderId="13" xfId="0" applyFont="1" applyBorder="1"/>
    <xf numFmtId="164" fontId="11" fillId="0" borderId="5" xfId="0" applyNumberFormat="1" applyFont="1" applyBorder="1"/>
    <xf numFmtId="164" fontId="11" fillId="0" borderId="18" xfId="0" applyNumberFormat="1" applyFont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3" borderId="4" xfId="0" applyFont="1" applyFill="1" applyBorder="1"/>
    <xf numFmtId="0" fontId="2" fillId="3" borderId="2" xfId="0" applyFont="1" applyFill="1" applyBorder="1"/>
    <xf numFmtId="0" fontId="1" fillId="0" borderId="9" xfId="0" applyFont="1" applyBorder="1"/>
    <xf numFmtId="2" fontId="6" fillId="0" borderId="11" xfId="0" applyNumberFormat="1" applyFont="1" applyFill="1" applyBorder="1" applyAlignment="1">
      <alignment horizontal="right"/>
    </xf>
    <xf numFmtId="2" fontId="6" fillId="0" borderId="15" xfId="0" applyNumberFormat="1" applyFont="1" applyFill="1" applyBorder="1" applyAlignment="1">
      <alignment horizontal="right"/>
    </xf>
    <xf numFmtId="2" fontId="6" fillId="0" borderId="17" xfId="0" applyNumberFormat="1" applyFont="1" applyFill="1" applyBorder="1" applyAlignment="1">
      <alignment horizontal="right"/>
    </xf>
    <xf numFmtId="2" fontId="6" fillId="0" borderId="19" xfId="0" applyNumberFormat="1" applyFont="1" applyFill="1" applyBorder="1" applyAlignment="1">
      <alignment horizontal="right"/>
    </xf>
    <xf numFmtId="2" fontId="6" fillId="0" borderId="20" xfId="0" applyNumberFormat="1" applyFont="1" applyFill="1" applyBorder="1" applyAlignment="1">
      <alignment horizontal="right"/>
    </xf>
    <xf numFmtId="2" fontId="6" fillId="0" borderId="21" xfId="0" applyNumberFormat="1" applyFont="1" applyFill="1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5" fillId="4" borderId="21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3</xdr:row>
      <xdr:rowOff>19050</xdr:rowOff>
    </xdr:from>
    <xdr:to>
      <xdr:col>8</xdr:col>
      <xdr:colOff>400050</xdr:colOff>
      <xdr:row>15</xdr:row>
      <xdr:rowOff>19050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3571875" y="514350"/>
          <a:ext cx="2019300" cy="1990725"/>
          <a:chOff x="311" y="170"/>
          <a:chExt cx="251" cy="244"/>
        </a:xfrm>
      </xdr:grpSpPr>
      <xdr:sp macro="" textlink="">
        <xdr:nvSpPr>
          <xdr:cNvPr id="1028" name="AutoShape 4"/>
          <xdr:cNvSpPr>
            <a:spLocks noChangeArrowheads="1"/>
          </xdr:cNvSpPr>
        </xdr:nvSpPr>
        <xdr:spPr bwMode="auto">
          <a:xfrm flipV="1">
            <a:off x="311" y="323"/>
            <a:ext cx="251" cy="91"/>
          </a:xfrm>
          <a:custGeom>
            <a:avLst/>
            <a:gdLst>
              <a:gd name="G0" fmla="+- 5249 0 0"/>
              <a:gd name="G1" fmla="+- 21600 0 5249"/>
              <a:gd name="G2" fmla="*/ 5249 1 2"/>
              <a:gd name="G3" fmla="+- 21600 0 G2"/>
              <a:gd name="G4" fmla="+/ 5249 21600 2"/>
              <a:gd name="G5" fmla="+/ G1 0 2"/>
              <a:gd name="G6" fmla="*/ 21600 21600 5249"/>
              <a:gd name="G7" fmla="*/ G6 1 2"/>
              <a:gd name="G8" fmla="+- 21600 0 G7"/>
              <a:gd name="G9" fmla="*/ 21600 1 2"/>
              <a:gd name="G10" fmla="+- 5249 0 G9"/>
              <a:gd name="G11" fmla="?: G10 G8 0"/>
              <a:gd name="G12" fmla="?: G10 G7 21600"/>
              <a:gd name="T0" fmla="*/ 18975 w 21600"/>
              <a:gd name="T1" fmla="*/ 10800 h 21600"/>
              <a:gd name="T2" fmla="*/ 10800 w 21600"/>
              <a:gd name="T3" fmla="*/ 21600 h 21600"/>
              <a:gd name="T4" fmla="*/ 2625 w 21600"/>
              <a:gd name="T5" fmla="*/ 10800 h 21600"/>
              <a:gd name="T6" fmla="*/ 10800 w 21600"/>
              <a:gd name="T7" fmla="*/ 0 h 21600"/>
              <a:gd name="T8" fmla="*/ 4425 w 21600"/>
              <a:gd name="T9" fmla="*/ 4425 h 21600"/>
              <a:gd name="T10" fmla="*/ 17175 w 21600"/>
              <a:gd name="T11" fmla="*/ 17175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T8" t="T9" r="T10" b="T11"/>
            <a:pathLst>
              <a:path w="21600" h="21600">
                <a:moveTo>
                  <a:pt x="0" y="0"/>
                </a:moveTo>
                <a:lnTo>
                  <a:pt x="5249" y="21600"/>
                </a:lnTo>
                <a:lnTo>
                  <a:pt x="16351" y="21600"/>
                </a:lnTo>
                <a:lnTo>
                  <a:pt x="21600" y="0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FF"/>
            </a:solidFill>
            <a:miter lim="800000"/>
            <a:headEnd/>
            <a:tailEnd/>
          </a:ln>
        </xdr:spPr>
      </xdr:sp>
      <xdr:sp macro="" textlink="">
        <xdr:nvSpPr>
          <xdr:cNvPr id="1029" name="Oval 5"/>
          <xdr:cNvSpPr>
            <a:spLocks noChangeArrowheads="1"/>
          </xdr:cNvSpPr>
        </xdr:nvSpPr>
        <xdr:spPr bwMode="auto">
          <a:xfrm>
            <a:off x="326" y="170"/>
            <a:ext cx="211" cy="201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FF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209550</xdr:colOff>
      <xdr:row>8</xdr:row>
      <xdr:rowOff>114300</xdr:rowOff>
    </xdr:from>
    <xdr:to>
      <xdr:col>14</xdr:col>
      <xdr:colOff>171450</xdr:colOff>
      <xdr:row>8</xdr:row>
      <xdr:rowOff>114300</xdr:rowOff>
    </xdr:to>
    <xdr:sp macro="" textlink="">
      <xdr:nvSpPr>
        <xdr:cNvPr id="1032" name="Line 8"/>
        <xdr:cNvSpPr>
          <a:spLocks noChangeShapeType="1"/>
        </xdr:cNvSpPr>
      </xdr:nvSpPr>
      <xdr:spPr bwMode="auto">
        <a:xfrm flipV="1">
          <a:off x="5400675" y="1457325"/>
          <a:ext cx="41719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95250</xdr:colOff>
      <xdr:row>13</xdr:row>
      <xdr:rowOff>9525</xdr:rowOff>
    </xdr:from>
    <xdr:to>
      <xdr:col>5</xdr:col>
      <xdr:colOff>457200</xdr:colOff>
      <xdr:row>13</xdr:row>
      <xdr:rowOff>9525</xdr:rowOff>
    </xdr:to>
    <xdr:sp macro="" textlink="">
      <xdr:nvSpPr>
        <xdr:cNvPr id="1033" name="Line 9"/>
        <xdr:cNvSpPr>
          <a:spLocks noChangeShapeType="1"/>
        </xdr:cNvSpPr>
      </xdr:nvSpPr>
      <xdr:spPr bwMode="auto">
        <a:xfrm flipV="1">
          <a:off x="95250" y="2171700"/>
          <a:ext cx="37242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6"/>
  <sheetViews>
    <sheetView workbookViewId="0">
      <selection activeCell="J27" sqref="J27"/>
    </sheetView>
  </sheetViews>
  <sheetFormatPr defaultRowHeight="12.75" x14ac:dyDescent="0.2"/>
  <cols>
    <col min="4" max="4" width="11" customWidth="1"/>
    <col min="5" max="5" width="12" customWidth="1"/>
    <col min="9" max="9" width="14.140625" customWidth="1"/>
    <col min="10" max="10" width="12.42578125" customWidth="1"/>
  </cols>
  <sheetData>
    <row r="3" spans="1:14" ht="13.5" thickBot="1" x14ac:dyDescent="0.25"/>
    <row r="4" spans="1:14" ht="13.5" thickBot="1" x14ac:dyDescent="0.25">
      <c r="J4" s="76" t="s">
        <v>2</v>
      </c>
      <c r="K4" s="77"/>
      <c r="L4" s="79"/>
      <c r="M4" s="63">
        <f>Input!E41</f>
        <v>0</v>
      </c>
      <c r="N4" s="64"/>
    </row>
    <row r="5" spans="1:14" x14ac:dyDescent="0.2">
      <c r="J5" s="65" t="s">
        <v>15</v>
      </c>
      <c r="K5" s="66"/>
      <c r="L5" s="67"/>
      <c r="M5" s="43" t="str">
        <f>IF(Input!E44="","",Input!E44)</f>
        <v/>
      </c>
      <c r="N5" s="40" t="str">
        <f>IF(Input!F44="","",Input!F44)</f>
        <v>DEG F</v>
      </c>
    </row>
    <row r="6" spans="1:14" ht="13.5" thickBot="1" x14ac:dyDescent="0.25">
      <c r="J6" s="60" t="s">
        <v>16</v>
      </c>
      <c r="K6" s="61"/>
      <c r="L6" s="62"/>
      <c r="M6" s="44" t="str">
        <f>IF(Input!E45="","",Input!E45)</f>
        <v/>
      </c>
      <c r="N6" s="41" t="str">
        <f>IF(Input!F45="","",Input!F45)</f>
        <v>PSIA</v>
      </c>
    </row>
    <row r="7" spans="1:14" ht="13.5" thickBot="1" x14ac:dyDescent="0.25">
      <c r="A7" s="76" t="s">
        <v>2</v>
      </c>
      <c r="B7" s="77"/>
      <c r="C7" s="77"/>
      <c r="D7" s="78">
        <f>Input!C41</f>
        <v>0</v>
      </c>
      <c r="E7" s="64"/>
      <c r="J7" s="60" t="s">
        <v>17</v>
      </c>
      <c r="K7" s="61"/>
      <c r="L7" s="62"/>
      <c r="M7" s="44" t="str">
        <f>IF(Input!E46="","",Input!E46)</f>
        <v/>
      </c>
      <c r="N7" s="41" t="str">
        <f>IF(Input!F46="","",Input!F46)</f>
        <v>LB/H</v>
      </c>
    </row>
    <row r="8" spans="1:14" ht="13.5" thickBot="1" x14ac:dyDescent="0.25">
      <c r="A8" s="65" t="s">
        <v>15</v>
      </c>
      <c r="B8" s="66"/>
      <c r="C8" s="67"/>
      <c r="D8" s="43" t="str">
        <f>IF(Input!C44="","",Input!C44)</f>
        <v/>
      </c>
      <c r="E8" s="40" t="str">
        <f>IF(Input!D44="","",Input!D44)</f>
        <v>DEG F</v>
      </c>
      <c r="J8" s="57" t="s">
        <v>24</v>
      </c>
      <c r="K8" s="58"/>
      <c r="L8" s="59"/>
      <c r="M8" s="45" t="str">
        <f>IF(Input!E47="","",Input!E47)</f>
        <v/>
      </c>
      <c r="N8" s="42" t="str">
        <f>IF(Input!F47="","",Input!F47)</f>
        <v>PCF</v>
      </c>
    </row>
    <row r="9" spans="1:14" x14ac:dyDescent="0.2">
      <c r="A9" s="60" t="s">
        <v>16</v>
      </c>
      <c r="B9" s="61"/>
      <c r="C9" s="62"/>
      <c r="D9" s="44" t="str">
        <f>IF(Input!C45="","",Input!C45)</f>
        <v/>
      </c>
      <c r="E9" s="41" t="str">
        <f>IF(Input!D45="","",Input!D45)</f>
        <v>PSIA</v>
      </c>
    </row>
    <row r="10" spans="1:14" x14ac:dyDescent="0.2">
      <c r="A10" s="60" t="s">
        <v>17</v>
      </c>
      <c r="B10" s="61"/>
      <c r="C10" s="62"/>
      <c r="D10" s="44" t="str">
        <f>IF(Input!C46="","",Input!C46)</f>
        <v/>
      </c>
      <c r="E10" s="41" t="str">
        <f>IF(Input!D46="","",Input!D46)</f>
        <v>LB/H</v>
      </c>
    </row>
    <row r="11" spans="1:14" ht="13.5" thickBot="1" x14ac:dyDescent="0.25">
      <c r="A11" s="57" t="s">
        <v>24</v>
      </c>
      <c r="B11" s="58"/>
      <c r="C11" s="59"/>
      <c r="D11" s="45" t="str">
        <f>IF(Input!C47="","",Input!C47)</f>
        <v/>
      </c>
      <c r="E11" s="42" t="str">
        <f>IF(Input!D47="","",Input!D47)</f>
        <v>PCF</v>
      </c>
    </row>
    <row r="16" spans="1:14" ht="13.5" thickBot="1" x14ac:dyDescent="0.25"/>
    <row r="17" spans="6:15" ht="13.5" thickBot="1" x14ac:dyDescent="0.25">
      <c r="F17" s="70" t="s">
        <v>14</v>
      </c>
      <c r="G17" s="71"/>
      <c r="H17" s="71"/>
      <c r="I17" s="72"/>
    </row>
    <row r="20" spans="6:15" ht="15.75" x14ac:dyDescent="0.3">
      <c r="F20" s="20" t="s">
        <v>19</v>
      </c>
    </row>
    <row r="21" spans="6:15" ht="15.75" x14ac:dyDescent="0.3">
      <c r="F21" s="20" t="s">
        <v>20</v>
      </c>
      <c r="O21" s="21"/>
    </row>
    <row r="22" spans="6:15" ht="16.5" thickBot="1" x14ac:dyDescent="0.35">
      <c r="F22" s="20" t="s">
        <v>22</v>
      </c>
    </row>
    <row r="23" spans="6:15" ht="13.5" thickBot="1" x14ac:dyDescent="0.25">
      <c r="F23" s="73" t="s">
        <v>12</v>
      </c>
      <c r="G23" s="74"/>
      <c r="H23" s="75"/>
      <c r="I23" s="68" t="str">
        <f>IF(Input!C5="","",Input!C5)</f>
        <v/>
      </c>
      <c r="J23" s="69"/>
    </row>
    <row r="24" spans="6:15" x14ac:dyDescent="0.2">
      <c r="F24" s="51" t="s">
        <v>25</v>
      </c>
      <c r="G24" s="52"/>
      <c r="H24" s="53"/>
      <c r="I24" s="22" t="e">
        <f>IF(D9&gt;M6,D9*1.1,M6*1.1)</f>
        <v>#VALUE!</v>
      </c>
      <c r="J24" s="23" t="str">
        <f>Input!F45</f>
        <v>PSIA</v>
      </c>
    </row>
    <row r="25" spans="6:15" x14ac:dyDescent="0.2">
      <c r="F25" s="54" t="s">
        <v>13</v>
      </c>
      <c r="G25" s="55"/>
      <c r="H25" s="56"/>
      <c r="I25" s="24" t="e">
        <f>IF(D8&gt;M5,D8+50,M5+50)</f>
        <v>#VALUE!</v>
      </c>
      <c r="J25" s="25" t="str">
        <f>Input!F44</f>
        <v>DEG F</v>
      </c>
    </row>
    <row r="26" spans="6:15" ht="13.5" thickBot="1" x14ac:dyDescent="0.25">
      <c r="F26" s="48" t="s">
        <v>21</v>
      </c>
      <c r="G26" s="49"/>
      <c r="H26" s="50"/>
      <c r="I26" s="26" t="e">
        <f>IF(D10/D11&gt;M7/M8,D10/D11,M7/M8)</f>
        <v>#VALUE!</v>
      </c>
      <c r="J26" s="27" t="s">
        <v>30</v>
      </c>
    </row>
  </sheetData>
  <mergeCells count="18">
    <mergeCell ref="A7:C7"/>
    <mergeCell ref="D7:E7"/>
    <mergeCell ref="J4:L4"/>
    <mergeCell ref="A8:C8"/>
    <mergeCell ref="J8:L8"/>
    <mergeCell ref="M4:N4"/>
    <mergeCell ref="J5:L5"/>
    <mergeCell ref="J6:L6"/>
    <mergeCell ref="I23:J23"/>
    <mergeCell ref="F17:I17"/>
    <mergeCell ref="F23:H23"/>
    <mergeCell ref="J7:L7"/>
    <mergeCell ref="F26:H26"/>
    <mergeCell ref="F24:H24"/>
    <mergeCell ref="F25:H25"/>
    <mergeCell ref="A11:C11"/>
    <mergeCell ref="A9:C9"/>
    <mergeCell ref="A10:C10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7"/>
  <sheetViews>
    <sheetView tabSelected="1" topLeftCell="A19" workbookViewId="0">
      <selection activeCell="C35" sqref="C35"/>
    </sheetView>
  </sheetViews>
  <sheetFormatPr defaultRowHeight="12.75" x14ac:dyDescent="0.2"/>
  <cols>
    <col min="1" max="1" width="11.7109375" customWidth="1"/>
    <col min="2" max="2" width="43.85546875" bestFit="1" customWidth="1"/>
    <col min="3" max="3" width="21.7109375" bestFit="1" customWidth="1"/>
    <col min="4" max="4" width="15.710937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 x14ac:dyDescent="0.2">
      <c r="B1" s="80" t="s">
        <v>8</v>
      </c>
      <c r="C1" s="80"/>
      <c r="D1" s="80"/>
    </row>
    <row r="3" spans="2:4" ht="13.5" thickBot="1" x14ac:dyDescent="0.25">
      <c r="B3" s="81" t="s">
        <v>9</v>
      </c>
      <c r="C3" s="81"/>
      <c r="D3" s="81"/>
    </row>
    <row r="4" spans="2:4" ht="13.5" thickBot="1" x14ac:dyDescent="0.25">
      <c r="B4" s="3" t="s">
        <v>4</v>
      </c>
      <c r="C4" s="3" t="s">
        <v>0</v>
      </c>
      <c r="D4" s="1" t="s">
        <v>1</v>
      </c>
    </row>
    <row r="5" spans="2:4" x14ac:dyDescent="0.2">
      <c r="B5" s="4" t="s">
        <v>5</v>
      </c>
      <c r="C5" s="5"/>
      <c r="D5" s="7"/>
    </row>
    <row r="6" spans="2:4" x14ac:dyDescent="0.2">
      <c r="B6" s="8" t="s">
        <v>10</v>
      </c>
      <c r="C6" s="5"/>
      <c r="D6" s="7"/>
    </row>
    <row r="7" spans="2:4" x14ac:dyDescent="0.2">
      <c r="B7" s="2" t="s">
        <v>11</v>
      </c>
      <c r="C7" s="5"/>
      <c r="D7" s="7"/>
    </row>
    <row r="8" spans="2:4" ht="13.5" thickBot="1" x14ac:dyDescent="0.25">
      <c r="B8" s="14" t="s">
        <v>23</v>
      </c>
      <c r="C8" s="31"/>
      <c r="D8" s="30"/>
    </row>
    <row r="37" spans="2:14" x14ac:dyDescent="0.2">
      <c r="K37" s="46"/>
      <c r="L37" s="46"/>
      <c r="M37" s="46"/>
      <c r="N37" s="46"/>
    </row>
    <row r="38" spans="2:14" x14ac:dyDescent="0.2">
      <c r="K38" s="46"/>
      <c r="L38" s="46"/>
      <c r="M38" s="46"/>
      <c r="N38" s="46"/>
    </row>
    <row r="39" spans="2:14" ht="13.5" thickBot="1" x14ac:dyDescent="0.25">
      <c r="K39" s="46"/>
      <c r="L39" s="46"/>
      <c r="M39" s="46"/>
      <c r="N39" s="46"/>
    </row>
    <row r="40" spans="2:14" ht="13.5" thickBot="1" x14ac:dyDescent="0.25">
      <c r="B40" s="35" t="s">
        <v>3</v>
      </c>
      <c r="C40" s="36" t="s">
        <v>0</v>
      </c>
      <c r="D40" s="36" t="s">
        <v>1</v>
      </c>
      <c r="E40" s="35" t="s">
        <v>0</v>
      </c>
      <c r="F40" s="36" t="s">
        <v>1</v>
      </c>
      <c r="K40" s="46"/>
      <c r="L40" s="46"/>
      <c r="M40" s="47"/>
      <c r="N40" s="46"/>
    </row>
    <row r="41" spans="2:14" x14ac:dyDescent="0.2">
      <c r="B41" s="37" t="s">
        <v>2</v>
      </c>
      <c r="C41" s="17"/>
      <c r="D41" s="18"/>
      <c r="E41" s="17"/>
      <c r="F41" s="19"/>
      <c r="K41" s="46"/>
      <c r="L41" s="46"/>
      <c r="M41" s="47"/>
      <c r="N41" s="46"/>
    </row>
    <row r="42" spans="2:14" x14ac:dyDescent="0.2">
      <c r="B42" s="38" t="s">
        <v>7</v>
      </c>
      <c r="C42" s="5"/>
      <c r="D42" s="10"/>
      <c r="E42" s="5"/>
      <c r="F42" s="12"/>
      <c r="K42" s="46"/>
      <c r="L42" s="46"/>
      <c r="M42" s="47"/>
      <c r="N42" s="46"/>
    </row>
    <row r="43" spans="2:14" x14ac:dyDescent="0.2">
      <c r="B43" s="2" t="s">
        <v>18</v>
      </c>
      <c r="C43" s="28"/>
      <c r="D43" s="28"/>
      <c r="E43" s="28"/>
      <c r="F43" s="7"/>
      <c r="K43" s="46"/>
      <c r="L43" s="46"/>
      <c r="M43" s="46"/>
      <c r="N43" s="46"/>
    </row>
    <row r="44" spans="2:14" x14ac:dyDescent="0.2">
      <c r="B44" s="2" t="s">
        <v>15</v>
      </c>
      <c r="C44" s="28"/>
      <c r="D44" s="28" t="s">
        <v>26</v>
      </c>
      <c r="E44" s="28"/>
      <c r="F44" s="7" t="s">
        <v>26</v>
      </c>
      <c r="K44" s="46"/>
      <c r="L44" s="46"/>
      <c r="M44" s="46"/>
      <c r="N44" s="46"/>
    </row>
    <row r="45" spans="2:14" x14ac:dyDescent="0.2">
      <c r="B45" s="2" t="s">
        <v>16</v>
      </c>
      <c r="C45" s="28"/>
      <c r="D45" s="28" t="s">
        <v>27</v>
      </c>
      <c r="E45" s="28"/>
      <c r="F45" s="7" t="s">
        <v>27</v>
      </c>
      <c r="K45" s="46"/>
      <c r="L45" s="46"/>
      <c r="M45" s="46"/>
      <c r="N45" s="46"/>
    </row>
    <row r="46" spans="2:14" x14ac:dyDescent="0.2">
      <c r="B46" s="2" t="s">
        <v>17</v>
      </c>
      <c r="C46" s="28"/>
      <c r="D46" s="28" t="s">
        <v>28</v>
      </c>
      <c r="E46" s="28"/>
      <c r="F46" s="7" t="s">
        <v>28</v>
      </c>
    </row>
    <row r="47" spans="2:14" ht="13.5" thickBot="1" x14ac:dyDescent="0.25">
      <c r="B47" s="14" t="s">
        <v>24</v>
      </c>
      <c r="C47" s="31"/>
      <c r="D47" s="31" t="s">
        <v>29</v>
      </c>
      <c r="E47" s="31"/>
      <c r="F47" s="7" t="s">
        <v>29</v>
      </c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7"/>
  <sheetViews>
    <sheetView workbookViewId="0">
      <selection activeCell="D7" sqref="D7"/>
    </sheetView>
  </sheetViews>
  <sheetFormatPr defaultRowHeight="12.75" x14ac:dyDescent="0.2"/>
  <cols>
    <col min="1" max="1" width="11.7109375" customWidth="1"/>
    <col min="2" max="2" width="43.85546875" bestFit="1" customWidth="1"/>
    <col min="3" max="3" width="21.7109375" bestFit="1" customWidth="1"/>
    <col min="4" max="4" width="15.710937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 x14ac:dyDescent="0.2">
      <c r="B1" s="80" t="s">
        <v>6</v>
      </c>
      <c r="C1" s="80"/>
      <c r="D1" s="80"/>
    </row>
    <row r="3" spans="2:4" ht="13.5" thickBot="1" x14ac:dyDescent="0.25">
      <c r="B3" s="81" t="s">
        <v>9</v>
      </c>
      <c r="C3" s="81"/>
      <c r="D3" s="81"/>
    </row>
    <row r="4" spans="2:4" ht="13.5" thickBot="1" x14ac:dyDescent="0.25">
      <c r="B4" s="15" t="s">
        <v>4</v>
      </c>
      <c r="C4" s="15" t="s">
        <v>0</v>
      </c>
      <c r="D4" s="16" t="s">
        <v>1</v>
      </c>
    </row>
    <row r="5" spans="2:4" x14ac:dyDescent="0.2">
      <c r="B5" s="4" t="s">
        <v>5</v>
      </c>
      <c r="C5" s="17">
        <f>Input!C5</f>
        <v>0</v>
      </c>
      <c r="D5" s="32"/>
    </row>
    <row r="6" spans="2:4" x14ac:dyDescent="0.2">
      <c r="B6" s="29" t="s">
        <v>10</v>
      </c>
      <c r="C6" s="33" t="e">
        <f>'Custom Rules'!I24</f>
        <v>#VALUE!</v>
      </c>
      <c r="D6" s="6" t="str">
        <f>'Custom Rules'!J24</f>
        <v>PSIA</v>
      </c>
    </row>
    <row r="7" spans="2:4" x14ac:dyDescent="0.2">
      <c r="B7" s="29" t="s">
        <v>11</v>
      </c>
      <c r="C7" s="33" t="e">
        <f>'Custom Rules'!I25</f>
        <v>#VALUE!</v>
      </c>
      <c r="D7" s="6" t="str">
        <f>'Custom Rules'!J25</f>
        <v>DEG F</v>
      </c>
    </row>
    <row r="8" spans="2:4" ht="13.5" thickBot="1" x14ac:dyDescent="0.25">
      <c r="B8" s="9" t="s">
        <v>23</v>
      </c>
      <c r="C8" s="34" t="e">
        <f>'Custom Rules'!I26</f>
        <v>#VALUE!</v>
      </c>
      <c r="D8" s="6" t="str">
        <f>'Custom Rules'!J26</f>
        <v>CFH</v>
      </c>
    </row>
    <row r="39" spans="2:6" ht="13.5" thickBot="1" x14ac:dyDescent="0.25"/>
    <row r="40" spans="2:6" ht="13.5" thickBot="1" x14ac:dyDescent="0.25">
      <c r="B40" s="15" t="s">
        <v>3</v>
      </c>
      <c r="C40" s="15" t="s">
        <v>0</v>
      </c>
      <c r="D40" s="16" t="s">
        <v>1</v>
      </c>
      <c r="E40" s="15" t="s">
        <v>0</v>
      </c>
      <c r="F40" s="16" t="s">
        <v>1</v>
      </c>
    </row>
    <row r="41" spans="2:6" x14ac:dyDescent="0.2">
      <c r="B41" s="37" t="s">
        <v>2</v>
      </c>
      <c r="C41" s="17"/>
      <c r="D41" s="18"/>
      <c r="E41" s="17"/>
      <c r="F41" s="19"/>
    </row>
    <row r="42" spans="2:6" x14ac:dyDescent="0.2">
      <c r="B42" s="38" t="s">
        <v>7</v>
      </c>
      <c r="C42" s="5"/>
      <c r="D42" s="10"/>
      <c r="E42" s="5"/>
      <c r="F42" s="12"/>
    </row>
    <row r="43" spans="2:6" x14ac:dyDescent="0.2">
      <c r="B43" s="29" t="s">
        <v>18</v>
      </c>
      <c r="C43" s="11"/>
      <c r="D43" s="11"/>
      <c r="E43" s="11"/>
      <c r="F43" s="13"/>
    </row>
    <row r="44" spans="2:6" x14ac:dyDescent="0.2">
      <c r="B44" s="29" t="s">
        <v>15</v>
      </c>
      <c r="C44" s="11"/>
      <c r="D44" s="11"/>
      <c r="E44" s="11"/>
      <c r="F44" s="13"/>
    </row>
    <row r="45" spans="2:6" x14ac:dyDescent="0.2">
      <c r="B45" s="29" t="s">
        <v>16</v>
      </c>
      <c r="C45" s="11"/>
      <c r="D45" s="11"/>
      <c r="E45" s="11"/>
      <c r="F45" s="13"/>
    </row>
    <row r="46" spans="2:6" x14ac:dyDescent="0.2">
      <c r="B46" s="29" t="s">
        <v>17</v>
      </c>
      <c r="C46" s="11"/>
      <c r="D46" s="11"/>
      <c r="E46" s="11"/>
      <c r="F46" s="13"/>
    </row>
    <row r="47" spans="2:6" ht="13.5" thickBot="1" x14ac:dyDescent="0.25">
      <c r="B47" s="9" t="s">
        <v>24</v>
      </c>
      <c r="C47" s="31"/>
      <c r="D47" s="31"/>
      <c r="E47" s="31"/>
      <c r="F47" s="39"/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 Rules</vt:lpstr>
      <vt:lpstr>Input</vt:lpstr>
      <vt:lpstr>Output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khannar</dc:creator>
  <cp:lastModifiedBy>Mazzorana, Edward</cp:lastModifiedBy>
  <dcterms:created xsi:type="dcterms:W3CDTF">2001-11-27T16:36:30Z</dcterms:created>
  <dcterms:modified xsi:type="dcterms:W3CDTF">2015-02-19T16:54:32Z</dcterms:modified>
</cp:coreProperties>
</file>