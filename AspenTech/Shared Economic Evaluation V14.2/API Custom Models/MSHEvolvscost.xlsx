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15" yWindow="-15" windowWidth="25260" windowHeight="6450"/>
  </bookViews>
  <sheets>
    <sheet name="Input" sheetId="1" r:id="rId1"/>
    <sheet name="Custom Rules" sheetId="2" r:id="rId2"/>
    <sheet name="Output" sheetId="3" r:id="rId3"/>
    <sheet name="SampleCostData" sheetId="5" state="hidden" r:id="rId4"/>
    <sheet name="UpdateHistory" sheetId="4" state="hidden" r:id="rId5"/>
  </sheets>
  <definedNames>
    <definedName name="CostperVol">'Custom Rules'!$E$17</definedName>
    <definedName name="ExchVolume">'Custom Rules'!$E$11</definedName>
    <definedName name="LaborHrsperVol">'Custom Rules'!$E$13</definedName>
    <definedName name="RANGE">'Custom Rules'!$D$26:$G$35</definedName>
  </definedNames>
  <calcPr calcId="125725"/>
</workbook>
</file>

<file path=xl/calcChain.xml><?xml version="1.0" encoding="utf-8"?>
<calcChain xmlns="http://schemas.openxmlformats.org/spreadsheetml/2006/main">
  <c r="E31" i="2"/>
  <c r="E11"/>
  <c r="E17" s="1"/>
  <c r="E18" s="1"/>
  <c r="C14" i="3" s="1"/>
  <c r="E13" i="2"/>
  <c r="E14"/>
  <c r="F11"/>
  <c r="E26"/>
  <c r="E27"/>
  <c r="E28"/>
  <c r="E29"/>
  <c r="E30"/>
  <c r="E32"/>
  <c r="E33"/>
  <c r="C13"/>
  <c r="E9"/>
  <c r="C9"/>
  <c r="C27"/>
  <c r="C28"/>
  <c r="C29"/>
  <c r="C30"/>
  <c r="C31"/>
  <c r="C17"/>
  <c r="E23"/>
  <c r="C6" i="3"/>
  <c r="C13"/>
  <c r="D13"/>
  <c r="B13"/>
  <c r="C11"/>
  <c r="D11"/>
  <c r="C12"/>
  <c r="D12"/>
  <c r="D10"/>
  <c r="C10"/>
  <c r="B10"/>
  <c r="B11"/>
  <c r="B12"/>
  <c r="C9"/>
  <c r="D9"/>
  <c r="B9"/>
  <c r="B5"/>
  <c r="B6"/>
  <c r="B7"/>
  <c r="B8"/>
  <c r="B14"/>
  <c r="D7"/>
  <c r="D14"/>
  <c r="C7"/>
  <c r="C8"/>
  <c r="D8"/>
  <c r="D41"/>
  <c r="D42"/>
  <c r="D43"/>
  <c r="C43"/>
  <c r="C42"/>
  <c r="C41"/>
  <c r="D6"/>
  <c r="D5"/>
  <c r="C5"/>
  <c r="C70"/>
  <c r="G38" i="5"/>
  <c r="E39"/>
  <c r="F39"/>
  <c r="G39"/>
  <c r="E40"/>
  <c r="F40"/>
  <c r="G40"/>
  <c r="F44"/>
  <c r="G44"/>
  <c r="F45"/>
  <c r="G45"/>
  <c r="F46"/>
  <c r="G46"/>
  <c r="G37"/>
  <c r="F43"/>
  <c r="E41"/>
  <c r="F41"/>
  <c r="E42"/>
  <c r="F42"/>
  <c r="E38"/>
  <c r="E37"/>
  <c r="E14"/>
  <c r="F14"/>
  <c r="G14"/>
  <c r="H14"/>
  <c r="I14"/>
  <c r="D14"/>
  <c r="E9"/>
  <c r="F9"/>
  <c r="G9"/>
  <c r="H9"/>
  <c r="I9"/>
  <c r="D9"/>
</calcChain>
</file>

<file path=xl/comments1.xml><?xml version="1.0" encoding="utf-8"?>
<comments xmlns="http://schemas.openxmlformats.org/spreadsheetml/2006/main">
  <authors>
    <author>Siva Natarajan</author>
  </authors>
  <commentList>
    <comment ref="D7" authorId="0">
      <text>
        <r>
          <rPr>
            <sz val="8"/>
            <color indexed="81"/>
            <rFont val="Tahoma"/>
          </rPr>
          <t>Note:  (User editable) can replace M3 with any of the other ICARUS units for volume.  If you leave this blank, then the units used in the Icarus project are used.  Also, note that this is related to the values specified in the Custom Rules "Volume Vs. Cost" Data</t>
        </r>
      </text>
    </comment>
  </commentList>
</comments>
</file>

<file path=xl/comments2.xml><?xml version="1.0" encoding="utf-8"?>
<comments xmlns="http://schemas.openxmlformats.org/spreadsheetml/2006/main">
  <authors>
    <author>Siva Natarajan</author>
  </authors>
  <commentList>
    <comment ref="D23" authorId="0">
      <text>
        <r>
          <rPr>
            <b/>
            <sz val="8"/>
            <color indexed="81"/>
            <rFont val="Tahoma"/>
          </rPr>
          <t xml:space="preserve">Volumes are in the unit defined in the Input worksheet.
</t>
        </r>
        <r>
          <rPr>
            <sz val="8"/>
            <color indexed="81"/>
            <rFont val="Tahoma"/>
          </rPr>
          <t xml:space="preserve">
</t>
        </r>
      </text>
    </comment>
    <comment ref="C24" authorId="0">
      <text>
        <r>
          <rPr>
            <b/>
            <sz val="8"/>
            <color indexed="81"/>
            <rFont val="Tahoma"/>
          </rPr>
          <t xml:space="preserve">The  function used to determine the appropriate range requires that the volume ranges are defined in a sorted(lowest to highest) order.
</t>
        </r>
        <r>
          <rPr>
            <sz val="8"/>
            <color indexed="81"/>
            <rFont val="Tahoma"/>
          </rPr>
          <t xml:space="preserve">
</t>
        </r>
      </text>
    </comment>
    <comment ref="F24" authorId="0">
      <text>
        <r>
          <rPr>
            <b/>
            <sz val="8"/>
            <color indexed="81"/>
            <rFont val="Tahoma"/>
          </rPr>
          <t>Costs are in the units as specified in the current ICARUS project (The sample data below is in USD)</t>
        </r>
        <r>
          <rPr>
            <sz val="8"/>
            <color indexed="81"/>
            <rFont val="Tahoma"/>
          </rPr>
          <t xml:space="preserve">
</t>
        </r>
      </text>
    </comment>
    <comment ref="I25" authorId="0">
      <text>
        <r>
          <rPr>
            <b/>
            <sz val="8"/>
            <color indexed="81"/>
            <rFont val="Tahoma"/>
          </rPr>
          <t xml:space="preserve">This value is used if the value is not already specified. </t>
        </r>
        <r>
          <rPr>
            <sz val="8"/>
            <color indexed="81"/>
            <rFont val="Tahoma"/>
          </rPr>
          <t xml:space="preserve">
</t>
        </r>
      </text>
    </comment>
  </commentList>
</comments>
</file>

<file path=xl/comments3.xml><?xml version="1.0" encoding="utf-8"?>
<comments xmlns="http://schemas.openxmlformats.org/spreadsheetml/2006/main">
  <authors>
    <author>Siva Natarajan</author>
  </authors>
  <commentList>
    <comment ref="D3" authorId="0">
      <text>
        <r>
          <rPr>
            <b/>
            <sz val="8"/>
            <color indexed="81"/>
            <rFont val="Tahoma"/>
          </rPr>
          <t>The data come from a report by ESDU (Engineering Sciences Data Unit).  It is ESDU97006, Selection and costing of heat exchangers: Plate fin type, (1997)</t>
        </r>
        <r>
          <rPr>
            <sz val="8"/>
            <color indexed="81"/>
            <rFont val="Tahoma"/>
          </rPr>
          <t xml:space="preserve">
</t>
        </r>
      </text>
    </comment>
    <comment ref="C9" authorId="0">
      <text>
        <r>
          <rPr>
            <sz val="8"/>
            <color indexed="81"/>
            <rFont val="Tahoma"/>
          </rPr>
          <t>RealV = TotV = Actual V + DistributorRegion V;
DV = 30% of TV (for 3 stream exchanger);
TV = AV/0.7;</t>
        </r>
      </text>
    </comment>
    <comment ref="C13" authorId="0">
      <text>
        <r>
          <rPr>
            <b/>
            <sz val="8"/>
            <color indexed="81"/>
            <rFont val="Tahoma"/>
          </rPr>
          <t>Based on data for 3 streams</t>
        </r>
        <r>
          <rPr>
            <sz val="8"/>
            <color indexed="81"/>
            <rFont val="Tahoma"/>
          </rPr>
          <t xml:space="preserve">
Based on 1997 rates
</t>
        </r>
      </text>
    </comment>
    <comment ref="C14" authorId="0">
      <text>
        <r>
          <rPr>
            <sz val="8"/>
            <color indexed="81"/>
            <rFont val="Tahoma"/>
          </rPr>
          <t xml:space="preserve">In 1997 0.6 pounds = 1 US dollar)
</t>
        </r>
      </text>
    </comment>
    <comment ref="D17" authorId="0">
      <text>
        <r>
          <rPr>
            <sz val="8"/>
            <color indexed="81"/>
            <rFont val="Tahoma"/>
          </rPr>
          <t>RealV = TotV = Actual V + DistributorRegion V;
DV = 30% of TV (for 3 stream exchanger);
TV = AV/0.7;</t>
        </r>
      </text>
    </comment>
    <comment ref="E17" authorId="0">
      <text>
        <r>
          <rPr>
            <sz val="8"/>
            <color indexed="81"/>
            <rFont val="Tahoma"/>
          </rPr>
          <t xml:space="preserve">In 1997 0.6 pounds = 1 US dollar)
</t>
        </r>
      </text>
    </comment>
    <comment ref="D29" authorId="0">
      <text>
        <r>
          <rPr>
            <b/>
            <sz val="8"/>
            <color indexed="81"/>
            <rFont val="Tahoma"/>
          </rPr>
          <t>Model based on Icarus Evaluation Engine model for HX</t>
        </r>
        <r>
          <rPr>
            <sz val="8"/>
            <color indexed="81"/>
            <rFont val="Tahoma"/>
          </rPr>
          <t xml:space="preserve">
</t>
        </r>
      </text>
    </comment>
    <comment ref="E36" authorId="0">
      <text>
        <r>
          <rPr>
            <b/>
            <sz val="8"/>
            <color indexed="81"/>
            <rFont val="Tahoma"/>
          </rPr>
          <t>Siva Natarajan:</t>
        </r>
        <r>
          <rPr>
            <sz val="8"/>
            <color indexed="81"/>
            <rFont val="Tahoma"/>
          </rPr>
          <t xml:space="preserve">
Cube root of volume</t>
        </r>
      </text>
    </comment>
    <comment ref="F37" authorId="0">
      <text>
        <r>
          <rPr>
            <b/>
            <sz val="8"/>
            <color indexed="81"/>
            <rFont val="Tahoma"/>
          </rPr>
          <t xml:space="preserve">min value used from data point 2
</t>
        </r>
        <r>
          <rPr>
            <sz val="8"/>
            <color indexed="81"/>
            <rFont val="Tahoma"/>
          </rPr>
          <t xml:space="preserve">
</t>
        </r>
      </text>
    </comment>
  </commentList>
</comments>
</file>

<file path=xl/sharedStrings.xml><?xml version="1.0" encoding="utf-8"?>
<sst xmlns="http://schemas.openxmlformats.org/spreadsheetml/2006/main" count="79" uniqueCount="54">
  <si>
    <t>Value</t>
  </si>
  <si>
    <t>Units</t>
  </si>
  <si>
    <t>Stream Name</t>
  </si>
  <si>
    <t>Connection Stream Information</t>
  </si>
  <si>
    <t>Item Information</t>
  </si>
  <si>
    <t>Equipment Name</t>
  </si>
  <si>
    <t>User Model Output Template</t>
  </si>
  <si>
    <t>&lt;ICARUS SLOT NAME&gt;</t>
  </si>
  <si>
    <t>Stream Direction</t>
  </si>
  <si>
    <t>User Model Input Template</t>
  </si>
  <si>
    <t>Material and Manhour Adjustment Information</t>
  </si>
  <si>
    <t>Pipe Bulk Item Detail Information</t>
  </si>
  <si>
    <t>Project Component Type</t>
  </si>
  <si>
    <t>Line Name</t>
  </si>
  <si>
    <t>CpRemarks2</t>
  </si>
  <si>
    <t>CpItemClassification</t>
  </si>
  <si>
    <t>V1</t>
  </si>
  <si>
    <t>V2</t>
  </si>
  <si>
    <t>V1&lt;= Volume &lt; V2</t>
  </si>
  <si>
    <t>M3</t>
  </si>
  <si>
    <t>Volume Units</t>
  </si>
  <si>
    <t>Range</t>
  </si>
  <si>
    <t>Volume vs Cost Data</t>
  </si>
  <si>
    <t>Results</t>
  </si>
  <si>
    <t>CpExchangerVolume</t>
  </si>
  <si>
    <t>Code of Account</t>
  </si>
  <si>
    <t>Exchanger Volume</t>
  </si>
  <si>
    <t>CpExchangerLength</t>
  </si>
  <si>
    <t>CpExchangerWidth</t>
  </si>
  <si>
    <t>CpExchangerDepth</t>
  </si>
  <si>
    <t>CpMaterialCostPerUnit</t>
  </si>
  <si>
    <t>CpLaborHoursPerUnit</t>
  </si>
  <si>
    <t>Material cost per unit</t>
  </si>
  <si>
    <t>Labor hours per unit</t>
  </si>
  <si>
    <t>MSHE Material Cost per unit volume</t>
  </si>
  <si>
    <t>MSHE Labor hours per unit volume</t>
  </si>
  <si>
    <t>Date</t>
  </si>
  <si>
    <t>Update</t>
  </si>
  <si>
    <t>Replaced TotCost with Material Cost.   Added Labor hours</t>
  </si>
  <si>
    <t>Active Volumes (m3)</t>
  </si>
  <si>
    <t>Real volumes (m3)</t>
  </si>
  <si>
    <t>Cost (£k/m3)</t>
  </si>
  <si>
    <t>Cost (USD/m3)</t>
  </si>
  <si>
    <t>Xvalue</t>
  </si>
  <si>
    <t>Hours</t>
  </si>
  <si>
    <t>y = 128.81Ln(x) - 78.575</t>
  </si>
  <si>
    <t>Volume</t>
  </si>
  <si>
    <t>Xvalue in Feet</t>
  </si>
  <si>
    <t>Hours from y = 128.81Ln(x) - 78.575</t>
  </si>
  <si>
    <t>Labor hours Estimation model</t>
  </si>
  <si>
    <t>Hours (approx)</t>
  </si>
  <si>
    <t>Inserted data for Labor hours (calculations based on Icarus Eval Engine model)</t>
  </si>
  <si>
    <t>This custom model, calculates the cost for a multi-stream heat exchanger based on its volume. The Volume vs Cost Data provided below should be modified by the user based on actual pricing data they may have.  The data used below has been updated for the V7.3 EE release and reflects industry pricing trends vs. exchanger volume and is provided only as an example. Fields that the user must modify are highlighted in blue.  To make changes to this worksheet, unprotect this sheet through Tools&gt;&gt;Protection&gt;&gt;Unprotect Sheet.</t>
  </si>
  <si>
    <t>CpCodeOfAccount</t>
  </si>
</sst>
</file>

<file path=xl/styles.xml><?xml version="1.0" encoding="utf-8"?>
<styleSheet xmlns="http://schemas.openxmlformats.org/spreadsheetml/2006/main">
  <numFmts count="1">
    <numFmt numFmtId="164" formatCode="0.0000"/>
  </numFmts>
  <fonts count="7">
    <font>
      <sz val="10"/>
      <name val="Arial"/>
    </font>
    <font>
      <b/>
      <sz val="10"/>
      <name val="Arial"/>
      <family val="2"/>
    </font>
    <font>
      <sz val="10"/>
      <name val="Arial"/>
      <family val="2"/>
    </font>
    <font>
      <b/>
      <sz val="10"/>
      <color indexed="18"/>
      <name val="Arial"/>
      <family val="2"/>
    </font>
    <font>
      <sz val="8"/>
      <color indexed="81"/>
      <name val="Tahoma"/>
    </font>
    <font>
      <b/>
      <sz val="8"/>
      <color indexed="81"/>
      <name val="Tahoma"/>
    </font>
    <font>
      <sz val="10"/>
      <color indexed="10"/>
      <name val="Arial"/>
      <family val="2"/>
    </font>
  </fonts>
  <fills count="11">
    <fill>
      <patternFill patternType="none"/>
    </fill>
    <fill>
      <patternFill patternType="gray125"/>
    </fill>
    <fill>
      <patternFill patternType="solid">
        <fgColor indexed="43"/>
        <bgColor indexed="64"/>
      </patternFill>
    </fill>
    <fill>
      <patternFill patternType="solid">
        <fgColor indexed="51"/>
        <bgColor indexed="64"/>
      </patternFill>
    </fill>
    <fill>
      <patternFill patternType="solid">
        <fgColor indexed="14"/>
        <bgColor indexed="64"/>
      </patternFill>
    </fill>
    <fill>
      <patternFill patternType="solid">
        <fgColor indexed="45"/>
        <bgColor indexed="64"/>
      </patternFill>
    </fill>
    <fill>
      <patternFill patternType="solid">
        <fgColor indexed="13"/>
        <bgColor indexed="64"/>
      </patternFill>
    </fill>
    <fill>
      <patternFill patternType="solid">
        <fgColor indexed="9"/>
        <bgColor indexed="64"/>
      </patternFill>
    </fill>
    <fill>
      <patternFill patternType="solid">
        <fgColor indexed="48"/>
        <bgColor indexed="64"/>
      </patternFill>
    </fill>
    <fill>
      <patternFill patternType="solid">
        <fgColor indexed="10"/>
        <bgColor indexed="64"/>
      </patternFill>
    </fill>
    <fill>
      <patternFill patternType="solid">
        <fgColor indexed="42"/>
        <bgColor indexed="64"/>
      </patternFill>
    </fill>
  </fills>
  <borders count="27">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68">
    <xf numFmtId="0" fontId="0" fillId="0" borderId="0" xfId="0"/>
    <xf numFmtId="0" fontId="0" fillId="2" borderId="1" xfId="0" applyFill="1" applyBorder="1"/>
    <xf numFmtId="164" fontId="1" fillId="0" borderId="2" xfId="0" applyNumberFormat="1" applyFont="1" applyBorder="1"/>
    <xf numFmtId="0" fontId="2" fillId="3" borderId="3" xfId="0" applyFont="1" applyFill="1" applyBorder="1"/>
    <xf numFmtId="0" fontId="0" fillId="3" borderId="4" xfId="0" applyFill="1" applyBorder="1"/>
    <xf numFmtId="164" fontId="1" fillId="0" borderId="5" xfId="0" applyNumberFormat="1" applyFont="1" applyBorder="1"/>
    <xf numFmtId="164" fontId="1" fillId="0" borderId="6" xfId="0" applyNumberFormat="1" applyFont="1" applyBorder="1"/>
    <xf numFmtId="164" fontId="1" fillId="0" borderId="7" xfId="0" applyNumberFormat="1" applyFont="1" applyBorder="1"/>
    <xf numFmtId="0" fontId="2" fillId="3" borderId="1" xfId="0" applyFont="1" applyFill="1" applyBorder="1"/>
    <xf numFmtId="0" fontId="0" fillId="2" borderId="4" xfId="0" applyFill="1" applyBorder="1"/>
    <xf numFmtId="164" fontId="1" fillId="0" borderId="8" xfId="0" applyNumberFormat="1" applyFont="1" applyBorder="1"/>
    <xf numFmtId="0" fontId="1" fillId="4" borderId="9" xfId="0" applyFont="1" applyFill="1" applyBorder="1"/>
    <xf numFmtId="0" fontId="1" fillId="4" borderId="10" xfId="0" applyFont="1" applyFill="1" applyBorder="1"/>
    <xf numFmtId="0" fontId="0" fillId="5" borderId="1" xfId="0" applyFill="1" applyBorder="1"/>
    <xf numFmtId="0" fontId="1" fillId="6" borderId="9" xfId="0" applyFont="1" applyFill="1" applyBorder="1"/>
    <xf numFmtId="0" fontId="1" fillId="6" borderId="10" xfId="0" applyFont="1" applyFill="1" applyBorder="1"/>
    <xf numFmtId="0" fontId="0" fillId="7" borderId="0" xfId="0" applyFill="1" applyProtection="1">
      <protection hidden="1"/>
    </xf>
    <xf numFmtId="0" fontId="0" fillId="7" borderId="0" xfId="0" applyFill="1" applyAlignment="1" applyProtection="1">
      <protection hidden="1"/>
    </xf>
    <xf numFmtId="0" fontId="0" fillId="7" borderId="0" xfId="0" applyFill="1" applyAlignment="1" applyProtection="1">
      <alignment horizontal="center"/>
      <protection hidden="1"/>
    </xf>
    <xf numFmtId="0" fontId="0" fillId="7" borderId="0" xfId="0" applyNumberFormat="1" applyFill="1" applyProtection="1">
      <protection hidden="1"/>
    </xf>
    <xf numFmtId="0" fontId="0" fillId="7" borderId="0" xfId="0" applyFill="1" applyBorder="1" applyProtection="1">
      <protection hidden="1"/>
    </xf>
    <xf numFmtId="0" fontId="0" fillId="7" borderId="11" xfId="0" applyFill="1" applyBorder="1" applyProtection="1">
      <protection hidden="1"/>
    </xf>
    <xf numFmtId="0" fontId="0" fillId="8" borderId="10" xfId="0" applyFill="1" applyBorder="1" applyProtection="1">
      <protection hidden="1"/>
    </xf>
    <xf numFmtId="0" fontId="1" fillId="7" borderId="12" xfId="0" applyFont="1" applyFill="1" applyBorder="1" applyAlignment="1" applyProtection="1">
      <alignment wrapText="1"/>
      <protection hidden="1"/>
    </xf>
    <xf numFmtId="1" fontId="1" fillId="0" borderId="6" xfId="0" applyNumberFormat="1" applyFont="1" applyBorder="1"/>
    <xf numFmtId="0" fontId="0" fillId="2" borderId="6" xfId="0" applyFill="1" applyBorder="1"/>
    <xf numFmtId="0" fontId="0" fillId="3" borderId="2" xfId="0" applyFill="1" applyBorder="1"/>
    <xf numFmtId="0" fontId="0" fillId="7" borderId="13" xfId="0" applyFill="1" applyBorder="1" applyAlignment="1" applyProtection="1">
      <alignment horizontal="center"/>
      <protection hidden="1"/>
    </xf>
    <xf numFmtId="0" fontId="0" fillId="7" borderId="14" xfId="0" applyFill="1" applyBorder="1" applyAlignment="1" applyProtection="1">
      <alignment horizontal="center"/>
      <protection hidden="1"/>
    </xf>
    <xf numFmtId="0" fontId="0" fillId="7" borderId="15" xfId="0" applyFill="1" applyBorder="1" applyAlignment="1" applyProtection="1">
      <alignment horizontal="center"/>
      <protection hidden="1"/>
    </xf>
    <xf numFmtId="0" fontId="0" fillId="8" borderId="16" xfId="0" applyFill="1" applyBorder="1" applyAlignment="1" applyProtection="1">
      <alignment horizontal="center"/>
      <protection hidden="1"/>
    </xf>
    <xf numFmtId="0" fontId="0" fillId="8" borderId="17" xfId="0" applyFill="1" applyBorder="1" applyAlignment="1" applyProtection="1">
      <alignment horizontal="center"/>
      <protection hidden="1"/>
    </xf>
    <xf numFmtId="0" fontId="0" fillId="8" borderId="18" xfId="0" applyFill="1" applyBorder="1" applyAlignment="1" applyProtection="1">
      <alignment horizontal="center"/>
      <protection hidden="1"/>
    </xf>
    <xf numFmtId="2" fontId="1" fillId="7" borderId="0" xfId="0" applyNumberFormat="1" applyFont="1" applyFill="1" applyBorder="1" applyProtection="1">
      <protection hidden="1"/>
    </xf>
    <xf numFmtId="2" fontId="1" fillId="7" borderId="11" xfId="0" applyNumberFormat="1" applyFont="1" applyFill="1" applyBorder="1" applyProtection="1">
      <protection hidden="1"/>
    </xf>
    <xf numFmtId="14" fontId="0" fillId="0" borderId="0" xfId="0" applyNumberFormat="1"/>
    <xf numFmtId="0" fontId="1" fillId="0" borderId="0" xfId="0" applyFont="1"/>
    <xf numFmtId="2" fontId="0" fillId="0" borderId="0" xfId="0" applyNumberFormat="1"/>
    <xf numFmtId="0" fontId="1" fillId="8" borderId="19" xfId="0" applyFont="1" applyFill="1" applyBorder="1" applyAlignment="1" applyProtection="1">
      <alignment horizontal="center"/>
      <protection hidden="1"/>
    </xf>
    <xf numFmtId="0" fontId="1" fillId="8" borderId="20" xfId="0" applyFont="1" applyFill="1" applyBorder="1" applyAlignment="1" applyProtection="1">
      <alignment horizontal="center"/>
      <protection hidden="1"/>
    </xf>
    <xf numFmtId="0" fontId="1" fillId="8" borderId="21" xfId="0" applyFont="1" applyFill="1" applyBorder="1" applyAlignment="1" applyProtection="1">
      <alignment horizontal="center"/>
      <protection hidden="1"/>
    </xf>
    <xf numFmtId="2" fontId="1" fillId="8" borderId="20" xfId="0" applyNumberFormat="1" applyFont="1" applyFill="1" applyBorder="1" applyAlignment="1">
      <alignment horizontal="center"/>
    </xf>
    <xf numFmtId="0" fontId="1" fillId="0" borderId="0" xfId="0" applyFont="1" applyAlignment="1">
      <alignment horizontal="center"/>
    </xf>
    <xf numFmtId="0" fontId="0" fillId="6" borderId="6" xfId="0" applyFill="1" applyBorder="1" applyAlignment="1">
      <alignment horizontal="center"/>
    </xf>
    <xf numFmtId="2" fontId="1" fillId="8" borderId="6" xfId="0" applyNumberFormat="1" applyFont="1" applyFill="1" applyBorder="1" applyAlignment="1">
      <alignment horizontal="center"/>
    </xf>
    <xf numFmtId="0" fontId="0" fillId="0" borderId="6" xfId="0" applyBorder="1"/>
    <xf numFmtId="0" fontId="0" fillId="9" borderId="6" xfId="0" applyFill="1" applyBorder="1"/>
    <xf numFmtId="2" fontId="0" fillId="7" borderId="14" xfId="0" applyNumberFormat="1" applyFill="1" applyBorder="1" applyAlignment="1" applyProtection="1">
      <alignment horizontal="center"/>
      <protection hidden="1"/>
    </xf>
    <xf numFmtId="0" fontId="1" fillId="7" borderId="9" xfId="0" applyFont="1" applyFill="1" applyBorder="1" applyAlignment="1" applyProtection="1">
      <alignment horizontal="center"/>
      <protection hidden="1"/>
    </xf>
    <xf numFmtId="2" fontId="1" fillId="0" borderId="6" xfId="0" applyNumberFormat="1" applyFont="1" applyBorder="1"/>
    <xf numFmtId="0" fontId="3" fillId="0" borderId="0" xfId="0" applyFont="1" applyAlignment="1">
      <alignment horizontal="center"/>
    </xf>
    <xf numFmtId="0" fontId="1" fillId="10" borderId="0" xfId="0" applyFont="1" applyFill="1" applyAlignment="1">
      <alignment horizontal="center"/>
    </xf>
    <xf numFmtId="0" fontId="6" fillId="7" borderId="0" xfId="0" applyFont="1" applyFill="1" applyAlignment="1" applyProtection="1">
      <alignment wrapText="1"/>
      <protection hidden="1"/>
    </xf>
    <xf numFmtId="0" fontId="6" fillId="7" borderId="0" xfId="0" applyFont="1" applyFill="1" applyAlignment="1" applyProtection="1">
      <protection hidden="1"/>
    </xf>
    <xf numFmtId="0" fontId="1" fillId="7" borderId="25" xfId="0" applyFont="1" applyFill="1" applyBorder="1" applyAlignment="1" applyProtection="1">
      <protection hidden="1"/>
    </xf>
    <xf numFmtId="0" fontId="1" fillId="7" borderId="26" xfId="0" applyFont="1" applyFill="1" applyBorder="1" applyAlignment="1" applyProtection="1">
      <protection hidden="1"/>
    </xf>
    <xf numFmtId="0" fontId="1" fillId="7" borderId="22" xfId="0" applyFont="1" applyFill="1" applyBorder="1" applyAlignment="1" applyProtection="1">
      <alignment wrapText="1"/>
      <protection hidden="1"/>
    </xf>
    <xf numFmtId="0" fontId="1" fillId="0" borderId="23" xfId="0" applyFont="1" applyBorder="1" applyAlignment="1" applyProtection="1">
      <protection hidden="1"/>
    </xf>
    <xf numFmtId="0" fontId="1" fillId="6" borderId="0" xfId="0" applyFont="1" applyFill="1" applyBorder="1" applyAlignment="1" applyProtection="1">
      <alignment horizontal="center"/>
      <protection hidden="1"/>
    </xf>
    <xf numFmtId="0" fontId="0" fillId="6" borderId="0" xfId="0" applyFill="1" applyBorder="1" applyAlignment="1" applyProtection="1">
      <protection hidden="1"/>
    </xf>
    <xf numFmtId="0" fontId="0" fillId="7" borderId="0" xfId="0" applyFill="1" applyBorder="1" applyAlignment="1" applyProtection="1">
      <protection hidden="1"/>
    </xf>
    <xf numFmtId="0" fontId="0" fillId="7" borderId="0" xfId="0" applyNumberFormat="1" applyFill="1" applyBorder="1" applyAlignment="1" applyProtection="1">
      <protection hidden="1"/>
    </xf>
    <xf numFmtId="0" fontId="0" fillId="0" borderId="0" xfId="0" applyBorder="1" applyAlignment="1" applyProtection="1">
      <protection hidden="1"/>
    </xf>
    <xf numFmtId="0" fontId="1" fillId="7" borderId="11" xfId="0" applyFont="1" applyFill="1" applyBorder="1" applyAlignment="1" applyProtection="1">
      <protection hidden="1"/>
    </xf>
    <xf numFmtId="0" fontId="1" fillId="6" borderId="0" xfId="0" applyFont="1" applyFill="1" applyAlignment="1" applyProtection="1">
      <alignment horizontal="center"/>
      <protection hidden="1"/>
    </xf>
    <xf numFmtId="0" fontId="1" fillId="7" borderId="0" xfId="0" applyFont="1" applyFill="1" applyBorder="1" applyAlignment="1" applyProtection="1">
      <protection hidden="1"/>
    </xf>
    <xf numFmtId="0" fontId="1" fillId="7" borderId="24" xfId="0" applyFont="1" applyFill="1" applyBorder="1" applyAlignment="1" applyProtection="1">
      <alignment horizontal="center"/>
      <protection hidden="1"/>
    </xf>
    <xf numFmtId="0" fontId="1" fillId="7" borderId="22" xfId="0" applyFont="1" applyFill="1" applyBorder="1" applyAlignment="1" applyProtection="1">
      <alignment horizontal="center"/>
      <protection hidden="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42</xdr:row>
      <xdr:rowOff>0</xdr:rowOff>
    </xdr:from>
    <xdr:to>
      <xdr:col>4</xdr:col>
      <xdr:colOff>304800</xdr:colOff>
      <xdr:row>43</xdr:row>
      <xdr:rowOff>142875</xdr:rowOff>
    </xdr:to>
    <xdr:sp macro="" textlink="">
      <xdr:nvSpPr>
        <xdr:cNvPr id="3096" name="AutoShape 11" descr="Equation"/>
        <xdr:cNvSpPr>
          <a:spLocks noChangeAspect="1" noChangeArrowheads="1"/>
        </xdr:cNvSpPr>
      </xdr:nvSpPr>
      <xdr:spPr bwMode="auto">
        <a:xfrm>
          <a:off x="4191000" y="6800850"/>
          <a:ext cx="304800" cy="304800"/>
        </a:xfrm>
        <a:prstGeom prst="rect">
          <a:avLst/>
        </a:prstGeom>
        <a:noFill/>
        <a:ln w="9525">
          <a:noFill/>
          <a:miter lim="800000"/>
          <a:headEnd/>
          <a:tailEnd/>
        </a:ln>
      </xdr:spPr>
    </xdr:sp>
    <xdr:clientData/>
  </xdr:twoCellAnchor>
  <xdr:twoCellAnchor editAs="oneCell">
    <xdr:from>
      <xdr:col>4</xdr:col>
      <xdr:colOff>0</xdr:colOff>
      <xdr:row>41</xdr:row>
      <xdr:rowOff>0</xdr:rowOff>
    </xdr:from>
    <xdr:to>
      <xdr:col>4</xdr:col>
      <xdr:colOff>304800</xdr:colOff>
      <xdr:row>42</xdr:row>
      <xdr:rowOff>142875</xdr:rowOff>
    </xdr:to>
    <xdr:sp macro="" textlink="">
      <xdr:nvSpPr>
        <xdr:cNvPr id="3097" name="AutoShape 16" descr="Equation"/>
        <xdr:cNvSpPr>
          <a:spLocks noChangeAspect="1" noChangeArrowheads="1"/>
        </xdr:cNvSpPr>
      </xdr:nvSpPr>
      <xdr:spPr bwMode="auto">
        <a:xfrm>
          <a:off x="4191000" y="6638925"/>
          <a:ext cx="304800" cy="304800"/>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B1:D101"/>
  <sheetViews>
    <sheetView tabSelected="1" workbookViewId="0">
      <selection activeCell="B9" sqref="B9"/>
    </sheetView>
  </sheetViews>
  <sheetFormatPr defaultRowHeight="12.75"/>
  <cols>
    <col min="1" max="1" width="11.7109375" customWidth="1"/>
    <col min="2" max="2" width="43.85546875" bestFit="1" customWidth="1"/>
    <col min="3" max="3" width="21.7109375" bestFit="1" customWidth="1"/>
    <col min="4" max="4" width="15.7109375" bestFit="1" customWidth="1"/>
    <col min="5" max="5" width="8.5703125" bestFit="1" customWidth="1"/>
    <col min="6" max="6" width="15.7109375" bestFit="1" customWidth="1"/>
    <col min="7" max="7" width="6.5703125" bestFit="1" customWidth="1"/>
    <col min="8" max="8" width="5.42578125" bestFit="1" customWidth="1"/>
  </cols>
  <sheetData>
    <row r="1" spans="2:4">
      <c r="B1" s="50" t="s">
        <v>9</v>
      </c>
      <c r="C1" s="50"/>
      <c r="D1" s="50"/>
    </row>
    <row r="3" spans="2:4" ht="13.5" thickBot="1">
      <c r="B3" s="51" t="s">
        <v>12</v>
      </c>
      <c r="C3" s="51"/>
      <c r="D3" s="51"/>
    </row>
    <row r="4" spans="2:4" ht="13.5" thickBot="1">
      <c r="B4" s="14" t="s">
        <v>4</v>
      </c>
      <c r="C4" s="14" t="s">
        <v>0</v>
      </c>
      <c r="D4" s="15" t="s">
        <v>1</v>
      </c>
    </row>
    <row r="5" spans="2:4">
      <c r="B5" s="4" t="s">
        <v>5</v>
      </c>
      <c r="C5" s="6"/>
      <c r="D5" s="7"/>
    </row>
    <row r="6" spans="2:4">
      <c r="B6" s="1" t="s">
        <v>14</v>
      </c>
      <c r="C6" s="6"/>
      <c r="D6" s="7"/>
    </row>
    <row r="7" spans="2:4">
      <c r="B7" s="1" t="s">
        <v>24</v>
      </c>
      <c r="C7" s="49"/>
      <c r="D7" s="7" t="s">
        <v>19</v>
      </c>
    </row>
    <row r="8" spans="2:4">
      <c r="B8" s="1" t="s">
        <v>15</v>
      </c>
      <c r="C8" s="6"/>
      <c r="D8" s="7"/>
    </row>
    <row r="9" spans="2:4">
      <c r="B9" s="1" t="s">
        <v>53</v>
      </c>
      <c r="C9" s="6"/>
      <c r="D9" s="7"/>
    </row>
    <row r="10" spans="2:4">
      <c r="B10" s="1" t="s">
        <v>27</v>
      </c>
      <c r="C10" s="6"/>
      <c r="D10" s="7"/>
    </row>
    <row r="11" spans="2:4">
      <c r="B11" s="1" t="s">
        <v>28</v>
      </c>
      <c r="C11" s="6"/>
      <c r="D11" s="7"/>
    </row>
    <row r="12" spans="2:4">
      <c r="B12" s="1" t="s">
        <v>29</v>
      </c>
      <c r="C12" s="6"/>
      <c r="D12" s="7"/>
    </row>
    <row r="13" spans="2:4">
      <c r="B13" s="1" t="s">
        <v>31</v>
      </c>
      <c r="C13" s="6"/>
      <c r="D13" s="7"/>
    </row>
    <row r="14" spans="2:4">
      <c r="B14" s="1" t="s">
        <v>30</v>
      </c>
      <c r="C14" s="6"/>
      <c r="D14" s="7"/>
    </row>
    <row r="39" spans="2:4" ht="13.5" thickBot="1"/>
    <row r="40" spans="2:4" ht="13.5" thickBot="1">
      <c r="B40" s="14" t="s">
        <v>3</v>
      </c>
      <c r="C40" s="14" t="s">
        <v>0</v>
      </c>
      <c r="D40" s="15" t="s">
        <v>1</v>
      </c>
    </row>
    <row r="41" spans="2:4">
      <c r="B41" s="3" t="s">
        <v>2</v>
      </c>
      <c r="C41" s="2"/>
      <c r="D41" s="5"/>
    </row>
    <row r="42" spans="2:4">
      <c r="B42" s="3" t="s">
        <v>8</v>
      </c>
      <c r="C42" s="2"/>
      <c r="D42" s="5"/>
    </row>
    <row r="43" spans="2:4">
      <c r="B43" s="1" t="s">
        <v>7</v>
      </c>
      <c r="C43" s="6"/>
      <c r="D43" s="7"/>
    </row>
    <row r="68" spans="2:3" ht="13.5" thickBot="1"/>
    <row r="69" spans="2:3" ht="13.5" thickBot="1">
      <c r="B69" s="14" t="s">
        <v>10</v>
      </c>
      <c r="C69" s="14" t="s">
        <v>0</v>
      </c>
    </row>
    <row r="70" spans="2:3">
      <c r="B70" s="9" t="s">
        <v>7</v>
      </c>
      <c r="C70" s="10"/>
    </row>
    <row r="98" spans="2:3" ht="13.5" thickBot="1"/>
    <row r="99" spans="2:3" ht="13.5" thickBot="1">
      <c r="B99" s="14" t="s">
        <v>11</v>
      </c>
      <c r="C99" s="14" t="s">
        <v>0</v>
      </c>
    </row>
    <row r="100" spans="2:3">
      <c r="B100" s="8" t="s">
        <v>13</v>
      </c>
      <c r="C100" s="7"/>
    </row>
    <row r="101" spans="2:3">
      <c r="B101" s="1" t="s">
        <v>7</v>
      </c>
      <c r="C101" s="7"/>
    </row>
  </sheetData>
  <mergeCells count="2">
    <mergeCell ref="B1:D1"/>
    <mergeCell ref="B3:D3"/>
  </mergeCells>
  <phoneticPr fontId="0"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dimension ref="C3:J40"/>
  <sheetViews>
    <sheetView workbookViewId="0">
      <selection activeCell="C3" sqref="C3:G5"/>
    </sheetView>
  </sheetViews>
  <sheetFormatPr defaultRowHeight="12.75"/>
  <cols>
    <col min="1" max="2" width="9.140625" style="16"/>
    <col min="3" max="3" width="12.140625" style="16" customWidth="1"/>
    <col min="4" max="4" width="21.7109375" style="16" customWidth="1"/>
    <col min="5" max="5" width="15.7109375" style="16" customWidth="1"/>
    <col min="6" max="6" width="15.5703125" style="16" customWidth="1"/>
    <col min="7" max="7" width="14.85546875" style="16" customWidth="1"/>
    <col min="8" max="16384" width="9.140625" style="16"/>
  </cols>
  <sheetData>
    <row r="3" spans="3:7" ht="12.75" customHeight="1">
      <c r="C3" s="52" t="s">
        <v>52</v>
      </c>
      <c r="D3" s="53"/>
      <c r="E3" s="53"/>
      <c r="F3" s="53"/>
      <c r="G3" s="53"/>
    </row>
    <row r="4" spans="3:7">
      <c r="C4" s="53"/>
      <c r="D4" s="53"/>
      <c r="E4" s="53"/>
      <c r="F4" s="53"/>
      <c r="G4" s="53"/>
    </row>
    <row r="5" spans="3:7" ht="55.5" customHeight="1">
      <c r="C5" s="53"/>
      <c r="D5" s="53"/>
      <c r="E5" s="53"/>
      <c r="F5" s="53"/>
      <c r="G5" s="53"/>
    </row>
    <row r="7" spans="3:7">
      <c r="C7" s="58" t="s">
        <v>23</v>
      </c>
      <c r="D7" s="59"/>
      <c r="E7" s="59"/>
      <c r="F7" s="59"/>
    </row>
    <row r="9" spans="3:7">
      <c r="C9" s="60" t="str">
        <f>I25</f>
        <v>Code of Account</v>
      </c>
      <c r="D9" s="60"/>
      <c r="E9" s="20">
        <f>IF(OR(Input!C9="",Input!C9="?"),J25,Input!C9)</f>
        <v>266</v>
      </c>
      <c r="F9" s="20"/>
    </row>
    <row r="10" spans="3:7">
      <c r="E10" s="20"/>
      <c r="F10" s="20"/>
    </row>
    <row r="11" spans="3:7">
      <c r="C11" s="60" t="s">
        <v>26</v>
      </c>
      <c r="D11" s="60"/>
      <c r="E11" s="20" t="str">
        <f>IF(Input!C7="","",Input!C7)</f>
        <v/>
      </c>
      <c r="F11" s="20" t="str">
        <f>Input!D7</f>
        <v>M3</v>
      </c>
    </row>
    <row r="12" spans="3:7">
      <c r="C12" s="20"/>
      <c r="D12" s="20"/>
      <c r="E12" s="20"/>
      <c r="F12" s="20"/>
    </row>
    <row r="13" spans="3:7">
      <c r="C13" s="61" t="str">
        <f>G24</f>
        <v>MSHE Labor hours per unit volume</v>
      </c>
      <c r="D13" s="62"/>
      <c r="E13" s="20" t="str">
        <f>IF(ExchVolume="","",VLOOKUP(ExchVolume,RANGE,4,TRUE))</f>
        <v/>
      </c>
    </row>
    <row r="14" spans="3:7">
      <c r="C14" s="65" t="s">
        <v>33</v>
      </c>
      <c r="D14" s="65"/>
      <c r="E14" s="33" t="str">
        <f>IF(OR(ExchVolume="", LaborHrsperVol=""), "",ROUND(ExchVolume*LaborHrsperVol,2))</f>
        <v/>
      </c>
      <c r="F14" s="20"/>
    </row>
    <row r="16" spans="3:7">
      <c r="C16" s="20"/>
      <c r="D16" s="20"/>
      <c r="E16" s="20"/>
      <c r="F16" s="20"/>
    </row>
    <row r="17" spans="3:10">
      <c r="C17" s="61" t="str">
        <f>F24</f>
        <v>MSHE Material Cost per unit volume</v>
      </c>
      <c r="D17" s="62"/>
      <c r="E17" s="20" t="str">
        <f>IF(ExchVolume="","",VLOOKUP(ExchVolume,RANGE,3,TRUE))</f>
        <v/>
      </c>
      <c r="F17" s="20"/>
    </row>
    <row r="18" spans="3:10" ht="13.5" thickBot="1">
      <c r="C18" s="63" t="s">
        <v>32</v>
      </c>
      <c r="D18" s="63"/>
      <c r="E18" s="34" t="str">
        <f>IF(OR(ExchVolume="", CostperVol=""), "",ROUND(ExchVolume*CostperVol,2))</f>
        <v/>
      </c>
      <c r="F18" s="21"/>
    </row>
    <row r="21" spans="3:10">
      <c r="C21" s="64" t="s">
        <v>22</v>
      </c>
      <c r="D21" s="64"/>
      <c r="E21" s="64"/>
      <c r="F21" s="64"/>
    </row>
    <row r="23" spans="3:10" ht="13.5" thickBot="1">
      <c r="D23" s="17" t="s">
        <v>20</v>
      </c>
      <c r="E23" s="18" t="str">
        <f>IF(Input!D7="","",Input!D7)</f>
        <v>M3</v>
      </c>
    </row>
    <row r="24" spans="3:10" ht="13.5" thickBot="1">
      <c r="C24" s="54" t="s">
        <v>21</v>
      </c>
      <c r="D24" s="66" t="s">
        <v>18</v>
      </c>
      <c r="E24" s="67"/>
      <c r="F24" s="56" t="s">
        <v>34</v>
      </c>
      <c r="G24" s="56" t="s">
        <v>35</v>
      </c>
    </row>
    <row r="25" spans="3:10" ht="25.5" customHeight="1" thickBot="1">
      <c r="C25" s="55"/>
      <c r="D25" s="48" t="s">
        <v>16</v>
      </c>
      <c r="E25" s="48" t="s">
        <v>17</v>
      </c>
      <c r="F25" s="57"/>
      <c r="G25" s="57"/>
      <c r="I25" s="23" t="s">
        <v>25</v>
      </c>
      <c r="J25" s="22">
        <v>266</v>
      </c>
    </row>
    <row r="26" spans="3:10">
      <c r="C26" s="27">
        <v>1</v>
      </c>
      <c r="D26" s="38">
        <v>0</v>
      </c>
      <c r="E26" s="47">
        <f>D27</f>
        <v>0.6</v>
      </c>
      <c r="F26" s="30">
        <v>54390</v>
      </c>
      <c r="G26" s="30">
        <v>71</v>
      </c>
    </row>
    <row r="27" spans="3:10">
      <c r="C27" s="28">
        <f>C26+1</f>
        <v>2</v>
      </c>
      <c r="D27" s="41">
        <v>0.6</v>
      </c>
      <c r="E27" s="28">
        <f t="shared" ref="E27:E33" si="0">IF(AND(D27&gt;0, D28&gt;0), D28,IF(D27&gt;0, "and above",""))</f>
        <v>1.1000000000000001</v>
      </c>
      <c r="F27" s="30">
        <v>57040</v>
      </c>
      <c r="G27" s="31">
        <v>53</v>
      </c>
    </row>
    <row r="28" spans="3:10">
      <c r="C28" s="28">
        <f>C27+1</f>
        <v>3</v>
      </c>
      <c r="D28" s="41">
        <v>1.1000000000000001</v>
      </c>
      <c r="E28" s="28">
        <f t="shared" si="0"/>
        <v>2.2999999999999998</v>
      </c>
      <c r="F28" s="31">
        <v>43440</v>
      </c>
      <c r="G28" s="31">
        <v>36</v>
      </c>
    </row>
    <row r="29" spans="3:10">
      <c r="C29" s="28">
        <f>C28+1</f>
        <v>4</v>
      </c>
      <c r="D29" s="41">
        <v>2.2999999999999998</v>
      </c>
      <c r="E29" s="28">
        <f t="shared" si="0"/>
        <v>9.1</v>
      </c>
      <c r="F29" s="31">
        <v>27160</v>
      </c>
      <c r="G29" s="31">
        <v>14</v>
      </c>
    </row>
    <row r="30" spans="3:10">
      <c r="C30" s="28">
        <f>C29+1</f>
        <v>5</v>
      </c>
      <c r="D30" s="41">
        <v>9.1</v>
      </c>
      <c r="E30" s="28">
        <f t="shared" si="0"/>
        <v>18.100000000000001</v>
      </c>
      <c r="F30" s="31">
        <v>25460</v>
      </c>
      <c r="G30" s="31">
        <v>12</v>
      </c>
    </row>
    <row r="31" spans="3:10">
      <c r="C31" s="28">
        <f>C30+1</f>
        <v>6</v>
      </c>
      <c r="D31" s="41">
        <v>18.100000000000001</v>
      </c>
      <c r="E31" s="28" t="str">
        <f t="shared" si="0"/>
        <v>and above</v>
      </c>
      <c r="F31" s="31">
        <v>25460</v>
      </c>
      <c r="G31" s="31">
        <v>12</v>
      </c>
    </row>
    <row r="32" spans="3:10">
      <c r="C32" s="28"/>
      <c r="D32" s="41"/>
      <c r="E32" s="28" t="str">
        <f t="shared" si="0"/>
        <v/>
      </c>
      <c r="F32" s="31"/>
      <c r="G32" s="31"/>
    </row>
    <row r="33" spans="3:7">
      <c r="C33" s="28"/>
      <c r="D33" s="39"/>
      <c r="E33" s="28" t="str">
        <f t="shared" si="0"/>
        <v/>
      </c>
      <c r="F33" s="31"/>
      <c r="G33" s="31"/>
    </row>
    <row r="34" spans="3:7">
      <c r="C34" s="28"/>
      <c r="D34" s="39"/>
      <c r="E34" s="28"/>
      <c r="F34" s="31"/>
      <c r="G34" s="31"/>
    </row>
    <row r="35" spans="3:7" ht="13.5" thickBot="1">
      <c r="C35" s="29"/>
      <c r="D35" s="40"/>
      <c r="E35" s="29"/>
      <c r="F35" s="32"/>
      <c r="G35" s="32"/>
    </row>
    <row r="40" spans="3:7">
      <c r="F40" s="19"/>
    </row>
  </sheetData>
  <sheetProtection sheet="1"/>
  <mergeCells count="13">
    <mergeCell ref="G24:G25"/>
    <mergeCell ref="C13:D13"/>
    <mergeCell ref="D24:E24"/>
    <mergeCell ref="C3:G5"/>
    <mergeCell ref="C24:C25"/>
    <mergeCell ref="F24:F25"/>
    <mergeCell ref="C7:F7"/>
    <mergeCell ref="C11:D11"/>
    <mergeCell ref="C17:D17"/>
    <mergeCell ref="C18:D18"/>
    <mergeCell ref="C21:F21"/>
    <mergeCell ref="C9:D9"/>
    <mergeCell ref="C14:D14"/>
  </mergeCells>
  <phoneticPr fontId="0" type="noConversion"/>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dimension ref="B1:D101"/>
  <sheetViews>
    <sheetView workbookViewId="0">
      <selection activeCell="B23" sqref="B23"/>
    </sheetView>
  </sheetViews>
  <sheetFormatPr defaultRowHeight="12.75"/>
  <cols>
    <col min="1" max="1" width="11.7109375" customWidth="1"/>
    <col min="2" max="2" width="43.85546875" bestFit="1" customWidth="1"/>
    <col min="3" max="3" width="21.7109375" bestFit="1" customWidth="1"/>
    <col min="4" max="4" width="15.7109375" bestFit="1" customWidth="1"/>
    <col min="5" max="5" width="8.5703125" bestFit="1" customWidth="1"/>
    <col min="6" max="6" width="15.7109375" bestFit="1" customWidth="1"/>
    <col min="7" max="7" width="6.5703125" bestFit="1" customWidth="1"/>
    <col min="8" max="8" width="5.42578125" bestFit="1" customWidth="1"/>
  </cols>
  <sheetData>
    <row r="1" spans="2:4">
      <c r="B1" s="50" t="s">
        <v>6</v>
      </c>
      <c r="C1" s="50"/>
      <c r="D1" s="50"/>
    </row>
    <row r="3" spans="2:4" ht="13.5" thickBot="1">
      <c r="B3" s="51" t="s">
        <v>12</v>
      </c>
      <c r="C3" s="51"/>
      <c r="D3" s="51"/>
    </row>
    <row r="4" spans="2:4" ht="13.5" thickBot="1">
      <c r="B4" s="11" t="s">
        <v>4</v>
      </c>
      <c r="C4" s="11" t="s">
        <v>0</v>
      </c>
      <c r="D4" s="12" t="s">
        <v>1</v>
      </c>
    </row>
    <row r="5" spans="2:4">
      <c r="B5" s="26" t="str">
        <f>Input!B5</f>
        <v>Equipment Name</v>
      </c>
      <c r="C5" s="6" t="str">
        <f>IF(Input!C5="","",Input!C5)</f>
        <v/>
      </c>
      <c r="D5" s="6" t="str">
        <f>IF(Input!D5="","",Input!D5)</f>
        <v/>
      </c>
    </row>
    <row r="6" spans="2:4">
      <c r="B6" s="25" t="str">
        <f>Input!B6</f>
        <v>CpRemarks2</v>
      </c>
      <c r="C6" s="6" t="str">
        <f>IF(Input!C6="","",Input!C6)</f>
        <v/>
      </c>
      <c r="D6" s="6" t="str">
        <f>IF(Input!D6="","",Input!D6)</f>
        <v/>
      </c>
    </row>
    <row r="7" spans="2:4">
      <c r="B7" s="25" t="str">
        <f>Input!B7</f>
        <v>CpExchangerVolume</v>
      </c>
      <c r="C7" s="49" t="str">
        <f>IF(Input!C7="","",Input!C7)</f>
        <v/>
      </c>
      <c r="D7" s="6" t="str">
        <f>IF(Input!D7="","",Input!D7)</f>
        <v>M3</v>
      </c>
    </row>
    <row r="8" spans="2:4">
      <c r="B8" s="25" t="str">
        <f>Input!B8</f>
        <v>CpItemClassification</v>
      </c>
      <c r="C8" s="6" t="str">
        <f>IF(Input!C8="","",Input!C8)</f>
        <v/>
      </c>
      <c r="D8" s="6" t="str">
        <f>IF(Input!D8="","",Input!D8)</f>
        <v/>
      </c>
    </row>
    <row r="9" spans="2:4">
      <c r="B9" s="25" t="str">
        <f>Input!B9</f>
        <v>CpCodeOfAccount</v>
      </c>
      <c r="C9" s="24">
        <f>'Custom Rules'!E9</f>
        <v>266</v>
      </c>
      <c r="D9" s="6" t="str">
        <f>IF(Input!D9="","",Input!D9)</f>
        <v/>
      </c>
    </row>
    <row r="10" spans="2:4">
      <c r="B10" s="25" t="str">
        <f>Input!B10</f>
        <v>CpExchangerLength</v>
      </c>
      <c r="C10" s="49" t="str">
        <f>IF(Input!C10="","",Input!C10)</f>
        <v/>
      </c>
      <c r="D10" s="6" t="str">
        <f>IF(Input!D10="","",Input!D10)</f>
        <v/>
      </c>
    </row>
    <row r="11" spans="2:4">
      <c r="B11" s="25" t="str">
        <f>Input!B11</f>
        <v>CpExchangerWidth</v>
      </c>
      <c r="C11" s="49" t="str">
        <f>IF(Input!C11="","",Input!C11)</f>
        <v/>
      </c>
      <c r="D11" s="6" t="str">
        <f>IF(Input!D11="","",Input!D11)</f>
        <v/>
      </c>
    </row>
    <row r="12" spans="2:4">
      <c r="B12" s="25" t="str">
        <f>Input!B12</f>
        <v>CpExchangerDepth</v>
      </c>
      <c r="C12" s="49" t="str">
        <f>IF(Input!C12="","",Input!C12)</f>
        <v/>
      </c>
      <c r="D12" s="6" t="str">
        <f>IF(Input!D12="","",Input!D12)</f>
        <v/>
      </c>
    </row>
    <row r="13" spans="2:4">
      <c r="B13" s="25" t="str">
        <f>Input!B13</f>
        <v>CpLaborHoursPerUnit</v>
      </c>
      <c r="C13" s="49" t="str">
        <f>IF(Input!C13="",'Custom Rules'!E14,Input!C13)</f>
        <v/>
      </c>
      <c r="D13" s="6" t="str">
        <f>IF(Input!D13="","",Input!D13)</f>
        <v/>
      </c>
    </row>
    <row r="14" spans="2:4">
      <c r="B14" s="25" t="str">
        <f>Input!B14</f>
        <v>CpMaterialCostPerUnit</v>
      </c>
      <c r="C14" s="49" t="str">
        <f>IF(OR(Input!C14="",Input!C14="?"),'Custom Rules'!E18,Input!C14)</f>
        <v/>
      </c>
      <c r="D14" s="6" t="str">
        <f>IF(Input!D14="","",Input!D14)</f>
        <v/>
      </c>
    </row>
    <row r="39" spans="2:4" ht="13.5" thickBot="1"/>
    <row r="40" spans="2:4" ht="13.5" thickBot="1">
      <c r="B40" s="11" t="s">
        <v>3</v>
      </c>
      <c r="C40" s="11" t="s">
        <v>0</v>
      </c>
      <c r="D40" s="12" t="s">
        <v>1</v>
      </c>
    </row>
    <row r="41" spans="2:4">
      <c r="B41" s="3" t="s">
        <v>2</v>
      </c>
      <c r="C41" s="6" t="str">
        <f>IF(Input!C41="","",Input!C41)</f>
        <v/>
      </c>
      <c r="D41" s="6" t="str">
        <f>IF(Input!D41="","",Input!D41)</f>
        <v/>
      </c>
    </row>
    <row r="42" spans="2:4">
      <c r="B42" s="3" t="s">
        <v>8</v>
      </c>
      <c r="C42" s="6" t="str">
        <f>IF(Input!C42="","",Input!C42)</f>
        <v/>
      </c>
      <c r="D42" s="6" t="str">
        <f>IF(Input!D42="","",Input!D42)</f>
        <v/>
      </c>
    </row>
    <row r="43" spans="2:4">
      <c r="B43" s="13" t="s">
        <v>7</v>
      </c>
      <c r="C43" s="6" t="str">
        <f>IF(Input!C43="","",Input!C43)</f>
        <v/>
      </c>
      <c r="D43" s="6" t="str">
        <f>IF(Input!D43="","",Input!D43)</f>
        <v/>
      </c>
    </row>
    <row r="68" spans="2:3" ht="13.5" thickBot="1"/>
    <row r="69" spans="2:3" ht="13.5" thickBot="1">
      <c r="B69" s="11" t="s">
        <v>10</v>
      </c>
      <c r="C69" s="11" t="s">
        <v>0</v>
      </c>
    </row>
    <row r="70" spans="2:3">
      <c r="B70" s="13" t="s">
        <v>7</v>
      </c>
      <c r="C70" s="6" t="str">
        <f>IF(Input!C35="","",Input!C35)</f>
        <v/>
      </c>
    </row>
    <row r="98" spans="2:3" ht="13.5" thickBot="1"/>
    <row r="99" spans="2:3" ht="13.5" thickBot="1">
      <c r="B99" s="11" t="s">
        <v>11</v>
      </c>
      <c r="C99" s="11" t="s">
        <v>0</v>
      </c>
    </row>
    <row r="100" spans="2:3">
      <c r="B100" s="8" t="s">
        <v>13</v>
      </c>
      <c r="C100" s="7"/>
    </row>
    <row r="101" spans="2:3">
      <c r="B101" s="13" t="s">
        <v>7</v>
      </c>
      <c r="C101" s="7"/>
    </row>
  </sheetData>
  <mergeCells count="2">
    <mergeCell ref="B1:D1"/>
    <mergeCell ref="B3:D3"/>
  </mergeCells>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dimension ref="C3:I46"/>
  <sheetViews>
    <sheetView topLeftCell="B1" workbookViewId="0">
      <selection activeCell="E51" sqref="E51"/>
    </sheetView>
  </sheetViews>
  <sheetFormatPr defaultRowHeight="12.75"/>
  <cols>
    <col min="3" max="3" width="19.7109375" customWidth="1"/>
    <col min="4" max="4" width="24.85546875" customWidth="1"/>
    <col min="5" max="5" width="22.85546875" customWidth="1"/>
    <col min="6" max="6" width="34" customWidth="1"/>
    <col min="7" max="7" width="17.7109375" customWidth="1"/>
  </cols>
  <sheetData>
    <row r="3" spans="3:9"/>
    <row r="8" spans="3:9">
      <c r="C8" t="s">
        <v>39</v>
      </c>
      <c r="D8">
        <v>0.03</v>
      </c>
      <c r="E8">
        <v>0.1</v>
      </c>
      <c r="F8">
        <v>0.3</v>
      </c>
      <c r="G8">
        <v>1</v>
      </c>
      <c r="H8">
        <v>3</v>
      </c>
      <c r="I8">
        <v>10</v>
      </c>
    </row>
    <row r="9" spans="3:9">
      <c r="C9" t="s">
        <v>40</v>
      </c>
      <c r="D9" s="37">
        <f t="shared" ref="D9:I9" si="0">D8/0.7</f>
        <v>4.2857142857142858E-2</v>
      </c>
      <c r="E9" s="37">
        <f t="shared" si="0"/>
        <v>0.14285714285714288</v>
      </c>
      <c r="F9" s="37">
        <f t="shared" si="0"/>
        <v>0.4285714285714286</v>
      </c>
      <c r="G9" s="37">
        <f t="shared" si="0"/>
        <v>1.4285714285714286</v>
      </c>
      <c r="H9" s="37">
        <f t="shared" si="0"/>
        <v>4.2857142857142856</v>
      </c>
      <c r="I9" s="37">
        <f t="shared" si="0"/>
        <v>14.285714285714286</v>
      </c>
    </row>
    <row r="13" spans="3:9">
      <c r="C13" t="s">
        <v>41</v>
      </c>
      <c r="D13">
        <v>450</v>
      </c>
      <c r="E13">
        <v>160</v>
      </c>
      <c r="F13">
        <v>71</v>
      </c>
      <c r="G13">
        <v>34</v>
      </c>
      <c r="H13">
        <v>20</v>
      </c>
      <c r="I13">
        <v>12</v>
      </c>
    </row>
    <row r="14" spans="3:9">
      <c r="C14" t="s">
        <v>42</v>
      </c>
      <c r="D14">
        <f t="shared" ref="D14:I14" si="1">D13*1000*0.6</f>
        <v>270000</v>
      </c>
      <c r="E14">
        <f t="shared" si="1"/>
        <v>96000</v>
      </c>
      <c r="F14">
        <f t="shared" si="1"/>
        <v>42600</v>
      </c>
      <c r="G14">
        <f t="shared" si="1"/>
        <v>20400</v>
      </c>
      <c r="H14">
        <f t="shared" si="1"/>
        <v>12000</v>
      </c>
      <c r="I14">
        <f t="shared" si="1"/>
        <v>7200</v>
      </c>
    </row>
    <row r="17" spans="4:5">
      <c r="D17" t="s">
        <v>40</v>
      </c>
      <c r="E17" t="s">
        <v>42</v>
      </c>
    </row>
    <row r="18" spans="4:5">
      <c r="D18" s="37">
        <v>4.2857142857142858E-2</v>
      </c>
      <c r="E18" s="37">
        <v>270000</v>
      </c>
    </row>
    <row r="19" spans="4:5">
      <c r="D19" s="37">
        <v>0.14285714285714288</v>
      </c>
      <c r="E19" s="37">
        <v>96000</v>
      </c>
    </row>
    <row r="20" spans="4:5">
      <c r="D20" s="37">
        <v>0.4285714285714286</v>
      </c>
      <c r="E20" s="37">
        <v>42600</v>
      </c>
    </row>
    <row r="21" spans="4:5">
      <c r="D21" s="37">
        <v>1.4285714285714286</v>
      </c>
      <c r="E21" s="37">
        <v>20400</v>
      </c>
    </row>
    <row r="22" spans="4:5">
      <c r="D22" s="37">
        <v>4.2857142857142856</v>
      </c>
      <c r="E22" s="37">
        <v>12000</v>
      </c>
    </row>
    <row r="23" spans="4:5">
      <c r="D23" s="37">
        <v>14.285714285714286</v>
      </c>
      <c r="E23" s="37">
        <v>7200</v>
      </c>
    </row>
    <row r="29" spans="4:5">
      <c r="D29" t="s">
        <v>49</v>
      </c>
    </row>
    <row r="30" spans="4:5">
      <c r="D30" s="42" t="s">
        <v>43</v>
      </c>
      <c r="E30" s="42" t="s">
        <v>44</v>
      </c>
    </row>
    <row r="31" spans="4:5">
      <c r="D31">
        <v>4</v>
      </c>
      <c r="E31">
        <v>100</v>
      </c>
    </row>
    <row r="32" spans="4:5">
      <c r="D32">
        <v>38</v>
      </c>
      <c r="E32">
        <v>390</v>
      </c>
    </row>
    <row r="34" spans="4:7">
      <c r="E34" t="s">
        <v>45</v>
      </c>
    </row>
    <row r="36" spans="4:7">
      <c r="D36" s="43" t="s">
        <v>46</v>
      </c>
      <c r="E36" s="43" t="s">
        <v>47</v>
      </c>
      <c r="F36" s="43" t="s">
        <v>48</v>
      </c>
      <c r="G36" s="43" t="s">
        <v>50</v>
      </c>
    </row>
    <row r="37" spans="4:7">
      <c r="D37" s="44">
        <v>0.05</v>
      </c>
      <c r="E37" s="45">
        <f t="shared" ref="E37:E42" si="2">(POWER(D37,1/3)*3.28)</f>
        <v>1.2083623315540468</v>
      </c>
      <c r="F37" s="45">
        <v>10.709288327926558</v>
      </c>
      <c r="G37" s="45">
        <f>TRUNC(F37)</f>
        <v>10</v>
      </c>
    </row>
    <row r="38" spans="4:7">
      <c r="D38" s="44">
        <v>0.15</v>
      </c>
      <c r="E38" s="45">
        <f t="shared" si="2"/>
        <v>1.7427600534594823</v>
      </c>
      <c r="F38" s="45">
        <v>10.709288327926558</v>
      </c>
      <c r="G38" s="45">
        <f t="shared" ref="G38:G46" si="3">TRUNC(F38)</f>
        <v>10</v>
      </c>
    </row>
    <row r="39" spans="4:7">
      <c r="D39" s="44">
        <v>0.45</v>
      </c>
      <c r="E39" s="45">
        <f t="shared" si="2"/>
        <v>2.513494938250854</v>
      </c>
      <c r="F39" s="45">
        <f t="shared" ref="F39:F46" si="4">128.81*LN(E39)- 78.575</f>
        <v>40.145852455565105</v>
      </c>
      <c r="G39" s="45">
        <f t="shared" si="3"/>
        <v>40</v>
      </c>
    </row>
    <row r="40" spans="4:7">
      <c r="D40" s="44">
        <v>1.45</v>
      </c>
      <c r="E40" s="45">
        <f t="shared" si="2"/>
        <v>3.7124719227584779</v>
      </c>
      <c r="F40" s="45">
        <f t="shared" si="4"/>
        <v>90.384811806858195</v>
      </c>
      <c r="G40" s="45">
        <f t="shared" si="3"/>
        <v>90</v>
      </c>
    </row>
    <row r="41" spans="4:7">
      <c r="D41" s="44">
        <v>4.3</v>
      </c>
      <c r="E41" s="45">
        <f t="shared" si="2"/>
        <v>5.3337173279076726</v>
      </c>
      <c r="F41" s="45">
        <f t="shared" si="4"/>
        <v>137.05917826347707</v>
      </c>
      <c r="G41" s="45">
        <v>140</v>
      </c>
    </row>
    <row r="42" spans="4:7">
      <c r="D42" s="44">
        <v>14.3</v>
      </c>
      <c r="E42" s="45">
        <f t="shared" si="2"/>
        <v>7.9613342207675775</v>
      </c>
      <c r="F42" s="45">
        <f t="shared" si="4"/>
        <v>188.65378823724075</v>
      </c>
      <c r="G42" s="45">
        <v>190</v>
      </c>
    </row>
    <row r="43" spans="4:7">
      <c r="D43" s="45"/>
      <c r="E43" s="46">
        <v>10</v>
      </c>
      <c r="F43" s="46">
        <f>128.81*LN(E43)- 78.575</f>
        <v>218.02098582856308</v>
      </c>
      <c r="G43" s="45">
        <v>200</v>
      </c>
    </row>
    <row r="44" spans="4:7">
      <c r="D44" s="45"/>
      <c r="E44" s="46">
        <v>2</v>
      </c>
      <c r="F44" s="46">
        <f>128.81*LN(E44)- 78.575</f>
        <v>10.709288327926558</v>
      </c>
      <c r="G44" s="45">
        <f t="shared" si="3"/>
        <v>10</v>
      </c>
    </row>
    <row r="45" spans="4:7">
      <c r="D45" s="45"/>
      <c r="E45" s="45">
        <v>4</v>
      </c>
      <c r="F45" s="45">
        <f t="shared" si="4"/>
        <v>99.993576655853118</v>
      </c>
      <c r="G45" s="45">
        <f t="shared" si="3"/>
        <v>99</v>
      </c>
    </row>
    <row r="46" spans="4:7">
      <c r="D46" s="45"/>
      <c r="E46" s="45">
        <v>38</v>
      </c>
      <c r="F46" s="45">
        <f t="shared" si="4"/>
        <v>389.98247323435578</v>
      </c>
      <c r="G46" s="45">
        <f t="shared" si="3"/>
        <v>389</v>
      </c>
    </row>
  </sheetData>
  <sheetProtection password="D95B" sheet="1" objects="1" scenarios="1"/>
  <phoneticPr fontId="0" type="noConversion"/>
  <pageMargins left="0.75" right="0.75" top="1" bottom="1" header="0.5" footer="0.5"/>
  <headerFooter alignWithMargins="0"/>
  <drawing r:id="rId1"/>
  <legacyDrawing r:id="rId2"/>
</worksheet>
</file>

<file path=xl/worksheets/sheet5.xml><?xml version="1.0" encoding="utf-8"?>
<worksheet xmlns="http://schemas.openxmlformats.org/spreadsheetml/2006/main" xmlns:r="http://schemas.openxmlformats.org/officeDocument/2006/relationships">
  <dimension ref="C5:D7"/>
  <sheetViews>
    <sheetView workbookViewId="0">
      <selection activeCell="D8" sqref="D8"/>
    </sheetView>
  </sheetViews>
  <sheetFormatPr defaultRowHeight="12.75"/>
  <cols>
    <col min="3" max="3" width="11.42578125" customWidth="1"/>
    <col min="4" max="4" width="66.140625" customWidth="1"/>
  </cols>
  <sheetData>
    <row r="5" spans="3:4">
      <c r="C5" s="36" t="s">
        <v>36</v>
      </c>
      <c r="D5" s="36" t="s">
        <v>37</v>
      </c>
    </row>
    <row r="6" spans="3:4">
      <c r="C6" s="35">
        <v>38011</v>
      </c>
      <c r="D6" t="s">
        <v>38</v>
      </c>
    </row>
    <row r="7" spans="3:4">
      <c r="C7" s="35">
        <v>38019</v>
      </c>
      <c r="D7" t="s">
        <v>51</v>
      </c>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Input</vt:lpstr>
      <vt:lpstr>Custom Rules</vt:lpstr>
      <vt:lpstr>Output</vt:lpstr>
      <vt:lpstr>SampleCostData</vt:lpstr>
      <vt:lpstr>UpdateHistory</vt:lpstr>
      <vt:lpstr>CostperVol</vt:lpstr>
      <vt:lpstr>ExchVolume</vt:lpstr>
      <vt:lpstr>LaborHrsperVol</vt:lpstr>
      <vt:lpstr>RANGE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khannar</dc:creator>
  <cp:lastModifiedBy>Aspen Technology, INC.</cp:lastModifiedBy>
  <dcterms:created xsi:type="dcterms:W3CDTF">2001-11-27T16:36:30Z</dcterms:created>
  <dcterms:modified xsi:type="dcterms:W3CDTF">2013-04-30T17:38:05Z</dcterms:modified>
</cp:coreProperties>
</file>