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35" windowWidth="19020" windowHeight="11640"/>
  </bookViews>
  <sheets>
    <sheet name="Input" sheetId="1" r:id="rId1"/>
    <sheet name="Custom Rules" sheetId="2" r:id="rId2"/>
    <sheet name="Output" sheetId="3" r:id="rId3"/>
  </sheets>
  <calcPr calcId="125725"/>
</workbook>
</file>

<file path=xl/calcChain.xml><?xml version="1.0" encoding="utf-8"?>
<calcChain xmlns="http://schemas.openxmlformats.org/spreadsheetml/2006/main">
  <c r="G22" i="2"/>
  <c r="O22" s="1"/>
  <c r="J44" i="3" s="1"/>
  <c r="G20" i="2"/>
  <c r="O20" s="1"/>
  <c r="J49" i="3" s="1"/>
  <c r="G19" i="2"/>
  <c r="O19" s="1"/>
  <c r="J51" i="3" s="1"/>
  <c r="H33" i="2"/>
  <c r="N22" s="1"/>
  <c r="I44" i="3" s="1"/>
  <c r="H8" i="2"/>
  <c r="F20"/>
  <c r="H31"/>
  <c r="N20"/>
  <c r="H7"/>
  <c r="F19"/>
  <c r="H30"/>
  <c r="N19"/>
  <c r="I51" i="3" s="1"/>
  <c r="G21" i="2"/>
  <c r="O21"/>
  <c r="J52" i="3" s="1"/>
  <c r="K42" i="2"/>
  <c r="K41"/>
  <c r="D5" i="3" s="1"/>
  <c r="J42" i="2"/>
  <c r="J41"/>
  <c r="C5" i="3" s="1"/>
  <c r="H9" i="2"/>
  <c r="F21"/>
  <c r="N21" s="1"/>
  <c r="I52" i="3" s="1"/>
  <c r="H32" i="2"/>
  <c r="I33"/>
  <c r="I32"/>
  <c r="I31"/>
  <c r="I30"/>
  <c r="F22"/>
  <c r="I10"/>
  <c r="I9"/>
  <c r="H10"/>
  <c r="I8"/>
  <c r="I7"/>
  <c r="N18"/>
  <c r="H29"/>
  <c r="F18"/>
  <c r="H6"/>
  <c r="I49" i="3"/>
  <c r="C42"/>
  <c r="D42"/>
  <c r="E42"/>
  <c r="F42"/>
  <c r="G42"/>
  <c r="H42"/>
  <c r="I42"/>
  <c r="J42"/>
  <c r="C43"/>
  <c r="D43"/>
  <c r="E43"/>
  <c r="F43"/>
  <c r="G43"/>
  <c r="H43"/>
  <c r="I43"/>
  <c r="J43"/>
  <c r="C44"/>
  <c r="D44"/>
  <c r="E44"/>
  <c r="F44"/>
  <c r="G44"/>
  <c r="H44"/>
  <c r="C45"/>
  <c r="D45"/>
  <c r="E45"/>
  <c r="F45"/>
  <c r="G45"/>
  <c r="H45"/>
  <c r="I45"/>
  <c r="J45"/>
  <c r="C46"/>
  <c r="D46"/>
  <c r="E46"/>
  <c r="F46"/>
  <c r="G46"/>
  <c r="H46"/>
  <c r="I46"/>
  <c r="J46"/>
  <c r="C47"/>
  <c r="D47"/>
  <c r="E47"/>
  <c r="F47"/>
  <c r="G47"/>
  <c r="H47"/>
  <c r="I47"/>
  <c r="J47"/>
  <c r="C48"/>
  <c r="D48"/>
  <c r="E48"/>
  <c r="F48"/>
  <c r="G48"/>
  <c r="H48"/>
  <c r="I48"/>
  <c r="J48"/>
  <c r="C49"/>
  <c r="D49"/>
  <c r="E49"/>
  <c r="F49"/>
  <c r="G49"/>
  <c r="H49"/>
  <c r="C50"/>
  <c r="D50"/>
  <c r="E50"/>
  <c r="F50"/>
  <c r="G50"/>
  <c r="H50"/>
  <c r="I50"/>
  <c r="J50"/>
  <c r="C51"/>
  <c r="D51"/>
  <c r="E51"/>
  <c r="F51"/>
  <c r="G51"/>
  <c r="H51"/>
  <c r="C52"/>
  <c r="D52"/>
  <c r="E52"/>
  <c r="F52"/>
  <c r="G52"/>
  <c r="H52"/>
  <c r="C53"/>
  <c r="D53"/>
  <c r="E53"/>
  <c r="F53"/>
  <c r="G53"/>
  <c r="H53"/>
  <c r="I53"/>
  <c r="J53"/>
  <c r="C54"/>
  <c r="D54"/>
  <c r="E54"/>
  <c r="F54"/>
  <c r="G54"/>
  <c r="H54"/>
  <c r="I54"/>
  <c r="J54"/>
  <c r="C55"/>
  <c r="D55"/>
  <c r="E55"/>
  <c r="F55"/>
  <c r="G55"/>
  <c r="H55"/>
  <c r="I55"/>
  <c r="J55"/>
  <c r="C56"/>
  <c r="D56"/>
  <c r="E56"/>
  <c r="F56"/>
  <c r="G56"/>
  <c r="H56"/>
  <c r="I56"/>
  <c r="J56"/>
  <c r="C57"/>
  <c r="D57"/>
  <c r="E57"/>
  <c r="F57"/>
  <c r="G57"/>
  <c r="H57"/>
  <c r="I57"/>
  <c r="J57"/>
  <c r="D41"/>
  <c r="E41"/>
  <c r="F41"/>
  <c r="G41"/>
  <c r="H41"/>
  <c r="I41"/>
  <c r="J41"/>
  <c r="C41"/>
  <c r="D6"/>
  <c r="C6"/>
</calcChain>
</file>

<file path=xl/sharedStrings.xml><?xml version="1.0" encoding="utf-8"?>
<sst xmlns="http://schemas.openxmlformats.org/spreadsheetml/2006/main" count="98" uniqueCount="33">
  <si>
    <t>Value</t>
  </si>
  <si>
    <t>Units</t>
  </si>
  <si>
    <t>Stream Name</t>
  </si>
  <si>
    <t>Connection Stream Information</t>
  </si>
  <si>
    <t>Item Information</t>
  </si>
  <si>
    <t>Equipment Name</t>
  </si>
  <si>
    <t>User Model Output Template</t>
  </si>
  <si>
    <t>Stream Direction</t>
  </si>
  <si>
    <t>CpLiquidFlowrate</t>
  </si>
  <si>
    <t>Liquid Conductivity</t>
  </si>
  <si>
    <t>Liquid Mass Density</t>
  </si>
  <si>
    <t>Liquid Mass Flow</t>
  </si>
  <si>
    <t>Liquid Specific Heat Capacity</t>
  </si>
  <si>
    <t>Liquid Viscosity</t>
  </si>
  <si>
    <t>Molecular Weight</t>
  </si>
  <si>
    <t>Pressure</t>
  </si>
  <si>
    <t>Surface Tension</t>
  </si>
  <si>
    <t>Temperature</t>
  </si>
  <si>
    <t>Total Mass Flow</t>
  </si>
  <si>
    <t>Vapor Conductivity</t>
  </si>
  <si>
    <t>Vapor Mass Density</t>
  </si>
  <si>
    <t>Vapor Mass Flow</t>
  </si>
  <si>
    <t>Vapor Specific Heat Capacity</t>
  </si>
  <si>
    <t>Vapor Viscosity</t>
  </si>
  <si>
    <t>Liquid Density</t>
  </si>
  <si>
    <t>CUSTOMIZED Project Component</t>
  </si>
  <si>
    <t>Custom Rules</t>
  </si>
  <si>
    <r>
      <t>(Total Mass Flow)</t>
    </r>
    <r>
      <rPr>
        <vertAlign val="subscript"/>
        <sz val="10"/>
        <color indexed="10"/>
        <rFont val="Arial"/>
        <family val="2"/>
      </rPr>
      <t>Out</t>
    </r>
    <r>
      <rPr>
        <sz val="10"/>
        <color indexed="10"/>
        <rFont val="Arial"/>
        <family val="2"/>
      </rPr>
      <t xml:space="preserve"> = (Total Mass Flow)</t>
    </r>
    <r>
      <rPr>
        <vertAlign val="subscript"/>
        <sz val="10"/>
        <color indexed="10"/>
        <rFont val="Arial"/>
        <family val="2"/>
      </rPr>
      <t>Summation - All Inputs</t>
    </r>
  </si>
  <si>
    <t>STATIC MIXER</t>
  </si>
  <si>
    <t>User Model Input Template</t>
  </si>
  <si>
    <r>
      <t>Temperature</t>
    </r>
    <r>
      <rPr>
        <vertAlign val="subscript"/>
        <sz val="10"/>
        <color indexed="10"/>
        <rFont val="Arial"/>
        <family val="2"/>
      </rPr>
      <t>Out</t>
    </r>
    <r>
      <rPr>
        <sz val="10"/>
        <color indexed="10"/>
        <rFont val="Arial"/>
        <family val="2"/>
      </rPr>
      <t xml:space="preserve"> = Temperature</t>
    </r>
    <r>
      <rPr>
        <vertAlign val="subscript"/>
        <sz val="10"/>
        <color indexed="10"/>
        <rFont val="Arial"/>
        <family val="2"/>
      </rPr>
      <t>Avg</t>
    </r>
  </si>
  <si>
    <r>
      <t>Pressure</t>
    </r>
    <r>
      <rPr>
        <vertAlign val="subscript"/>
        <sz val="10"/>
        <color indexed="10"/>
        <rFont val="Arial"/>
        <family val="2"/>
      </rPr>
      <t>Out</t>
    </r>
    <r>
      <rPr>
        <sz val="10"/>
        <color indexed="10"/>
        <rFont val="Arial"/>
        <family val="2"/>
      </rPr>
      <t xml:space="preserve"> = Pressure</t>
    </r>
    <r>
      <rPr>
        <vertAlign val="subscript"/>
        <sz val="10"/>
        <color indexed="10"/>
        <rFont val="Arial"/>
        <family val="2"/>
      </rPr>
      <t>Avg</t>
    </r>
  </si>
  <si>
    <t>This template has been designed to be used for a Static Mixer with three input stream and single output stream.</t>
  </si>
</sst>
</file>

<file path=xl/styles.xml><?xml version="1.0" encoding="utf-8"?>
<styleSheet xmlns="http://schemas.openxmlformats.org/spreadsheetml/2006/main">
  <numFmts count="1">
    <numFmt numFmtId="164" formatCode="0.0000"/>
  </numFmts>
  <fonts count="1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b/>
      <sz val="10"/>
      <color indexed="12"/>
      <name val="Arial"/>
      <family val="2"/>
    </font>
    <font>
      <b/>
      <sz val="10"/>
      <color indexed="48"/>
      <name val="Arial"/>
      <family val="2"/>
    </font>
    <font>
      <sz val="10"/>
      <color indexed="12"/>
      <name val="Arial"/>
      <family val="2"/>
    </font>
    <font>
      <sz val="10"/>
      <color indexed="4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i/>
      <sz val="10"/>
      <color indexed="10"/>
      <name val="Arial"/>
      <family val="2"/>
    </font>
    <font>
      <vertAlign val="subscript"/>
      <sz val="10"/>
      <color indexed="10"/>
      <name val="Arial"/>
      <family val="2"/>
    </font>
    <font>
      <i/>
      <sz val="10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1" fillId="2" borderId="3" xfId="0" applyFont="1" applyFill="1" applyBorder="1"/>
    <xf numFmtId="164" fontId="1" fillId="0" borderId="4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2" fillId="3" borderId="7" xfId="0" applyFont="1" applyFill="1" applyBorder="1"/>
    <xf numFmtId="0" fontId="0" fillId="3" borderId="8" xfId="0" applyFill="1" applyBorder="1"/>
    <xf numFmtId="164" fontId="1" fillId="0" borderId="9" xfId="0" applyNumberFormat="1" applyFont="1" applyBorder="1"/>
    <xf numFmtId="164" fontId="1" fillId="0" borderId="6" xfId="0" applyNumberFormat="1" applyFont="1" applyBorder="1"/>
    <xf numFmtId="0" fontId="0" fillId="3" borderId="7" xfId="0" applyFill="1" applyBorder="1"/>
    <xf numFmtId="0" fontId="0" fillId="2" borderId="10" xfId="0" applyFill="1" applyBorder="1"/>
    <xf numFmtId="49" fontId="1" fillId="0" borderId="9" xfId="0" applyNumberFormat="1" applyFont="1" applyBorder="1"/>
    <xf numFmtId="0" fontId="2" fillId="3" borderId="8" xfId="0" applyFont="1" applyFill="1" applyBorder="1"/>
    <xf numFmtId="164" fontId="1" fillId="0" borderId="11" xfId="0" applyNumberFormat="1" applyFont="1" applyBorder="1"/>
    <xf numFmtId="49" fontId="1" fillId="0" borderId="12" xfId="0" applyNumberFormat="1" applyFont="1" applyBorder="1"/>
    <xf numFmtId="0" fontId="7" fillId="4" borderId="13" xfId="0" applyFont="1" applyFill="1" applyBorder="1" applyAlignment="1">
      <alignment horizontal="right"/>
    </xf>
    <xf numFmtId="0" fontId="7" fillId="4" borderId="14" xfId="0" applyFont="1" applyFill="1" applyBorder="1" applyAlignment="1">
      <alignment horizontal="right"/>
    </xf>
    <xf numFmtId="0" fontId="7" fillId="4" borderId="15" xfId="0" applyFont="1" applyFill="1" applyBorder="1" applyAlignment="1">
      <alignment horizontal="right"/>
    </xf>
    <xf numFmtId="0" fontId="7" fillId="4" borderId="16" xfId="0" applyFont="1" applyFill="1" applyBorder="1" applyAlignment="1">
      <alignment horizontal="right"/>
    </xf>
    <xf numFmtId="0" fontId="7" fillId="4" borderId="17" xfId="0" applyFont="1" applyFill="1" applyBorder="1" applyAlignment="1">
      <alignment horizontal="right"/>
    </xf>
    <xf numFmtId="0" fontId="7" fillId="4" borderId="18" xfId="0" applyFont="1" applyFill="1" applyBorder="1" applyAlignment="1">
      <alignment horizontal="right"/>
    </xf>
    <xf numFmtId="0" fontId="9" fillId="4" borderId="15" xfId="0" applyFont="1" applyFill="1" applyBorder="1" applyAlignment="1">
      <alignment horizontal="right"/>
    </xf>
    <xf numFmtId="0" fontId="9" fillId="4" borderId="16" xfId="0" applyFont="1" applyFill="1" applyBorder="1" applyAlignment="1">
      <alignment horizontal="right"/>
    </xf>
    <xf numFmtId="0" fontId="10" fillId="0" borderId="0" xfId="0" applyFont="1"/>
    <xf numFmtId="0" fontId="0" fillId="4" borderId="0" xfId="0" applyFill="1"/>
    <xf numFmtId="0" fontId="11" fillId="4" borderId="0" xfId="0" applyFont="1" applyFill="1"/>
    <xf numFmtId="0" fontId="8" fillId="4" borderId="0" xfId="0" applyFont="1" applyFill="1"/>
    <xf numFmtId="164" fontId="1" fillId="0" borderId="19" xfId="0" applyNumberFormat="1" applyFont="1" applyBorder="1"/>
    <xf numFmtId="164" fontId="1" fillId="0" borderId="20" xfId="0" applyNumberFormat="1" applyFont="1" applyBorder="1"/>
    <xf numFmtId="0" fontId="1" fillId="0" borderId="9" xfId="0" applyFont="1" applyBorder="1"/>
    <xf numFmtId="0" fontId="1" fillId="0" borderId="19" xfId="0" applyFont="1" applyBorder="1"/>
    <xf numFmtId="0" fontId="1" fillId="0" borderId="20" xfId="0" applyFont="1" applyBorder="1"/>
    <xf numFmtId="0" fontId="8" fillId="4" borderId="13" xfId="0" applyFont="1" applyFill="1" applyBorder="1" applyAlignment="1">
      <alignment horizontal="right"/>
    </xf>
    <xf numFmtId="0" fontId="8" fillId="4" borderId="14" xfId="0" applyFont="1" applyFill="1" applyBorder="1" applyAlignment="1">
      <alignment horizontal="right"/>
    </xf>
    <xf numFmtId="0" fontId="8" fillId="4" borderId="15" xfId="0" applyFont="1" applyFill="1" applyBorder="1" applyAlignment="1">
      <alignment horizontal="right"/>
    </xf>
    <xf numFmtId="0" fontId="8" fillId="4" borderId="16" xfId="0" applyFont="1" applyFill="1" applyBorder="1" applyAlignment="1">
      <alignment horizontal="right"/>
    </xf>
    <xf numFmtId="0" fontId="8" fillId="4" borderId="17" xfId="0" applyFont="1" applyFill="1" applyBorder="1" applyAlignment="1">
      <alignment horizontal="right"/>
    </xf>
    <xf numFmtId="0" fontId="8" fillId="4" borderId="18" xfId="0" applyFont="1" applyFill="1" applyBorder="1" applyAlignment="1">
      <alignment horizontal="right"/>
    </xf>
    <xf numFmtId="0" fontId="9" fillId="0" borderId="9" xfId="0" applyFont="1" applyBorder="1"/>
    <xf numFmtId="0" fontId="9" fillId="0" borderId="6" xfId="0" applyFont="1" applyBorder="1"/>
    <xf numFmtId="0" fontId="1" fillId="5" borderId="3" xfId="0" applyFont="1" applyFill="1" applyBorder="1"/>
    <xf numFmtId="0" fontId="1" fillId="5" borderId="1" xfId="0" applyFont="1" applyFill="1" applyBorder="1"/>
    <xf numFmtId="0" fontId="1" fillId="6" borderId="3" xfId="0" applyFont="1" applyFill="1" applyBorder="1"/>
    <xf numFmtId="0" fontId="1" fillId="6" borderId="1" xfId="0" applyFont="1" applyFill="1" applyBorder="1"/>
    <xf numFmtId="0" fontId="0" fillId="7" borderId="10" xfId="0" applyFill="1" applyBorder="1"/>
    <xf numFmtId="0" fontId="0" fillId="7" borderId="2" xfId="0" applyFill="1" applyBorder="1"/>
    <xf numFmtId="0" fontId="3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23</xdr:row>
      <xdr:rowOff>9525</xdr:rowOff>
    </xdr:from>
    <xdr:to>
      <xdr:col>8</xdr:col>
      <xdr:colOff>257175</xdr:colOff>
      <xdr:row>23</xdr:row>
      <xdr:rowOff>9525</xdr:rowOff>
    </xdr:to>
    <xdr:sp macro="" textlink="">
      <xdr:nvSpPr>
        <xdr:cNvPr id="1028" name="Line 4"/>
        <xdr:cNvSpPr>
          <a:spLocks noChangeShapeType="1"/>
        </xdr:cNvSpPr>
      </xdr:nvSpPr>
      <xdr:spPr bwMode="auto">
        <a:xfrm flipV="1">
          <a:off x="1238250" y="3829050"/>
          <a:ext cx="468630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600075</xdr:colOff>
      <xdr:row>27</xdr:row>
      <xdr:rowOff>114300</xdr:rowOff>
    </xdr:from>
    <xdr:to>
      <xdr:col>9</xdr:col>
      <xdr:colOff>295275</xdr:colOff>
      <xdr:row>34</xdr:row>
      <xdr:rowOff>0</xdr:rowOff>
    </xdr:to>
    <xdr:grpSp>
      <xdr:nvGrpSpPr>
        <xdr:cNvPr id="1031" name="Group 7"/>
        <xdr:cNvGrpSpPr>
          <a:grpSpLocks/>
        </xdr:cNvGrpSpPr>
      </xdr:nvGrpSpPr>
      <xdr:grpSpPr bwMode="auto">
        <a:xfrm>
          <a:off x="2428875" y="4581525"/>
          <a:ext cx="4962525" cy="1123950"/>
          <a:chOff x="257" y="471"/>
          <a:chExt cx="577" cy="107"/>
        </a:xfrm>
      </xdr:grpSpPr>
      <xdr:sp macro="" textlink="">
        <xdr:nvSpPr>
          <xdr:cNvPr id="1029" name="Line 5"/>
          <xdr:cNvSpPr>
            <a:spLocks noChangeShapeType="1"/>
          </xdr:cNvSpPr>
        </xdr:nvSpPr>
        <xdr:spPr bwMode="auto">
          <a:xfrm flipV="1">
            <a:off x="832" y="471"/>
            <a:ext cx="0" cy="105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0" name="Line 6"/>
          <xdr:cNvSpPr>
            <a:spLocks noChangeShapeType="1"/>
          </xdr:cNvSpPr>
        </xdr:nvSpPr>
        <xdr:spPr bwMode="auto">
          <a:xfrm flipH="1">
            <a:off x="257" y="578"/>
            <a:ext cx="577" cy="0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0</xdr:colOff>
      <xdr:row>11</xdr:row>
      <xdr:rowOff>9525</xdr:rowOff>
    </xdr:from>
    <xdr:to>
      <xdr:col>9</xdr:col>
      <xdr:colOff>247650</xdr:colOff>
      <xdr:row>18</xdr:row>
      <xdr:rowOff>9525</xdr:rowOff>
    </xdr:to>
    <xdr:grpSp>
      <xdr:nvGrpSpPr>
        <xdr:cNvPr id="1032" name="Group 8"/>
        <xdr:cNvGrpSpPr>
          <a:grpSpLocks/>
        </xdr:cNvGrpSpPr>
      </xdr:nvGrpSpPr>
      <xdr:grpSpPr bwMode="auto">
        <a:xfrm flipV="1">
          <a:off x="2438400" y="1857375"/>
          <a:ext cx="4905375" cy="1152525"/>
          <a:chOff x="257" y="471"/>
          <a:chExt cx="577" cy="107"/>
        </a:xfrm>
      </xdr:grpSpPr>
      <xdr:sp macro="" textlink="">
        <xdr:nvSpPr>
          <xdr:cNvPr id="1033" name="Line 9"/>
          <xdr:cNvSpPr>
            <a:spLocks noChangeShapeType="1"/>
          </xdr:cNvSpPr>
        </xdr:nvSpPr>
        <xdr:spPr bwMode="auto">
          <a:xfrm flipV="1">
            <a:off x="832" y="471"/>
            <a:ext cx="0" cy="105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4" name="Line 10"/>
          <xdr:cNvSpPr>
            <a:spLocks noChangeShapeType="1"/>
          </xdr:cNvSpPr>
        </xdr:nvSpPr>
        <xdr:spPr bwMode="auto">
          <a:xfrm flipH="1">
            <a:off x="257" y="578"/>
            <a:ext cx="577" cy="0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9</xdr:col>
      <xdr:colOff>1571625</xdr:colOff>
      <xdr:row>23</xdr:row>
      <xdr:rowOff>0</xdr:rowOff>
    </xdr:from>
    <xdr:to>
      <xdr:col>15</xdr:col>
      <xdr:colOff>419100</xdr:colOff>
      <xdr:row>23</xdr:row>
      <xdr:rowOff>9525</xdr:rowOff>
    </xdr:to>
    <xdr:sp macro="" textlink="">
      <xdr:nvSpPr>
        <xdr:cNvPr id="1035" name="Line 11"/>
        <xdr:cNvSpPr>
          <a:spLocks noChangeShapeType="1"/>
        </xdr:cNvSpPr>
      </xdr:nvSpPr>
      <xdr:spPr bwMode="auto">
        <a:xfrm>
          <a:off x="8667750" y="3819525"/>
          <a:ext cx="3857625" cy="9525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304800</xdr:colOff>
      <xdr:row>18</xdr:row>
      <xdr:rowOff>28575</xdr:rowOff>
    </xdr:from>
    <xdr:to>
      <xdr:col>9</xdr:col>
      <xdr:colOff>1571625</xdr:colOff>
      <xdr:row>27</xdr:row>
      <xdr:rowOff>104775</xdr:rowOff>
    </xdr:to>
    <xdr:sp macro="" textlink="">
      <xdr:nvSpPr>
        <xdr:cNvPr id="1026" name="Rectangle 2"/>
        <xdr:cNvSpPr>
          <a:spLocks noChangeArrowheads="1"/>
        </xdr:cNvSpPr>
      </xdr:nvSpPr>
      <xdr:spPr bwMode="auto">
        <a:xfrm>
          <a:off x="5972175" y="3028950"/>
          <a:ext cx="2695575" cy="1543050"/>
        </a:xfrm>
        <a:prstGeom prst="rect">
          <a:avLst/>
        </a:prstGeom>
        <a:solidFill>
          <a:srgbClr val="C0C0C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C0C0C0">
              <a:gamma/>
              <a:shade val="60000"/>
              <a:invGamma/>
            </a:srgbClr>
          </a:prstShdw>
        </a:effec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57"/>
  <sheetViews>
    <sheetView tabSelected="1" workbookViewId="0"/>
  </sheetViews>
  <sheetFormatPr defaultColWidth="9.140625" defaultRowHeight="12.75"/>
  <cols>
    <col min="1" max="1" width="11.7109375" customWidth="1"/>
    <col min="2" max="2" width="30.140625" bestFit="1" customWidth="1"/>
    <col min="3" max="3" width="29.140625" bestFit="1" customWidth="1"/>
    <col min="4" max="4" width="18.42578125" bestFit="1" customWidth="1"/>
    <col min="5" max="5" width="29.140625" bestFit="1" customWidth="1"/>
    <col min="6" max="6" width="18.42578125" bestFit="1" customWidth="1"/>
    <col min="7" max="7" width="29.140625" bestFit="1" customWidth="1"/>
    <col min="8" max="8" width="15.7109375" bestFit="1" customWidth="1"/>
    <col min="9" max="9" width="9.28515625" bestFit="1" customWidth="1"/>
    <col min="10" max="10" width="5.42578125" bestFit="1" customWidth="1"/>
  </cols>
  <sheetData>
    <row r="1" spans="2:5">
      <c r="B1" s="50" t="s">
        <v>32</v>
      </c>
      <c r="C1" s="50"/>
      <c r="D1" s="50"/>
      <c r="E1" s="50"/>
    </row>
    <row r="2" spans="2:5">
      <c r="B2" s="48" t="s">
        <v>29</v>
      </c>
      <c r="C2" s="48"/>
      <c r="D2" s="48"/>
    </row>
    <row r="3" spans="2:5" ht="13.5" thickBot="1">
      <c r="B3" s="49" t="s">
        <v>28</v>
      </c>
      <c r="C3" s="49"/>
      <c r="D3" s="49"/>
    </row>
    <row r="4" spans="2:5" ht="13.5" thickBot="1">
      <c r="B4" s="42" t="s">
        <v>4</v>
      </c>
      <c r="C4" s="42" t="s">
        <v>0</v>
      </c>
      <c r="D4" s="42" t="s">
        <v>1</v>
      </c>
    </row>
    <row r="5" spans="2:5">
      <c r="B5" s="11" t="s">
        <v>5</v>
      </c>
      <c r="C5" s="4"/>
      <c r="D5" s="5"/>
    </row>
    <row r="6" spans="2:5">
      <c r="B6" s="2" t="s">
        <v>8</v>
      </c>
      <c r="C6" s="4"/>
      <c r="D6" s="6"/>
    </row>
    <row r="39" spans="2:10" ht="13.5" thickBot="1"/>
    <row r="40" spans="2:10" ht="13.5" thickBot="1">
      <c r="B40" s="42" t="s">
        <v>3</v>
      </c>
      <c r="C40" s="42" t="s">
        <v>0</v>
      </c>
      <c r="D40" s="43" t="s">
        <v>1</v>
      </c>
      <c r="E40" s="42" t="s">
        <v>0</v>
      </c>
      <c r="F40" s="43" t="s">
        <v>1</v>
      </c>
      <c r="G40" s="42" t="s">
        <v>0</v>
      </c>
      <c r="H40" s="43" t="s">
        <v>1</v>
      </c>
      <c r="I40" s="42" t="s">
        <v>0</v>
      </c>
      <c r="J40" s="43" t="s">
        <v>1</v>
      </c>
    </row>
    <row r="41" spans="2:10">
      <c r="B41" s="14" t="s">
        <v>2</v>
      </c>
      <c r="C41" s="15"/>
      <c r="D41" s="16"/>
      <c r="E41" s="15"/>
      <c r="F41" s="16"/>
      <c r="G41" s="15"/>
      <c r="H41" s="16"/>
      <c r="I41" s="15"/>
      <c r="J41" s="16"/>
    </row>
    <row r="42" spans="2:10">
      <c r="B42" s="7" t="s">
        <v>7</v>
      </c>
      <c r="C42" s="9"/>
      <c r="D42" s="13"/>
      <c r="E42" s="9"/>
      <c r="F42" s="13"/>
      <c r="G42" s="9"/>
      <c r="H42" s="13"/>
      <c r="I42" s="9"/>
      <c r="J42" s="13"/>
    </row>
    <row r="43" spans="2:10">
      <c r="B43" s="2" t="s">
        <v>9</v>
      </c>
      <c r="C43" s="31"/>
      <c r="D43" s="31"/>
      <c r="E43" s="31"/>
      <c r="F43" s="31"/>
      <c r="G43" s="31"/>
      <c r="H43" s="31"/>
      <c r="I43" s="31"/>
      <c r="J43" s="31"/>
    </row>
    <row r="44" spans="2:10">
      <c r="B44" s="2" t="s">
        <v>10</v>
      </c>
      <c r="C44" s="31"/>
      <c r="D44" s="31"/>
      <c r="E44" s="31"/>
      <c r="F44" s="31"/>
      <c r="G44" s="31"/>
      <c r="H44" s="31"/>
      <c r="I44" s="31"/>
      <c r="J44" s="31"/>
    </row>
    <row r="45" spans="2:10">
      <c r="B45" s="2" t="s">
        <v>11</v>
      </c>
      <c r="C45" s="31"/>
      <c r="D45" s="31"/>
      <c r="E45" s="31"/>
      <c r="F45" s="31"/>
      <c r="G45" s="31"/>
      <c r="H45" s="31"/>
      <c r="I45" s="31"/>
      <c r="J45" s="31"/>
    </row>
    <row r="46" spans="2:10">
      <c r="B46" s="2" t="s">
        <v>12</v>
      </c>
      <c r="C46" s="31"/>
      <c r="D46" s="31"/>
      <c r="E46" s="31"/>
      <c r="F46" s="31"/>
      <c r="G46" s="31"/>
      <c r="H46" s="31"/>
      <c r="I46" s="31"/>
      <c r="J46" s="31"/>
    </row>
    <row r="47" spans="2:10">
      <c r="B47" s="2" t="s">
        <v>13</v>
      </c>
      <c r="C47" s="31"/>
      <c r="D47" s="31"/>
      <c r="E47" s="31"/>
      <c r="F47" s="31"/>
      <c r="G47" s="31"/>
      <c r="H47" s="31"/>
      <c r="I47" s="31"/>
      <c r="J47" s="31"/>
    </row>
    <row r="48" spans="2:10">
      <c r="B48" s="2" t="s">
        <v>14</v>
      </c>
      <c r="C48" s="31"/>
      <c r="D48" s="31"/>
      <c r="E48" s="31"/>
      <c r="F48" s="31"/>
      <c r="G48" s="31"/>
      <c r="H48" s="31"/>
      <c r="I48" s="31"/>
      <c r="J48" s="31"/>
    </row>
    <row r="49" spans="2:10">
      <c r="B49" s="2" t="s">
        <v>15</v>
      </c>
      <c r="C49" s="31"/>
      <c r="D49" s="31"/>
      <c r="E49" s="31"/>
      <c r="F49" s="31"/>
      <c r="G49" s="31"/>
      <c r="H49" s="31"/>
      <c r="I49" s="31"/>
      <c r="J49" s="31"/>
    </row>
    <row r="50" spans="2:10">
      <c r="B50" s="2" t="s">
        <v>16</v>
      </c>
      <c r="C50" s="31"/>
      <c r="D50" s="31"/>
      <c r="E50" s="31"/>
      <c r="F50" s="31"/>
      <c r="G50" s="31"/>
      <c r="H50" s="31"/>
      <c r="I50" s="31"/>
      <c r="J50" s="31"/>
    </row>
    <row r="51" spans="2:10">
      <c r="B51" s="2" t="s">
        <v>17</v>
      </c>
      <c r="C51" s="31"/>
      <c r="D51" s="31"/>
      <c r="E51" s="31"/>
      <c r="F51" s="31"/>
      <c r="G51" s="31"/>
      <c r="H51" s="31"/>
      <c r="I51" s="31"/>
      <c r="J51" s="31"/>
    </row>
    <row r="52" spans="2:10">
      <c r="B52" s="2" t="s">
        <v>18</v>
      </c>
      <c r="C52" s="31"/>
      <c r="D52" s="31"/>
      <c r="E52" s="31"/>
      <c r="F52" s="31"/>
      <c r="G52" s="31"/>
      <c r="H52" s="31"/>
      <c r="I52" s="31"/>
      <c r="J52" s="31"/>
    </row>
    <row r="53" spans="2:10">
      <c r="B53" s="2" t="s">
        <v>19</v>
      </c>
      <c r="C53" s="31"/>
      <c r="D53" s="31"/>
      <c r="E53" s="31"/>
      <c r="F53" s="31"/>
      <c r="G53" s="31"/>
      <c r="H53" s="31"/>
      <c r="I53" s="31"/>
      <c r="J53" s="31"/>
    </row>
    <row r="54" spans="2:10">
      <c r="B54" s="2" t="s">
        <v>20</v>
      </c>
      <c r="C54" s="31"/>
      <c r="D54" s="31"/>
      <c r="E54" s="31"/>
      <c r="F54" s="31"/>
      <c r="G54" s="31"/>
      <c r="H54" s="31"/>
      <c r="I54" s="31"/>
      <c r="J54" s="31"/>
    </row>
    <row r="55" spans="2:10">
      <c r="B55" s="2" t="s">
        <v>21</v>
      </c>
      <c r="C55" s="31"/>
      <c r="D55" s="31"/>
      <c r="E55" s="31"/>
      <c r="F55" s="31"/>
      <c r="G55" s="31"/>
      <c r="H55" s="31"/>
      <c r="I55" s="31"/>
      <c r="J55" s="31"/>
    </row>
    <row r="56" spans="2:10">
      <c r="B56" s="2" t="s">
        <v>22</v>
      </c>
      <c r="C56" s="31"/>
      <c r="D56" s="31"/>
      <c r="E56" s="31"/>
      <c r="F56" s="31"/>
      <c r="G56" s="31"/>
      <c r="H56" s="31"/>
      <c r="I56" s="31"/>
      <c r="J56" s="31"/>
    </row>
    <row r="57" spans="2:10" ht="13.5" thickBot="1">
      <c r="B57" s="12" t="s">
        <v>23</v>
      </c>
      <c r="C57" s="32"/>
      <c r="D57" s="32"/>
      <c r="E57" s="32"/>
      <c r="F57" s="32"/>
      <c r="G57" s="32"/>
      <c r="H57" s="32"/>
      <c r="I57" s="32"/>
      <c r="J57" s="32"/>
    </row>
  </sheetData>
  <mergeCells count="3">
    <mergeCell ref="B2:D2"/>
    <mergeCell ref="B3:D3"/>
    <mergeCell ref="B1:E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3:O42"/>
  <sheetViews>
    <sheetView showGridLines="0" zoomScale="70" workbookViewId="0"/>
  </sheetViews>
  <sheetFormatPr defaultRowHeight="12.75"/>
  <cols>
    <col min="7" max="7" width="21" customWidth="1"/>
    <col min="9" max="9" width="21.42578125" customWidth="1"/>
    <col min="10" max="10" width="25" bestFit="1" customWidth="1"/>
    <col min="12" max="12" width="8.85546875" customWidth="1"/>
    <col min="13" max="13" width="13.85546875" bestFit="1" customWidth="1"/>
    <col min="19" max="19" width="11.140625" customWidth="1"/>
  </cols>
  <sheetData>
    <row r="3" spans="2:9" ht="15.75">
      <c r="B3" s="25" t="s">
        <v>25</v>
      </c>
    </row>
    <row r="5" spans="2:9" ht="13.5" thickBot="1"/>
    <row r="6" spans="2:9" ht="13.5" thickBot="1">
      <c r="E6" s="51" t="s">
        <v>2</v>
      </c>
      <c r="F6" s="52"/>
      <c r="G6" s="53"/>
      <c r="H6" s="54">
        <f>Input!C41</f>
        <v>0</v>
      </c>
      <c r="I6" s="55"/>
    </row>
    <row r="7" spans="2:9">
      <c r="E7" s="56" t="s">
        <v>17</v>
      </c>
      <c r="F7" s="57"/>
      <c r="G7" s="58"/>
      <c r="H7" s="17" t="str">
        <f>IF(Input!C51="","",Input!C51)</f>
        <v/>
      </c>
      <c r="I7" s="18" t="str">
        <f>IF(Input!D51="","",Input!D51)</f>
        <v/>
      </c>
    </row>
    <row r="8" spans="2:9">
      <c r="E8" s="59" t="s">
        <v>15</v>
      </c>
      <c r="F8" s="60"/>
      <c r="G8" s="61"/>
      <c r="H8" s="19" t="str">
        <f>IF(Input!C49="","",Input!C49)</f>
        <v/>
      </c>
      <c r="I8" s="20" t="str">
        <f>IF(Input!D49="","",Input!D49)</f>
        <v/>
      </c>
    </row>
    <row r="9" spans="2:9">
      <c r="E9" s="59" t="s">
        <v>18</v>
      </c>
      <c r="F9" s="60"/>
      <c r="G9" s="61"/>
      <c r="H9" s="19" t="str">
        <f>IF(Input!C52="","",Input!C52)</f>
        <v/>
      </c>
      <c r="I9" s="20" t="str">
        <f>IF(Input!D52="","",Input!D52)</f>
        <v/>
      </c>
    </row>
    <row r="10" spans="2:9" ht="13.5" thickBot="1">
      <c r="E10" s="62" t="s">
        <v>24</v>
      </c>
      <c r="F10" s="63"/>
      <c r="G10" s="64"/>
      <c r="H10" s="21" t="str">
        <f>IF(Input!C44="","",Input!C44)</f>
        <v/>
      </c>
      <c r="I10" s="22" t="str">
        <f>IF(Input!D44="","",Input!D44)</f>
        <v/>
      </c>
    </row>
    <row r="17" spans="3:15" ht="13.5" thickBot="1"/>
    <row r="18" spans="3:15" ht="13.5" thickBot="1">
      <c r="C18" s="51" t="s">
        <v>2</v>
      </c>
      <c r="D18" s="52"/>
      <c r="E18" s="53"/>
      <c r="F18" s="54">
        <f>Input!E41</f>
        <v>0</v>
      </c>
      <c r="G18" s="55"/>
      <c r="K18" s="51" t="s">
        <v>2</v>
      </c>
      <c r="L18" s="52"/>
      <c r="M18" s="53"/>
      <c r="N18" s="54">
        <f>Input!I41</f>
        <v>0</v>
      </c>
      <c r="O18" s="55"/>
    </row>
    <row r="19" spans="3:15">
      <c r="C19" s="56" t="s">
        <v>17</v>
      </c>
      <c r="D19" s="57"/>
      <c r="E19" s="58"/>
      <c r="F19" s="17" t="str">
        <f>IF(Input!E51="","",Input!E51)</f>
        <v/>
      </c>
      <c r="G19" s="18" t="str">
        <f>IF(Input!F51="","",Input!F51)</f>
        <v/>
      </c>
      <c r="K19" s="56" t="s">
        <v>17</v>
      </c>
      <c r="L19" s="57"/>
      <c r="M19" s="58"/>
      <c r="N19" s="34" t="e">
        <f>(H7+F19+H30)/3</f>
        <v>#VALUE!</v>
      </c>
      <c r="O19" s="35" t="str">
        <f>G19</f>
        <v/>
      </c>
    </row>
    <row r="20" spans="3:15">
      <c r="C20" s="59" t="s">
        <v>15</v>
      </c>
      <c r="D20" s="60"/>
      <c r="E20" s="61"/>
      <c r="F20" s="19" t="str">
        <f>IF(Input!E49="","",Input!E49)</f>
        <v/>
      </c>
      <c r="G20" s="20" t="str">
        <f>IF(Input!F49="","",Input!F49)</f>
        <v/>
      </c>
      <c r="K20" s="59" t="s">
        <v>15</v>
      </c>
      <c r="L20" s="60"/>
      <c r="M20" s="61"/>
      <c r="N20" s="36" t="e">
        <f>(H8+F20+H31)/3</f>
        <v>#VALUE!</v>
      </c>
      <c r="O20" s="37" t="str">
        <f>G20</f>
        <v/>
      </c>
    </row>
    <row r="21" spans="3:15">
      <c r="C21" s="59" t="s">
        <v>18</v>
      </c>
      <c r="D21" s="60"/>
      <c r="E21" s="61"/>
      <c r="F21" s="19" t="str">
        <f>IF(Input!E52="","",Input!E52)</f>
        <v/>
      </c>
      <c r="G21" s="20" t="str">
        <f>IF(Input!F52="","",Input!F52)</f>
        <v/>
      </c>
      <c r="K21" s="59" t="s">
        <v>18</v>
      </c>
      <c r="L21" s="60"/>
      <c r="M21" s="61"/>
      <c r="N21" s="23" t="e">
        <f>H9+F21+H32</f>
        <v>#VALUE!</v>
      </c>
      <c r="O21" s="24" t="str">
        <f>G21</f>
        <v/>
      </c>
    </row>
    <row r="22" spans="3:15" ht="13.5" thickBot="1">
      <c r="C22" s="62" t="s">
        <v>24</v>
      </c>
      <c r="D22" s="63"/>
      <c r="E22" s="64"/>
      <c r="F22" s="21" t="str">
        <f>IF(Input!E44="","",Input!E44)</f>
        <v/>
      </c>
      <c r="G22" s="22" t="str">
        <f>IF(Input!F44="","",Input!F44)</f>
        <v/>
      </c>
      <c r="K22" s="62" t="s">
        <v>24</v>
      </c>
      <c r="L22" s="63"/>
      <c r="M22" s="64"/>
      <c r="N22" s="38" t="str">
        <f>H33</f>
        <v/>
      </c>
      <c r="O22" s="39" t="str">
        <f>G22</f>
        <v/>
      </c>
    </row>
    <row r="28" spans="3:15" ht="13.5" thickBot="1"/>
    <row r="29" spans="3:15" ht="13.5" thickBot="1">
      <c r="E29" s="51" t="s">
        <v>2</v>
      </c>
      <c r="F29" s="52"/>
      <c r="G29" s="53"/>
      <c r="H29" s="54">
        <f>Input!G41</f>
        <v>0</v>
      </c>
      <c r="I29" s="55"/>
    </row>
    <row r="30" spans="3:15">
      <c r="E30" s="56" t="s">
        <v>17</v>
      </c>
      <c r="F30" s="57"/>
      <c r="G30" s="58"/>
      <c r="H30" s="17" t="str">
        <f>IF(Input!G51="","",Input!G51)</f>
        <v/>
      </c>
      <c r="I30" s="18" t="str">
        <f>IF(Input!H51="","",Input!H51)</f>
        <v/>
      </c>
    </row>
    <row r="31" spans="3:15">
      <c r="E31" s="59" t="s">
        <v>15</v>
      </c>
      <c r="F31" s="60"/>
      <c r="G31" s="61"/>
      <c r="H31" s="19" t="str">
        <f>IF(Input!G49="","",Input!G49)</f>
        <v/>
      </c>
      <c r="I31" s="20" t="str">
        <f>IF(Input!H49="","",Input!H49)</f>
        <v/>
      </c>
      <c r="K31" s="26"/>
      <c r="L31" s="26"/>
      <c r="M31" s="26"/>
      <c r="N31" s="26"/>
      <c r="O31" s="26"/>
    </row>
    <row r="32" spans="3:15">
      <c r="E32" s="59" t="s">
        <v>18</v>
      </c>
      <c r="F32" s="60"/>
      <c r="G32" s="61"/>
      <c r="H32" s="19" t="str">
        <f>IF(Input!G52="","",Input!G52)</f>
        <v/>
      </c>
      <c r="I32" s="20" t="str">
        <f>IF(Input!H52="","",Input!H52)</f>
        <v/>
      </c>
      <c r="K32" s="27" t="s">
        <v>26</v>
      </c>
      <c r="L32" s="27"/>
      <c r="M32" s="26"/>
      <c r="N32" s="26"/>
      <c r="O32" s="26"/>
    </row>
    <row r="33" spans="5:15" ht="16.5" thickBot="1">
      <c r="E33" s="62" t="s">
        <v>24</v>
      </c>
      <c r="F33" s="63"/>
      <c r="G33" s="64"/>
      <c r="H33" s="21" t="str">
        <f>IF(Input!G44="","",Input!G44)</f>
        <v/>
      </c>
      <c r="I33" s="22" t="str">
        <f>IF(Input!H44="","",Input!H44)</f>
        <v/>
      </c>
      <c r="K33" s="28" t="s">
        <v>27</v>
      </c>
      <c r="L33" s="28"/>
      <c r="M33" s="26"/>
      <c r="N33" s="26"/>
      <c r="O33" s="26"/>
    </row>
    <row r="34" spans="5:15" ht="15.75">
      <c r="K34" s="28" t="s">
        <v>30</v>
      </c>
      <c r="L34" s="28"/>
      <c r="M34" s="28"/>
      <c r="N34" s="26"/>
      <c r="O34" s="26"/>
    </row>
    <row r="35" spans="5:15" ht="15.75">
      <c r="K35" s="28" t="s">
        <v>31</v>
      </c>
      <c r="L35" s="28"/>
      <c r="M35" s="28"/>
      <c r="N35" s="26"/>
      <c r="O35" s="26"/>
    </row>
    <row r="36" spans="5:15">
      <c r="K36" s="26"/>
      <c r="L36" s="26"/>
      <c r="M36" s="26"/>
      <c r="N36" s="26"/>
      <c r="O36" s="26"/>
    </row>
    <row r="39" spans="5:15" ht="13.5" thickBot="1">
      <c r="I39" s="49" t="s">
        <v>28</v>
      </c>
      <c r="J39" s="49"/>
      <c r="K39" s="49"/>
    </row>
    <row r="40" spans="5:15" ht="13.5" thickBot="1">
      <c r="I40" s="3" t="s">
        <v>4</v>
      </c>
      <c r="J40" s="3" t="s">
        <v>0</v>
      </c>
      <c r="K40" s="1" t="s">
        <v>1</v>
      </c>
    </row>
    <row r="41" spans="5:15">
      <c r="I41" s="8" t="s">
        <v>5</v>
      </c>
      <c r="J41" s="9" t="str">
        <f>IF(Input!C5="","",Input!C5)</f>
        <v/>
      </c>
      <c r="K41" s="10" t="str">
        <f>IF(Input!D5="","",Input!D5)</f>
        <v/>
      </c>
    </row>
    <row r="42" spans="5:15" ht="13.5" thickBot="1">
      <c r="I42" s="12" t="s">
        <v>8</v>
      </c>
      <c r="J42" s="29" t="str">
        <f>IF(Input!C6="","",Input!C6)</f>
        <v/>
      </c>
      <c r="K42" s="30" t="str">
        <f>IF(Input!D6="","",Input!D6)</f>
        <v/>
      </c>
    </row>
  </sheetData>
  <mergeCells count="25">
    <mergeCell ref="I39:K39"/>
    <mergeCell ref="E32:G32"/>
    <mergeCell ref="E33:G33"/>
    <mergeCell ref="K18:M18"/>
    <mergeCell ref="K22:M22"/>
    <mergeCell ref="E29:G29"/>
    <mergeCell ref="H29:I29"/>
    <mergeCell ref="E30:G30"/>
    <mergeCell ref="E31:G31"/>
    <mergeCell ref="C19:E19"/>
    <mergeCell ref="C22:E22"/>
    <mergeCell ref="E9:G9"/>
    <mergeCell ref="E10:G10"/>
    <mergeCell ref="C18:E18"/>
    <mergeCell ref="F18:G18"/>
    <mergeCell ref="N18:O18"/>
    <mergeCell ref="K19:M19"/>
    <mergeCell ref="K20:M20"/>
    <mergeCell ref="K21:M21"/>
    <mergeCell ref="E6:G6"/>
    <mergeCell ref="H6:I6"/>
    <mergeCell ref="E7:G7"/>
    <mergeCell ref="E8:G8"/>
    <mergeCell ref="C20:E20"/>
    <mergeCell ref="C21:E21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J57"/>
  <sheetViews>
    <sheetView workbookViewId="0"/>
  </sheetViews>
  <sheetFormatPr defaultRowHeight="12.75"/>
  <cols>
    <col min="1" max="1" width="11.7109375" customWidth="1"/>
    <col min="2" max="2" width="30.140625" bestFit="1" customWidth="1"/>
    <col min="3" max="3" width="29.140625" bestFit="1" customWidth="1"/>
    <col min="4" max="4" width="18.42578125" bestFit="1" customWidth="1"/>
    <col min="5" max="5" width="29.140625" bestFit="1" customWidth="1"/>
    <col min="6" max="6" width="18.42578125" bestFit="1" customWidth="1"/>
    <col min="7" max="7" width="29.140625" bestFit="1" customWidth="1"/>
    <col min="8" max="8" width="15.7109375" bestFit="1" customWidth="1"/>
    <col min="9" max="9" width="9.28515625" bestFit="1" customWidth="1"/>
    <col min="10" max="10" width="6.5703125" bestFit="1" customWidth="1"/>
  </cols>
  <sheetData>
    <row r="2" spans="2:4">
      <c r="B2" s="48" t="s">
        <v>6</v>
      </c>
      <c r="C2" s="48"/>
      <c r="D2" s="48"/>
    </row>
    <row r="3" spans="2:4" ht="13.5" thickBot="1">
      <c r="B3" s="49" t="s">
        <v>28</v>
      </c>
      <c r="C3" s="49"/>
      <c r="D3" s="49"/>
    </row>
    <row r="4" spans="2:4" ht="13.5" thickBot="1">
      <c r="B4" s="44" t="s">
        <v>4</v>
      </c>
      <c r="C4" s="44" t="s">
        <v>0</v>
      </c>
      <c r="D4" s="45" t="s">
        <v>1</v>
      </c>
    </row>
    <row r="5" spans="2:4">
      <c r="B5" s="8" t="s">
        <v>5</v>
      </c>
      <c r="C5" s="9" t="str">
        <f>'Custom Rules'!J41</f>
        <v/>
      </c>
      <c r="D5" s="10" t="str">
        <f>'Custom Rules'!K41</f>
        <v/>
      </c>
    </row>
    <row r="6" spans="2:4" ht="13.5" thickBot="1">
      <c r="B6" s="46" t="s">
        <v>8</v>
      </c>
      <c r="C6" s="29" t="str">
        <f>'Custom Rules'!J42</f>
        <v/>
      </c>
      <c r="D6" s="30" t="str">
        <f>'Custom Rules'!K42</f>
        <v/>
      </c>
    </row>
    <row r="39" spans="2:10" ht="13.5" thickBot="1"/>
    <row r="40" spans="2:10" ht="13.5" thickBot="1">
      <c r="B40" s="44" t="s">
        <v>3</v>
      </c>
      <c r="C40" s="44" t="s">
        <v>0</v>
      </c>
      <c r="D40" s="45" t="s">
        <v>1</v>
      </c>
      <c r="E40" s="44" t="s">
        <v>0</v>
      </c>
      <c r="F40" s="45" t="s">
        <v>1</v>
      </c>
      <c r="G40" s="44" t="s">
        <v>0</v>
      </c>
      <c r="H40" s="45" t="s">
        <v>1</v>
      </c>
      <c r="I40" s="44" t="s">
        <v>0</v>
      </c>
      <c r="J40" s="45" t="s">
        <v>1</v>
      </c>
    </row>
    <row r="41" spans="2:10">
      <c r="B41" s="7" t="s">
        <v>2</v>
      </c>
      <c r="C41" s="31" t="str">
        <f>IF(Input!C41="","",Input!C41)</f>
        <v/>
      </c>
      <c r="D41" s="31" t="str">
        <f>IF(Input!D41="","",Input!D41)</f>
        <v/>
      </c>
      <c r="E41" s="31" t="str">
        <f>IF(Input!E41="","",Input!E41)</f>
        <v/>
      </c>
      <c r="F41" s="31" t="str">
        <f>IF(Input!F41="","",Input!F41)</f>
        <v/>
      </c>
      <c r="G41" s="31" t="str">
        <f>IF(Input!G41="","",Input!G41)</f>
        <v/>
      </c>
      <c r="H41" s="31" t="str">
        <f>IF(Input!H41="","",Input!H41)</f>
        <v/>
      </c>
      <c r="I41" s="31" t="str">
        <f>IF(Input!I41="","",Input!I41)</f>
        <v/>
      </c>
      <c r="J41" s="6" t="str">
        <f>IF(Input!J41="","",Input!J41)</f>
        <v/>
      </c>
    </row>
    <row r="42" spans="2:10">
      <c r="B42" s="7" t="s">
        <v>7</v>
      </c>
      <c r="C42" s="31" t="str">
        <f>IF(Input!C42="","",Input!C42)</f>
        <v/>
      </c>
      <c r="D42" s="31" t="str">
        <f>IF(Input!D42="","",Input!D42)</f>
        <v/>
      </c>
      <c r="E42" s="31" t="str">
        <f>IF(Input!E42="","",Input!E42)</f>
        <v/>
      </c>
      <c r="F42" s="31" t="str">
        <f>IF(Input!F42="","",Input!F42)</f>
        <v/>
      </c>
      <c r="G42" s="31" t="str">
        <f>IF(Input!G42="","",Input!G42)</f>
        <v/>
      </c>
      <c r="H42" s="31" t="str">
        <f>IF(Input!H42="","",Input!H42)</f>
        <v/>
      </c>
      <c r="I42" s="31" t="str">
        <f>IF(Input!I42="","",Input!I42)</f>
        <v/>
      </c>
      <c r="J42" s="6" t="str">
        <f>IF(Input!J42="","",Input!J42)</f>
        <v/>
      </c>
    </row>
    <row r="43" spans="2:10">
      <c r="B43" s="47" t="s">
        <v>9</v>
      </c>
      <c r="C43" s="31" t="str">
        <f>IF(Input!C43="","",Input!C43)</f>
        <v/>
      </c>
      <c r="D43" s="31" t="str">
        <f>IF(Input!D43="","",Input!D43)</f>
        <v/>
      </c>
      <c r="E43" s="31" t="str">
        <f>IF(Input!E43="","",Input!E43)</f>
        <v/>
      </c>
      <c r="F43" s="31" t="str">
        <f>IF(Input!F43="","",Input!F43)</f>
        <v/>
      </c>
      <c r="G43" s="31" t="str">
        <f>IF(Input!G43="","",Input!G43)</f>
        <v/>
      </c>
      <c r="H43" s="31" t="str">
        <f>IF(Input!H43="","",Input!H43)</f>
        <v/>
      </c>
      <c r="I43" s="31" t="str">
        <f>IF(Input!I43="","",Input!I43)</f>
        <v/>
      </c>
      <c r="J43" s="6" t="str">
        <f>IF(Input!J43="","",Input!J43)</f>
        <v/>
      </c>
    </row>
    <row r="44" spans="2:10">
      <c r="B44" s="47" t="s">
        <v>10</v>
      </c>
      <c r="C44" s="31" t="str">
        <f>IF(Input!C44="","",Input!C44)</f>
        <v/>
      </c>
      <c r="D44" s="31" t="str">
        <f>IF(Input!D44="","",Input!D44)</f>
        <v/>
      </c>
      <c r="E44" s="31" t="str">
        <f>IF(Input!E44="","",Input!E44)</f>
        <v/>
      </c>
      <c r="F44" s="31" t="str">
        <f>IF(Input!F44="","",Input!F44)</f>
        <v/>
      </c>
      <c r="G44" s="31" t="str">
        <f>IF(Input!G44="","",Input!G44)</f>
        <v/>
      </c>
      <c r="H44" s="31" t="str">
        <f>IF(Input!H44="","",Input!H44)</f>
        <v/>
      </c>
      <c r="I44" s="40" t="str">
        <f>'Custom Rules'!N22</f>
        <v/>
      </c>
      <c r="J44" s="41" t="str">
        <f>'Custom Rules'!O22</f>
        <v/>
      </c>
    </row>
    <row r="45" spans="2:10">
      <c r="B45" s="47" t="s">
        <v>11</v>
      </c>
      <c r="C45" s="31" t="str">
        <f>IF(Input!C45="","",Input!C45)</f>
        <v/>
      </c>
      <c r="D45" s="31" t="str">
        <f>IF(Input!D45="","",Input!D45)</f>
        <v/>
      </c>
      <c r="E45" s="31" t="str">
        <f>IF(Input!E45="","",Input!E45)</f>
        <v/>
      </c>
      <c r="F45" s="31" t="str">
        <f>IF(Input!F45="","",Input!F45)</f>
        <v/>
      </c>
      <c r="G45" s="31" t="str">
        <f>IF(Input!G45="","",Input!G45)</f>
        <v/>
      </c>
      <c r="H45" s="31" t="str">
        <f>IF(Input!H45="","",Input!H45)</f>
        <v/>
      </c>
      <c r="I45" s="31" t="str">
        <f>IF(Input!I45="","",Input!I45)</f>
        <v/>
      </c>
      <c r="J45" s="6" t="str">
        <f>IF(Input!J45="","",Input!J45)</f>
        <v/>
      </c>
    </row>
    <row r="46" spans="2:10">
      <c r="B46" s="47" t="s">
        <v>12</v>
      </c>
      <c r="C46" s="31" t="str">
        <f>IF(Input!C46="","",Input!C46)</f>
        <v/>
      </c>
      <c r="D46" s="31" t="str">
        <f>IF(Input!D46="","",Input!D46)</f>
        <v/>
      </c>
      <c r="E46" s="31" t="str">
        <f>IF(Input!E46="","",Input!E46)</f>
        <v/>
      </c>
      <c r="F46" s="31" t="str">
        <f>IF(Input!F46="","",Input!F46)</f>
        <v/>
      </c>
      <c r="G46" s="31" t="str">
        <f>IF(Input!G46="","",Input!G46)</f>
        <v/>
      </c>
      <c r="H46" s="31" t="str">
        <f>IF(Input!H46="","",Input!H46)</f>
        <v/>
      </c>
      <c r="I46" s="31" t="str">
        <f>IF(Input!I46="","",Input!I46)</f>
        <v/>
      </c>
      <c r="J46" s="6" t="str">
        <f>IF(Input!J46="","",Input!J46)</f>
        <v/>
      </c>
    </row>
    <row r="47" spans="2:10">
      <c r="B47" s="47" t="s">
        <v>13</v>
      </c>
      <c r="C47" s="31" t="str">
        <f>IF(Input!C47="","",Input!C47)</f>
        <v/>
      </c>
      <c r="D47" s="31" t="str">
        <f>IF(Input!D47="","",Input!D47)</f>
        <v/>
      </c>
      <c r="E47" s="31" t="str">
        <f>IF(Input!E47="","",Input!E47)</f>
        <v/>
      </c>
      <c r="F47" s="31" t="str">
        <f>IF(Input!F47="","",Input!F47)</f>
        <v/>
      </c>
      <c r="G47" s="31" t="str">
        <f>IF(Input!G47="","",Input!G47)</f>
        <v/>
      </c>
      <c r="H47" s="31" t="str">
        <f>IF(Input!H47="","",Input!H47)</f>
        <v/>
      </c>
      <c r="I47" s="31" t="str">
        <f>IF(Input!I47="","",Input!I47)</f>
        <v/>
      </c>
      <c r="J47" s="6" t="str">
        <f>IF(Input!J47="","",Input!J47)</f>
        <v/>
      </c>
    </row>
    <row r="48" spans="2:10">
      <c r="B48" s="47" t="s">
        <v>14</v>
      </c>
      <c r="C48" s="31" t="str">
        <f>IF(Input!C48="","",Input!C48)</f>
        <v/>
      </c>
      <c r="D48" s="31" t="str">
        <f>IF(Input!D48="","",Input!D48)</f>
        <v/>
      </c>
      <c r="E48" s="31" t="str">
        <f>IF(Input!E48="","",Input!E48)</f>
        <v/>
      </c>
      <c r="F48" s="31" t="str">
        <f>IF(Input!F48="","",Input!F48)</f>
        <v/>
      </c>
      <c r="G48" s="31" t="str">
        <f>IF(Input!G48="","",Input!G48)</f>
        <v/>
      </c>
      <c r="H48" s="31" t="str">
        <f>IF(Input!H48="","",Input!H48)</f>
        <v/>
      </c>
      <c r="I48" s="31" t="str">
        <f>IF(Input!I48="","",Input!I48)</f>
        <v/>
      </c>
      <c r="J48" s="6" t="str">
        <f>IF(Input!J48="","",Input!J48)</f>
        <v/>
      </c>
    </row>
    <row r="49" spans="2:10">
      <c r="B49" s="47" t="s">
        <v>15</v>
      </c>
      <c r="C49" s="31" t="str">
        <f>IF(Input!C49="","",Input!C49)</f>
        <v/>
      </c>
      <c r="D49" s="31" t="str">
        <f>IF(Input!D49="","",Input!D49)</f>
        <v/>
      </c>
      <c r="E49" s="31" t="str">
        <f>IF(Input!E49="","",Input!E49)</f>
        <v/>
      </c>
      <c r="F49" s="31" t="str">
        <f>IF(Input!F49="","",Input!F49)</f>
        <v/>
      </c>
      <c r="G49" s="31" t="str">
        <f>IF(Input!G49="","",Input!G49)</f>
        <v/>
      </c>
      <c r="H49" s="31" t="str">
        <f>IF(Input!H49="","",Input!H49)</f>
        <v/>
      </c>
      <c r="I49" s="40" t="e">
        <f>'Custom Rules'!N20</f>
        <v>#VALUE!</v>
      </c>
      <c r="J49" s="41" t="str">
        <f>'Custom Rules'!O20</f>
        <v/>
      </c>
    </row>
    <row r="50" spans="2:10">
      <c r="B50" s="47" t="s">
        <v>16</v>
      </c>
      <c r="C50" s="31" t="str">
        <f>IF(Input!C50="","",Input!C50)</f>
        <v/>
      </c>
      <c r="D50" s="31" t="str">
        <f>IF(Input!D50="","",Input!D50)</f>
        <v/>
      </c>
      <c r="E50" s="31" t="str">
        <f>IF(Input!E50="","",Input!E50)</f>
        <v/>
      </c>
      <c r="F50" s="31" t="str">
        <f>IF(Input!F50="","",Input!F50)</f>
        <v/>
      </c>
      <c r="G50" s="31" t="str">
        <f>IF(Input!G50="","",Input!G50)</f>
        <v/>
      </c>
      <c r="H50" s="31" t="str">
        <f>IF(Input!H50="","",Input!H50)</f>
        <v/>
      </c>
      <c r="I50" s="31" t="str">
        <f>IF(Input!I50="","",Input!I50)</f>
        <v/>
      </c>
      <c r="J50" s="6" t="str">
        <f>IF(Input!J50="","",Input!J50)</f>
        <v/>
      </c>
    </row>
    <row r="51" spans="2:10">
      <c r="B51" s="47" t="s">
        <v>17</v>
      </c>
      <c r="C51" s="31" t="str">
        <f>IF(Input!C51="","",Input!C51)</f>
        <v/>
      </c>
      <c r="D51" s="31" t="str">
        <f>IF(Input!D51="","",Input!D51)</f>
        <v/>
      </c>
      <c r="E51" s="31" t="str">
        <f>IF(Input!E51="","",Input!E51)</f>
        <v/>
      </c>
      <c r="F51" s="31" t="str">
        <f>IF(Input!F51="","",Input!F51)</f>
        <v/>
      </c>
      <c r="G51" s="31" t="str">
        <f>IF(Input!G51="","",Input!G51)</f>
        <v/>
      </c>
      <c r="H51" s="31" t="str">
        <f>IF(Input!H51="","",Input!H51)</f>
        <v/>
      </c>
      <c r="I51" s="40" t="e">
        <f>'Custom Rules'!N19</f>
        <v>#VALUE!</v>
      </c>
      <c r="J51" s="41" t="str">
        <f>'Custom Rules'!O19</f>
        <v/>
      </c>
    </row>
    <row r="52" spans="2:10">
      <c r="B52" s="47" t="s">
        <v>18</v>
      </c>
      <c r="C52" s="31" t="str">
        <f>IF(Input!C52="","",Input!C52)</f>
        <v/>
      </c>
      <c r="D52" s="31" t="str">
        <f>IF(Input!D52="","",Input!D52)</f>
        <v/>
      </c>
      <c r="E52" s="31" t="str">
        <f>IF(Input!E52="","",Input!E52)</f>
        <v/>
      </c>
      <c r="F52" s="31" t="str">
        <f>IF(Input!F52="","",Input!F52)</f>
        <v/>
      </c>
      <c r="G52" s="31" t="str">
        <f>IF(Input!G52="","",Input!G52)</f>
        <v/>
      </c>
      <c r="H52" s="31" t="str">
        <f>IF(Input!H52="","",Input!H52)</f>
        <v/>
      </c>
      <c r="I52" s="40" t="e">
        <f>'Custom Rules'!N21</f>
        <v>#VALUE!</v>
      </c>
      <c r="J52" s="41" t="str">
        <f>'Custom Rules'!O21</f>
        <v/>
      </c>
    </row>
    <row r="53" spans="2:10">
      <c r="B53" s="47" t="s">
        <v>19</v>
      </c>
      <c r="C53" s="31" t="str">
        <f>IF(Input!C53="","",Input!C53)</f>
        <v/>
      </c>
      <c r="D53" s="31" t="str">
        <f>IF(Input!D53="","",Input!D53)</f>
        <v/>
      </c>
      <c r="E53" s="31" t="str">
        <f>IF(Input!E53="","",Input!E53)</f>
        <v/>
      </c>
      <c r="F53" s="31" t="str">
        <f>IF(Input!F53="","",Input!F53)</f>
        <v/>
      </c>
      <c r="G53" s="31" t="str">
        <f>IF(Input!G53="","",Input!G53)</f>
        <v/>
      </c>
      <c r="H53" s="31" t="str">
        <f>IF(Input!H53="","",Input!H53)</f>
        <v/>
      </c>
      <c r="I53" s="31" t="str">
        <f>IF(Input!I53="","",Input!I53)</f>
        <v/>
      </c>
      <c r="J53" s="6" t="str">
        <f>IF(Input!J53="","",Input!J53)</f>
        <v/>
      </c>
    </row>
    <row r="54" spans="2:10">
      <c r="B54" s="47" t="s">
        <v>20</v>
      </c>
      <c r="C54" s="31" t="str">
        <f>IF(Input!C54="","",Input!C54)</f>
        <v/>
      </c>
      <c r="D54" s="31" t="str">
        <f>IF(Input!D54="","",Input!D54)</f>
        <v/>
      </c>
      <c r="E54" s="31" t="str">
        <f>IF(Input!E54="","",Input!E54)</f>
        <v/>
      </c>
      <c r="F54" s="31" t="str">
        <f>IF(Input!F54="","",Input!F54)</f>
        <v/>
      </c>
      <c r="G54" s="31" t="str">
        <f>IF(Input!G54="","",Input!G54)</f>
        <v/>
      </c>
      <c r="H54" s="31" t="str">
        <f>IF(Input!H54="","",Input!H54)</f>
        <v/>
      </c>
      <c r="I54" s="31" t="str">
        <f>IF(Input!I54="","",Input!I54)</f>
        <v/>
      </c>
      <c r="J54" s="6" t="str">
        <f>IF(Input!J54="","",Input!J54)</f>
        <v/>
      </c>
    </row>
    <row r="55" spans="2:10">
      <c r="B55" s="47" t="s">
        <v>21</v>
      </c>
      <c r="C55" s="31" t="str">
        <f>IF(Input!C55="","",Input!C55)</f>
        <v/>
      </c>
      <c r="D55" s="31" t="str">
        <f>IF(Input!D55="","",Input!D55)</f>
        <v/>
      </c>
      <c r="E55" s="31" t="str">
        <f>IF(Input!E55="","",Input!E55)</f>
        <v/>
      </c>
      <c r="F55" s="31" t="str">
        <f>IF(Input!F55="","",Input!F55)</f>
        <v/>
      </c>
      <c r="G55" s="31" t="str">
        <f>IF(Input!G55="","",Input!G55)</f>
        <v/>
      </c>
      <c r="H55" s="31" t="str">
        <f>IF(Input!H55="","",Input!H55)</f>
        <v/>
      </c>
      <c r="I55" s="31" t="str">
        <f>IF(Input!I55="","",Input!I55)</f>
        <v/>
      </c>
      <c r="J55" s="6" t="str">
        <f>IF(Input!J55="","",Input!J55)</f>
        <v/>
      </c>
    </row>
    <row r="56" spans="2:10">
      <c r="B56" s="47" t="s">
        <v>22</v>
      </c>
      <c r="C56" s="31" t="str">
        <f>IF(Input!C56="","",Input!C56)</f>
        <v/>
      </c>
      <c r="D56" s="31" t="str">
        <f>IF(Input!D56="","",Input!D56)</f>
        <v/>
      </c>
      <c r="E56" s="31" t="str">
        <f>IF(Input!E56="","",Input!E56)</f>
        <v/>
      </c>
      <c r="F56" s="31" t="str">
        <f>IF(Input!F56="","",Input!F56)</f>
        <v/>
      </c>
      <c r="G56" s="31" t="str">
        <f>IF(Input!G56="","",Input!G56)</f>
        <v/>
      </c>
      <c r="H56" s="31" t="str">
        <f>IF(Input!H56="","",Input!H56)</f>
        <v/>
      </c>
      <c r="I56" s="31" t="str">
        <f>IF(Input!I56="","",Input!I56)</f>
        <v/>
      </c>
      <c r="J56" s="6" t="str">
        <f>IF(Input!J56="","",Input!J56)</f>
        <v/>
      </c>
    </row>
    <row r="57" spans="2:10" ht="13.5" thickBot="1">
      <c r="B57" s="46" t="s">
        <v>23</v>
      </c>
      <c r="C57" s="32" t="str">
        <f>IF(Input!C57="","",Input!C57)</f>
        <v/>
      </c>
      <c r="D57" s="32" t="str">
        <f>IF(Input!D57="","",Input!D57)</f>
        <v/>
      </c>
      <c r="E57" s="32" t="str">
        <f>IF(Input!E57="","",Input!E57)</f>
        <v/>
      </c>
      <c r="F57" s="32" t="str">
        <f>IF(Input!F57="","",Input!F57)</f>
        <v/>
      </c>
      <c r="G57" s="32" t="str">
        <f>IF(Input!G57="","",Input!G57)</f>
        <v/>
      </c>
      <c r="H57" s="32" t="str">
        <f>IF(Input!H57="","",Input!H57)</f>
        <v/>
      </c>
      <c r="I57" s="32" t="str">
        <f>IF(Input!I57="","",Input!I57)</f>
        <v/>
      </c>
      <c r="J57" s="33" t="str">
        <f>IF(Input!J57="","",Input!J57)</f>
        <v/>
      </c>
    </row>
  </sheetData>
  <mergeCells count="2">
    <mergeCell ref="B2:D2"/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Custom Rules</vt:lpstr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khannar</dc:creator>
  <cp:lastModifiedBy>Aspen Technology, INC.</cp:lastModifiedBy>
  <dcterms:created xsi:type="dcterms:W3CDTF">2001-11-27T16:36:30Z</dcterms:created>
  <dcterms:modified xsi:type="dcterms:W3CDTF">2013-04-30T17:37:30Z</dcterms:modified>
</cp:coreProperties>
</file>