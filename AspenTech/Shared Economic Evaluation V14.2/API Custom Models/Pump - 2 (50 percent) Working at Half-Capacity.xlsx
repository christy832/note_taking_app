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5" yWindow="135" windowWidth="15480" windowHeight="11640" activeTab="1"/>
  </bookViews>
  <sheets>
    <sheet name="Input" sheetId="1" r:id="rId1"/>
    <sheet name="Custom Rules" sheetId="4" r:id="rId2"/>
    <sheet name="Output" sheetId="3" r:id="rId3"/>
  </sheets>
  <calcPr calcId="125725"/>
</workbook>
</file>

<file path=xl/calcChain.xml><?xml version="1.0" encoding="utf-8"?>
<calcChain xmlns="http://schemas.openxmlformats.org/spreadsheetml/2006/main">
  <c r="D10" i="3"/>
  <c r="F30" i="4"/>
  <c r="C10" i="3" s="1"/>
  <c r="D9"/>
  <c r="F29" i="4"/>
  <c r="C9" i="3" s="1"/>
  <c r="F26" i="4"/>
  <c r="F28" s="1"/>
  <c r="C11" i="3"/>
  <c r="D8"/>
  <c r="C7"/>
  <c r="F25" i="4"/>
  <c r="D41" i="3"/>
  <c r="D42"/>
  <c r="D43"/>
  <c r="C43"/>
  <c r="C42"/>
  <c r="C41"/>
  <c r="D5"/>
  <c r="C5"/>
  <c r="C70"/>
  <c r="F32" i="4" l="1"/>
  <c r="C8" i="3"/>
  <c r="F31" i="4"/>
  <c r="F34" s="1"/>
  <c r="F33"/>
  <c r="F35" s="1"/>
  <c r="F36"/>
  <c r="F37" l="1"/>
  <c r="C6" i="3" s="1"/>
</calcChain>
</file>

<file path=xl/sharedStrings.xml><?xml version="1.0" encoding="utf-8"?>
<sst xmlns="http://schemas.openxmlformats.org/spreadsheetml/2006/main" count="108" uniqueCount="72">
  <si>
    <t>Value</t>
  </si>
  <si>
    <t>Units</t>
  </si>
  <si>
    <t>Stream Name</t>
  </si>
  <si>
    <t>Connection Stream Information</t>
  </si>
  <si>
    <t>Item Information</t>
  </si>
  <si>
    <t>Equipment Name</t>
  </si>
  <si>
    <t>User Model Output Template</t>
  </si>
  <si>
    <t>&lt;ICARUS SLOT NAME&gt;</t>
  </si>
  <si>
    <t>Stream Direction</t>
  </si>
  <si>
    <t>User Model Input Template</t>
  </si>
  <si>
    <t>Material and Manhour Adjustment Information</t>
  </si>
  <si>
    <t>Pipe Bulk Item Detail Information</t>
  </si>
  <si>
    <t>Project Component Type</t>
  </si>
  <si>
    <t>Line Name</t>
  </si>
  <si>
    <t>Ns</t>
  </si>
  <si>
    <t>Pump specific speed</t>
  </si>
  <si>
    <t>=RPM * sqrt(gpm)/(head, ft^0.75)</t>
  </si>
  <si>
    <t>Pump Power, HP</t>
  </si>
  <si>
    <t>=GPM * FT HEAD/(3960 * efficiency)</t>
  </si>
  <si>
    <t>Driver selection</t>
  </si>
  <si>
    <t>table look-up, based on HP</t>
  </si>
  <si>
    <t>4 coefficients</t>
  </si>
  <si>
    <t xml:space="preserve">1/Z = </t>
  </si>
  <si>
    <t>SS * ln ln GPM  + II</t>
  </si>
  <si>
    <t>SS</t>
  </si>
  <si>
    <t>II</t>
  </si>
  <si>
    <t xml:space="preserve">W = </t>
  </si>
  <si>
    <t>C* exp(D*ln(GPM))</t>
  </si>
  <si>
    <t>C</t>
  </si>
  <si>
    <t>D</t>
  </si>
  <si>
    <t>ln(1-efficiency) = Z*ln(Ns) + W</t>
  </si>
  <si>
    <t>Efficiency =</t>
  </si>
  <si>
    <t>1- exp( Z * ln (Ns) + W)</t>
  </si>
  <si>
    <t>INPUT</t>
  </si>
  <si>
    <t>Flow Rate, each</t>
  </si>
  <si>
    <t>GPM</t>
  </si>
  <si>
    <t>Head</t>
  </si>
  <si>
    <t>FT</t>
  </si>
  <si>
    <t>Pump Speed</t>
  </si>
  <si>
    <t>RPM</t>
  </si>
  <si>
    <t>CALCS</t>
  </si>
  <si>
    <t>Pump Specific Speed, Ns</t>
  </si>
  <si>
    <t>-</t>
  </si>
  <si>
    <t>ln(GPM)</t>
  </si>
  <si>
    <t>ln(ln(GPM)</t>
  </si>
  <si>
    <t>ln(Ns)</t>
  </si>
  <si>
    <t>Z</t>
  </si>
  <si>
    <t>W</t>
  </si>
  <si>
    <t>RESULT</t>
  </si>
  <si>
    <t>Pump Efficiency</t>
  </si>
  <si>
    <t>%</t>
  </si>
  <si>
    <t>CpLiquidFlowrate</t>
  </si>
  <si>
    <t>CpFluidHead</t>
  </si>
  <si>
    <t>CpSpeed</t>
  </si>
  <si>
    <t>CpPumpEfficiencyPercent</t>
  </si>
  <si>
    <t>credit: Bob Steinberger</t>
  </si>
  <si>
    <r>
      <t xml:space="preserve">defaults to </t>
    </r>
    <r>
      <rPr>
        <b/>
        <i/>
        <sz val="8"/>
        <color indexed="10"/>
        <rFont val="Arial"/>
        <family val="2"/>
      </rPr>
      <t>3600 rpm</t>
    </r>
    <r>
      <rPr>
        <i/>
        <sz val="8"/>
        <color indexed="10"/>
        <rFont val="Arial"/>
        <family val="2"/>
      </rPr>
      <t xml:space="preserve"> for this example</t>
    </r>
  </si>
  <si>
    <t>(based on Generalized Curves for Efficiency vs. Pump Specific Speed and Volumetric Flow Rate)</t>
  </si>
  <si>
    <t>(from Icarus)</t>
  </si>
  <si>
    <t>(steps 1-6)</t>
  </si>
  <si>
    <t>CpNumberItems</t>
  </si>
  <si>
    <t>Number of Identical Pumps</t>
  </si>
  <si>
    <t>Flow Rate / Num. Identical Items</t>
  </si>
  <si>
    <t>__PREMAP_STREAM__ICPTOWE-ACCE</t>
  </si>
  <si>
    <t>Input</t>
  </si>
  <si>
    <t>__PREMAP_STREAM__ICPTOWE-REFE</t>
  </si>
  <si>
    <t>Output</t>
  </si>
  <si>
    <r>
      <t xml:space="preserve">defaults to </t>
    </r>
    <r>
      <rPr>
        <b/>
        <i/>
        <sz val="8"/>
        <color indexed="10"/>
        <rFont val="Arial"/>
        <family val="2"/>
      </rPr>
      <t>225 ft</t>
    </r>
    <r>
      <rPr>
        <i/>
        <sz val="8"/>
        <color indexed="10"/>
        <rFont val="Arial"/>
        <family val="2"/>
      </rPr>
      <t xml:space="preserve"> for this example</t>
    </r>
  </si>
  <si>
    <t>Comment</t>
  </si>
  <si>
    <t>CpRemarks2</t>
  </si>
  <si>
    <t>CM: Two working pumps, each at half total stream flow</t>
  </si>
  <si>
    <t>2 (50%) Working @ Half Capacity Pump Calculation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</si>
</sst>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"/>
  </numFmts>
  <fonts count="18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8"/>
      <name val="Arial"/>
      <family val="2"/>
    </font>
    <font>
      <u/>
      <sz val="10"/>
      <color indexed="12"/>
      <name val="Arial"/>
    </font>
    <font>
      <sz val="8"/>
      <name val="Arial"/>
    </font>
    <font>
      <b/>
      <sz val="8"/>
      <name val="Arial"/>
    </font>
    <font>
      <b/>
      <sz val="8"/>
      <color indexed="16"/>
      <name val="Arial"/>
    </font>
    <font>
      <sz val="8"/>
      <color indexed="16"/>
      <name val="Arial"/>
    </font>
    <font>
      <i/>
      <sz val="8"/>
      <color indexed="10"/>
      <name val="Arial"/>
      <family val="2"/>
    </font>
    <font>
      <b/>
      <i/>
      <sz val="8"/>
      <color indexed="10"/>
      <name val="Arial"/>
      <family val="2"/>
    </font>
    <font>
      <u/>
      <sz val="8"/>
      <color indexed="12"/>
      <name val="Arial"/>
    </font>
    <font>
      <sz val="8"/>
      <name val="Arial"/>
      <family val="2"/>
    </font>
    <font>
      <sz val="8"/>
      <color indexed="12"/>
      <name val="Arial"/>
      <family val="2"/>
    </font>
    <font>
      <sz val="8"/>
      <color indexed="12"/>
      <name val="Arial"/>
    </font>
    <font>
      <b/>
      <sz val="8"/>
      <name val="Arial"/>
      <family val="2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2" borderId="1" xfId="0" applyFill="1" applyBorder="1"/>
    <xf numFmtId="164" fontId="2" fillId="0" borderId="2" xfId="0" applyNumberFormat="1" applyFont="1" applyBorder="1"/>
    <xf numFmtId="0" fontId="3" fillId="3" borderId="3" xfId="0" applyFont="1" applyFill="1" applyBorder="1"/>
    <xf numFmtId="0" fontId="0" fillId="3" borderId="4" xfId="0" applyFill="1" applyBorder="1"/>
    <xf numFmtId="164" fontId="2" fillId="0" borderId="5" xfId="0" applyNumberFormat="1" applyFont="1" applyBorder="1"/>
    <xf numFmtId="164" fontId="2" fillId="0" borderId="6" xfId="0" applyNumberFormat="1" applyFont="1" applyBorder="1"/>
    <xf numFmtId="164" fontId="2" fillId="0" borderId="7" xfId="0" applyNumberFormat="1" applyFont="1" applyBorder="1"/>
    <xf numFmtId="0" fontId="3" fillId="3" borderId="1" xfId="0" applyFont="1" applyFill="1" applyBorder="1"/>
    <xf numFmtId="0" fontId="0" fillId="2" borderId="4" xfId="0" applyFill="1" applyBorder="1"/>
    <xf numFmtId="164" fontId="2" fillId="0" borderId="8" xfId="0" applyNumberFormat="1" applyFont="1" applyBorder="1"/>
    <xf numFmtId="0" fontId="2" fillId="4" borderId="9" xfId="0" applyFont="1" applyFill="1" applyBorder="1"/>
    <xf numFmtId="0" fontId="2" fillId="4" borderId="10" xfId="0" applyFont="1" applyFill="1" applyBorder="1"/>
    <xf numFmtId="0" fontId="0" fillId="5" borderId="1" xfId="0" applyFill="1" applyBorder="1"/>
    <xf numFmtId="0" fontId="2" fillId="6" borderId="9" xfId="0" applyFont="1" applyFill="1" applyBorder="1"/>
    <xf numFmtId="0" fontId="2" fillId="6" borderId="10" xfId="0" applyFont="1" applyFill="1" applyBorder="1"/>
    <xf numFmtId="0" fontId="6" fillId="0" borderId="0" xfId="0" applyFont="1"/>
    <xf numFmtId="0" fontId="6" fillId="0" borderId="0" xfId="0" quotePrefix="1" applyFont="1"/>
    <xf numFmtId="0" fontId="7" fillId="7" borderId="0" xfId="0" applyFont="1" applyFill="1"/>
    <xf numFmtId="0" fontId="6" fillId="7" borderId="0" xfId="0" applyFont="1" applyFill="1"/>
    <xf numFmtId="0" fontId="7" fillId="0" borderId="11" xfId="0" applyFont="1" applyBorder="1"/>
    <xf numFmtId="0" fontId="7" fillId="0" borderId="12" xfId="0" applyFont="1" applyBorder="1"/>
    <xf numFmtId="0" fontId="7" fillId="0" borderId="12" xfId="0" applyFont="1" applyBorder="1" applyAlignment="1">
      <alignment horizontal="right"/>
    </xf>
    <xf numFmtId="0" fontId="7" fillId="6" borderId="13" xfId="0" applyFont="1" applyFill="1" applyBorder="1"/>
    <xf numFmtId="15" fontId="7" fillId="7" borderId="0" xfId="0" applyNumberFormat="1" applyFont="1" applyFill="1"/>
    <xf numFmtId="0" fontId="7" fillId="0" borderId="14" xfId="0" applyFont="1" applyBorder="1"/>
    <xf numFmtId="0" fontId="7" fillId="0" borderId="15" xfId="0" applyFont="1" applyBorder="1"/>
    <xf numFmtId="0" fontId="7" fillId="0" borderId="15" xfId="0" applyFont="1" applyBorder="1" applyAlignment="1">
      <alignment horizontal="right"/>
    </xf>
    <xf numFmtId="0" fontId="7" fillId="6" borderId="16" xfId="0" applyFont="1" applyFill="1" applyBorder="1"/>
    <xf numFmtId="0" fontId="6" fillId="0" borderId="0" xfId="0" applyFont="1" applyAlignment="1">
      <alignment horizontal="right"/>
    </xf>
    <xf numFmtId="0" fontId="6" fillId="0" borderId="0" xfId="0" applyFont="1" applyFill="1"/>
    <xf numFmtId="0" fontId="7" fillId="0" borderId="17" xfId="0" applyFont="1" applyBorder="1" applyAlignment="1">
      <alignment horizontal="center"/>
    </xf>
    <xf numFmtId="0" fontId="7" fillId="0" borderId="17" xfId="0" applyFont="1" applyFill="1" applyBorder="1"/>
    <xf numFmtId="0" fontId="7" fillId="0" borderId="17" xfId="0" applyFont="1" applyBorder="1"/>
    <xf numFmtId="0" fontId="7" fillId="0" borderId="12" xfId="0" applyFont="1" applyFill="1" applyBorder="1" applyAlignment="1">
      <alignment horizontal="right"/>
    </xf>
    <xf numFmtId="0" fontId="7" fillId="0" borderId="18" xfId="0" applyFont="1" applyBorder="1"/>
    <xf numFmtId="0" fontId="7" fillId="0" borderId="0" xfId="0" applyFont="1" applyBorder="1"/>
    <xf numFmtId="0" fontId="7" fillId="0" borderId="0" xfId="0" applyFont="1" applyFill="1" applyBorder="1" applyAlignment="1">
      <alignment horizontal="right"/>
    </xf>
    <xf numFmtId="0" fontId="6" fillId="0" borderId="18" xfId="0" applyFont="1" applyBorder="1" applyAlignment="1">
      <alignment horizontal="center"/>
    </xf>
    <xf numFmtId="0" fontId="7" fillId="0" borderId="19" xfId="0" applyFont="1" applyBorder="1"/>
    <xf numFmtId="0" fontId="6" fillId="0" borderId="15" xfId="0" applyFont="1" applyBorder="1"/>
    <xf numFmtId="0" fontId="7" fillId="0" borderId="15" xfId="0" applyFont="1" applyFill="1" applyBorder="1" applyAlignment="1">
      <alignment horizontal="right"/>
    </xf>
    <xf numFmtId="0" fontId="6" fillId="0" borderId="12" xfId="0" applyFont="1" applyBorder="1"/>
    <xf numFmtId="0" fontId="6" fillId="0" borderId="17" xfId="0" quotePrefix="1" applyFont="1" applyBorder="1" applyAlignment="1">
      <alignment horizontal="center"/>
    </xf>
    <xf numFmtId="0" fontId="6" fillId="0" borderId="0" xfId="0" applyFont="1" applyBorder="1"/>
    <xf numFmtId="0" fontId="6" fillId="0" borderId="18" xfId="0" quotePrefix="1" applyFont="1" applyBorder="1" applyAlignment="1">
      <alignment horizontal="center"/>
    </xf>
    <xf numFmtId="0" fontId="7" fillId="0" borderId="9" xfId="0" applyFont="1" applyBorder="1"/>
    <xf numFmtId="9" fontId="6" fillId="0" borderId="0" xfId="2" applyFont="1"/>
    <xf numFmtId="165" fontId="7" fillId="0" borderId="0" xfId="2" applyNumberFormat="1" applyFont="1"/>
    <xf numFmtId="0" fontId="0" fillId="2" borderId="20" xfId="0" applyFill="1" applyBorder="1"/>
    <xf numFmtId="164" fontId="2" fillId="0" borderId="21" xfId="0" applyNumberFormat="1" applyFont="1" applyBorder="1"/>
    <xf numFmtId="0" fontId="0" fillId="5" borderId="20" xfId="0" applyFill="1" applyBorder="1"/>
    <xf numFmtId="0" fontId="6" fillId="0" borderId="22" xfId="0" applyFont="1" applyBorder="1"/>
    <xf numFmtId="0" fontId="8" fillId="0" borderId="22" xfId="0" applyFont="1" applyFill="1" applyBorder="1" applyAlignment="1">
      <alignment horizontal="right"/>
    </xf>
    <xf numFmtId="0" fontId="9" fillId="0" borderId="9" xfId="0" quotePrefix="1" applyFont="1" applyFill="1" applyBorder="1" applyAlignment="1">
      <alignment horizontal="center"/>
    </xf>
    <xf numFmtId="0" fontId="6" fillId="0" borderId="12" xfId="0" quotePrefix="1" applyFont="1" applyBorder="1"/>
    <xf numFmtId="0" fontId="6" fillId="0" borderId="13" xfId="0" applyFont="1" applyBorder="1"/>
    <xf numFmtId="0" fontId="6" fillId="0" borderId="23" xfId="0" applyFont="1" applyBorder="1"/>
    <xf numFmtId="0" fontId="6" fillId="0" borderId="0" xfId="0" quotePrefix="1" applyFont="1" applyBorder="1"/>
    <xf numFmtId="0" fontId="6" fillId="0" borderId="24" xfId="0" applyFont="1" applyBorder="1"/>
    <xf numFmtId="0" fontId="6" fillId="0" borderId="14" xfId="0" applyFont="1" applyBorder="1"/>
    <xf numFmtId="0" fontId="6" fillId="0" borderId="16" xfId="0" applyFont="1" applyBorder="1"/>
    <xf numFmtId="0" fontId="10" fillId="0" borderId="0" xfId="0" applyFont="1"/>
    <xf numFmtId="0" fontId="2" fillId="0" borderId="0" xfId="0" applyFont="1"/>
    <xf numFmtId="0" fontId="12" fillId="0" borderId="0" xfId="1" applyFont="1" applyAlignment="1" applyProtection="1"/>
    <xf numFmtId="0" fontId="2" fillId="0" borderId="7" xfId="0" applyFont="1" applyBorder="1"/>
    <xf numFmtId="0" fontId="2" fillId="0" borderId="25" xfId="0" applyFont="1" applyBorder="1"/>
    <xf numFmtId="0" fontId="13" fillId="0" borderId="0" xfId="0" applyFont="1"/>
    <xf numFmtId="0" fontId="8" fillId="0" borderId="0" xfId="0" applyFont="1" applyFill="1" applyBorder="1" applyAlignment="1">
      <alignment horizontal="right"/>
    </xf>
    <xf numFmtId="0" fontId="13" fillId="0" borderId="18" xfId="0" applyFont="1" applyBorder="1"/>
    <xf numFmtId="0" fontId="14" fillId="0" borderId="18" xfId="0" applyFont="1" applyBorder="1"/>
    <xf numFmtId="0" fontId="2" fillId="6" borderId="17" xfId="0" applyFont="1" applyFill="1" applyBorder="1"/>
    <xf numFmtId="0" fontId="2" fillId="6" borderId="13" xfId="0" applyFont="1" applyFill="1" applyBorder="1"/>
    <xf numFmtId="0" fontId="7" fillId="0" borderId="0" xfId="0" quotePrefix="1" applyFont="1" applyFill="1" applyBorder="1" applyAlignment="1">
      <alignment horizontal="right"/>
    </xf>
    <xf numFmtId="0" fontId="6" fillId="0" borderId="11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1" fontId="2" fillId="0" borderId="6" xfId="0" applyNumberFormat="1" applyFont="1" applyBorder="1"/>
    <xf numFmtId="0" fontId="2" fillId="0" borderId="26" xfId="0" applyFont="1" applyBorder="1"/>
    <xf numFmtId="2" fontId="15" fillId="0" borderId="17" xfId="0" applyNumberFormat="1" applyFont="1" applyBorder="1" applyProtection="1">
      <protection locked="0"/>
    </xf>
    <xf numFmtId="2" fontId="15" fillId="0" borderId="18" xfId="0" applyNumberFormat="1" applyFont="1" applyBorder="1" applyProtection="1">
      <protection locked="0"/>
    </xf>
    <xf numFmtId="166" fontId="15" fillId="0" borderId="18" xfId="0" applyNumberFormat="1" applyFont="1" applyBorder="1" applyProtection="1">
      <protection locked="0"/>
    </xf>
    <xf numFmtId="1" fontId="15" fillId="0" borderId="18" xfId="0" applyNumberFormat="1" applyFont="1" applyBorder="1" applyProtection="1">
      <protection locked="0"/>
    </xf>
    <xf numFmtId="1" fontId="15" fillId="0" borderId="19" xfId="0" applyNumberFormat="1" applyFont="1" applyBorder="1" applyProtection="1">
      <protection locked="0"/>
    </xf>
    <xf numFmtId="164" fontId="6" fillId="0" borderId="18" xfId="0" applyNumberFormat="1" applyFont="1" applyBorder="1"/>
    <xf numFmtId="164" fontId="6" fillId="0" borderId="18" xfId="0" applyNumberFormat="1" applyFont="1" applyFill="1" applyBorder="1"/>
    <xf numFmtId="166" fontId="8" fillId="0" borderId="9" xfId="2" applyNumberFormat="1" applyFont="1" applyFill="1" applyBorder="1"/>
    <xf numFmtId="2" fontId="2" fillId="0" borderId="6" xfId="0" applyNumberFormat="1" applyFont="1" applyBorder="1"/>
    <xf numFmtId="2" fontId="2" fillId="0" borderId="26" xfId="0" applyNumberFormat="1" applyFont="1" applyBorder="1"/>
    <xf numFmtId="0" fontId="16" fillId="0" borderId="9" xfId="0" applyFont="1" applyBorder="1"/>
    <xf numFmtId="0" fontId="2" fillId="4" borderId="17" xfId="0" applyFont="1" applyFill="1" applyBorder="1"/>
    <xf numFmtId="0" fontId="2" fillId="4" borderId="13" xfId="0" applyFont="1" applyFill="1" applyBorder="1"/>
    <xf numFmtId="166" fontId="2" fillId="0" borderId="6" xfId="0" applyNumberFormat="1" applyFont="1" applyBorder="1"/>
    <xf numFmtId="0" fontId="2" fillId="0" borderId="6" xfId="0" applyFont="1" applyBorder="1"/>
    <xf numFmtId="0" fontId="0" fillId="5" borderId="27" xfId="0" applyFill="1" applyBorder="1"/>
    <xf numFmtId="0" fontId="2" fillId="0" borderId="24" xfId="0" applyFont="1" applyBorder="1"/>
    <xf numFmtId="9" fontId="16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8" borderId="0" xfId="0" applyFont="1" applyFill="1" applyAlignment="1">
      <alignment horizontal="center"/>
    </xf>
    <xf numFmtId="0" fontId="17" fillId="0" borderId="28" xfId="0" applyFont="1" applyBorder="1" applyAlignment="1">
      <alignment horizontal="left"/>
    </xf>
    <xf numFmtId="0" fontId="17" fillId="0" borderId="22" xfId="0" applyFont="1" applyBorder="1" applyAlignment="1">
      <alignment horizontal="left"/>
    </xf>
    <xf numFmtId="0" fontId="17" fillId="0" borderId="10" xfId="0" applyFont="1" applyBorder="1" applyAlignment="1">
      <alignment horizontal="left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1171575</xdr:colOff>
      <xdr:row>0</xdr:row>
      <xdr:rowOff>123825</xdr:rowOff>
    </xdr:from>
    <xdr:to>
      <xdr:col>3</xdr:col>
      <xdr:colOff>514350</xdr:colOff>
      <xdr:row>4</xdr:row>
      <xdr:rowOff>142875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314575" y="123825"/>
          <a:ext cx="647700" cy="590550"/>
          <a:chOff x="311" y="170"/>
          <a:chExt cx="251" cy="244"/>
        </a:xfrm>
      </xdr:grpSpPr>
      <xdr:sp macro="" textlink="">
        <xdr:nvSpPr>
          <xdr:cNvPr id="1026" name="AutoShape 2"/>
          <xdr:cNvSpPr>
            <a:spLocks noChangeArrowheads="1"/>
          </xdr:cNvSpPr>
        </xdr:nvSpPr>
        <xdr:spPr bwMode="auto">
          <a:xfrm flipV="1">
            <a:off x="311" y="323"/>
            <a:ext cx="251" cy="91"/>
          </a:xfrm>
          <a:custGeom>
            <a:avLst/>
            <a:gdLst>
              <a:gd name="G0" fmla="+- 5249 0 0"/>
              <a:gd name="G1" fmla="+- 21600 0 5249"/>
              <a:gd name="G2" fmla="*/ 5249 1 2"/>
              <a:gd name="G3" fmla="+- 21600 0 G2"/>
              <a:gd name="G4" fmla="+/ 5249 21600 2"/>
              <a:gd name="G5" fmla="+/ G1 0 2"/>
              <a:gd name="G6" fmla="*/ 21600 21600 5249"/>
              <a:gd name="G7" fmla="*/ G6 1 2"/>
              <a:gd name="G8" fmla="+- 21600 0 G7"/>
              <a:gd name="G9" fmla="*/ 21600 1 2"/>
              <a:gd name="G10" fmla="+- 5249 0 G9"/>
              <a:gd name="G11" fmla="?: G10 G8 0"/>
              <a:gd name="G12" fmla="?: G10 G7 21600"/>
              <a:gd name="T0" fmla="*/ 18975 w 21600"/>
              <a:gd name="T1" fmla="*/ 10800 h 21600"/>
              <a:gd name="T2" fmla="*/ 10800 w 21600"/>
              <a:gd name="T3" fmla="*/ 21600 h 21600"/>
              <a:gd name="T4" fmla="*/ 2625 w 21600"/>
              <a:gd name="T5" fmla="*/ 10800 h 21600"/>
              <a:gd name="T6" fmla="*/ 10800 w 21600"/>
              <a:gd name="T7" fmla="*/ 0 h 21600"/>
              <a:gd name="T8" fmla="*/ 4425 w 21600"/>
              <a:gd name="T9" fmla="*/ 4425 h 21600"/>
              <a:gd name="T10" fmla="*/ 17175 w 21600"/>
              <a:gd name="T11" fmla="*/ 17175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T8" t="T9" r="T10" b="T11"/>
            <a:pathLst>
              <a:path w="21600" h="21600">
                <a:moveTo>
                  <a:pt x="0" y="0"/>
                </a:moveTo>
                <a:lnTo>
                  <a:pt x="5249" y="21600"/>
                </a:lnTo>
                <a:lnTo>
                  <a:pt x="16351" y="21600"/>
                </a:lnTo>
                <a:lnTo>
                  <a:pt x="21600" y="0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FF"/>
            </a:solidFill>
            <a:miter lim="800000"/>
            <a:headEnd/>
            <a:tailEnd/>
          </a:ln>
        </xdr:spPr>
      </xdr:sp>
      <xdr:sp macro="" textlink="">
        <xdr:nvSpPr>
          <xdr:cNvPr id="1027" name="Oval 3"/>
          <xdr:cNvSpPr>
            <a:spLocks noChangeArrowheads="1"/>
          </xdr:cNvSpPr>
        </xdr:nvSpPr>
        <xdr:spPr bwMode="auto">
          <a:xfrm>
            <a:off x="326" y="170"/>
            <a:ext cx="211" cy="201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FF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685800</xdr:colOff>
      <xdr:row>0</xdr:row>
      <xdr:rowOff>66675</xdr:rowOff>
    </xdr:from>
    <xdr:to>
      <xdr:col>5</xdr:col>
      <xdr:colOff>171450</xdr:colOff>
      <xdr:row>2</xdr:row>
      <xdr:rowOff>66675</xdr:rowOff>
    </xdr:to>
    <xdr:grpSp>
      <xdr:nvGrpSpPr>
        <xdr:cNvPr id="1028" name="Group 4"/>
        <xdr:cNvGrpSpPr>
          <a:grpSpLocks/>
        </xdr:cNvGrpSpPr>
      </xdr:nvGrpSpPr>
      <xdr:grpSpPr bwMode="auto">
        <a:xfrm>
          <a:off x="3743325" y="66675"/>
          <a:ext cx="276225" cy="285750"/>
          <a:chOff x="311" y="170"/>
          <a:chExt cx="251" cy="244"/>
        </a:xfrm>
      </xdr:grpSpPr>
      <xdr:sp macro="" textlink="">
        <xdr:nvSpPr>
          <xdr:cNvPr id="1029" name="AutoShape 5"/>
          <xdr:cNvSpPr>
            <a:spLocks noChangeArrowheads="1"/>
          </xdr:cNvSpPr>
        </xdr:nvSpPr>
        <xdr:spPr bwMode="auto">
          <a:xfrm flipV="1">
            <a:off x="311" y="323"/>
            <a:ext cx="251" cy="91"/>
          </a:xfrm>
          <a:custGeom>
            <a:avLst/>
            <a:gdLst>
              <a:gd name="G0" fmla="+- 5249 0 0"/>
              <a:gd name="G1" fmla="+- 21600 0 5249"/>
              <a:gd name="G2" fmla="*/ 5249 1 2"/>
              <a:gd name="G3" fmla="+- 21600 0 G2"/>
              <a:gd name="G4" fmla="+/ 5249 21600 2"/>
              <a:gd name="G5" fmla="+/ G1 0 2"/>
              <a:gd name="G6" fmla="*/ 21600 21600 5249"/>
              <a:gd name="G7" fmla="*/ G6 1 2"/>
              <a:gd name="G8" fmla="+- 21600 0 G7"/>
              <a:gd name="G9" fmla="*/ 21600 1 2"/>
              <a:gd name="G10" fmla="+- 5249 0 G9"/>
              <a:gd name="G11" fmla="?: G10 G8 0"/>
              <a:gd name="G12" fmla="?: G10 G7 21600"/>
              <a:gd name="T0" fmla="*/ 18975 w 21600"/>
              <a:gd name="T1" fmla="*/ 10800 h 21600"/>
              <a:gd name="T2" fmla="*/ 10800 w 21600"/>
              <a:gd name="T3" fmla="*/ 21600 h 21600"/>
              <a:gd name="T4" fmla="*/ 2625 w 21600"/>
              <a:gd name="T5" fmla="*/ 10800 h 21600"/>
              <a:gd name="T6" fmla="*/ 10800 w 21600"/>
              <a:gd name="T7" fmla="*/ 0 h 21600"/>
              <a:gd name="T8" fmla="*/ 4425 w 21600"/>
              <a:gd name="T9" fmla="*/ 4425 h 21600"/>
              <a:gd name="T10" fmla="*/ 17175 w 21600"/>
              <a:gd name="T11" fmla="*/ 17175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T8" t="T9" r="T10" b="T11"/>
            <a:pathLst>
              <a:path w="21600" h="21600">
                <a:moveTo>
                  <a:pt x="0" y="0"/>
                </a:moveTo>
                <a:lnTo>
                  <a:pt x="5249" y="21600"/>
                </a:lnTo>
                <a:lnTo>
                  <a:pt x="16351" y="21600"/>
                </a:lnTo>
                <a:lnTo>
                  <a:pt x="21600" y="0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FF"/>
            </a:solidFill>
            <a:miter lim="800000"/>
            <a:headEnd/>
            <a:tailEnd/>
          </a:ln>
        </xdr:spPr>
      </xdr:sp>
      <xdr:sp macro="" textlink="">
        <xdr:nvSpPr>
          <xdr:cNvPr id="1030" name="Oval 6"/>
          <xdr:cNvSpPr>
            <a:spLocks noChangeArrowheads="1"/>
          </xdr:cNvSpPr>
        </xdr:nvSpPr>
        <xdr:spPr bwMode="auto">
          <a:xfrm>
            <a:off x="326" y="170"/>
            <a:ext cx="211" cy="201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FF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695325</xdr:colOff>
      <xdr:row>2</xdr:row>
      <xdr:rowOff>114300</xdr:rowOff>
    </xdr:from>
    <xdr:to>
      <xdr:col>5</xdr:col>
      <xdr:colOff>180975</xdr:colOff>
      <xdr:row>4</xdr:row>
      <xdr:rowOff>114300</xdr:rowOff>
    </xdr:to>
    <xdr:grpSp>
      <xdr:nvGrpSpPr>
        <xdr:cNvPr id="1031" name="Group 7"/>
        <xdr:cNvGrpSpPr>
          <a:grpSpLocks/>
        </xdr:cNvGrpSpPr>
      </xdr:nvGrpSpPr>
      <xdr:grpSpPr bwMode="auto">
        <a:xfrm>
          <a:off x="3752850" y="400050"/>
          <a:ext cx="276225" cy="285750"/>
          <a:chOff x="311" y="170"/>
          <a:chExt cx="251" cy="244"/>
        </a:xfrm>
      </xdr:grpSpPr>
      <xdr:sp macro="" textlink="">
        <xdr:nvSpPr>
          <xdr:cNvPr id="1032" name="AutoShape 8"/>
          <xdr:cNvSpPr>
            <a:spLocks noChangeArrowheads="1"/>
          </xdr:cNvSpPr>
        </xdr:nvSpPr>
        <xdr:spPr bwMode="auto">
          <a:xfrm flipV="1">
            <a:off x="311" y="323"/>
            <a:ext cx="251" cy="91"/>
          </a:xfrm>
          <a:custGeom>
            <a:avLst/>
            <a:gdLst>
              <a:gd name="G0" fmla="+- 5249 0 0"/>
              <a:gd name="G1" fmla="+- 21600 0 5249"/>
              <a:gd name="G2" fmla="*/ 5249 1 2"/>
              <a:gd name="G3" fmla="+- 21600 0 G2"/>
              <a:gd name="G4" fmla="+/ 5249 21600 2"/>
              <a:gd name="G5" fmla="+/ G1 0 2"/>
              <a:gd name="G6" fmla="*/ 21600 21600 5249"/>
              <a:gd name="G7" fmla="*/ G6 1 2"/>
              <a:gd name="G8" fmla="+- 21600 0 G7"/>
              <a:gd name="G9" fmla="*/ 21600 1 2"/>
              <a:gd name="G10" fmla="+- 5249 0 G9"/>
              <a:gd name="G11" fmla="?: G10 G8 0"/>
              <a:gd name="G12" fmla="?: G10 G7 21600"/>
              <a:gd name="T0" fmla="*/ 18975 w 21600"/>
              <a:gd name="T1" fmla="*/ 10800 h 21600"/>
              <a:gd name="T2" fmla="*/ 10800 w 21600"/>
              <a:gd name="T3" fmla="*/ 21600 h 21600"/>
              <a:gd name="T4" fmla="*/ 2625 w 21600"/>
              <a:gd name="T5" fmla="*/ 10800 h 21600"/>
              <a:gd name="T6" fmla="*/ 10800 w 21600"/>
              <a:gd name="T7" fmla="*/ 0 h 21600"/>
              <a:gd name="T8" fmla="*/ 4425 w 21600"/>
              <a:gd name="T9" fmla="*/ 4425 h 21600"/>
              <a:gd name="T10" fmla="*/ 17175 w 21600"/>
              <a:gd name="T11" fmla="*/ 17175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T8" t="T9" r="T10" b="T11"/>
            <a:pathLst>
              <a:path w="21600" h="21600">
                <a:moveTo>
                  <a:pt x="0" y="0"/>
                </a:moveTo>
                <a:lnTo>
                  <a:pt x="5249" y="21600"/>
                </a:lnTo>
                <a:lnTo>
                  <a:pt x="16351" y="21600"/>
                </a:lnTo>
                <a:lnTo>
                  <a:pt x="21600" y="0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FF"/>
            </a:solidFill>
            <a:miter lim="800000"/>
            <a:headEnd/>
            <a:tailEnd/>
          </a:ln>
        </xdr:spPr>
      </xdr:sp>
      <xdr:sp macro="" textlink="">
        <xdr:nvSpPr>
          <xdr:cNvPr id="1033" name="Oval 9"/>
          <xdr:cNvSpPr>
            <a:spLocks noChangeArrowheads="1"/>
          </xdr:cNvSpPr>
        </xdr:nvSpPr>
        <xdr:spPr bwMode="auto">
          <a:xfrm>
            <a:off x="326" y="170"/>
            <a:ext cx="211" cy="201"/>
          </a:xfrm>
          <a:prstGeom prst="ellipse">
            <a:avLst/>
          </a:prstGeom>
          <a:solidFill>
            <a:srgbClr val="C0C0C0"/>
          </a:solidFill>
          <a:ln w="9525">
            <a:solidFill>
              <a:srgbClr val="0000FF"/>
            </a:solidFill>
            <a:round/>
            <a:headEnd/>
            <a:tailEnd/>
          </a:ln>
        </xdr:spPr>
      </xdr:sp>
    </xdr:grpSp>
    <xdr:clientData/>
  </xdr:twoCellAnchor>
  <xdr:twoCellAnchor>
    <xdr:from>
      <xdr:col>4</xdr:col>
      <xdr:colOff>0</xdr:colOff>
      <xdr:row>3</xdr:row>
      <xdr:rowOff>9525</xdr:rowOff>
    </xdr:from>
    <xdr:to>
      <xdr:col>4</xdr:col>
      <xdr:colOff>533400</xdr:colOff>
      <xdr:row>3</xdr:row>
      <xdr:rowOff>9525</xdr:rowOff>
    </xdr:to>
    <xdr:sp macro="" textlink="">
      <xdr:nvSpPr>
        <xdr:cNvPr id="1034" name="Line 10"/>
        <xdr:cNvSpPr>
          <a:spLocks noChangeShapeType="1"/>
        </xdr:cNvSpPr>
      </xdr:nvSpPr>
      <xdr:spPr bwMode="auto">
        <a:xfrm>
          <a:off x="3057525" y="438150"/>
          <a:ext cx="533400" cy="0"/>
        </a:xfrm>
        <a:prstGeom prst="line">
          <a:avLst/>
        </a:prstGeom>
        <a:noFill/>
        <a:ln w="127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101"/>
  <sheetViews>
    <sheetView workbookViewId="0">
      <selection activeCell="B8" sqref="B8"/>
    </sheetView>
  </sheetViews>
  <sheetFormatPr defaultRowHeight="12.75"/>
  <cols>
    <col min="1" max="1" width="11.7109375" customWidth="1"/>
    <col min="2" max="2" width="43.85546875" bestFit="1" customWidth="1"/>
    <col min="3" max="3" width="41.140625" bestFit="1" customWidth="1"/>
    <col min="4" max="4" width="5.42578125" bestFit="1" customWidth="1"/>
    <col min="5" max="5" width="36.710937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>
      <c r="B1" s="97" t="s">
        <v>9</v>
      </c>
      <c r="C1" s="97"/>
      <c r="D1" s="97"/>
    </row>
    <row r="3" spans="2:4" ht="13.5" thickBot="1">
      <c r="B3" s="98" t="s">
        <v>12</v>
      </c>
      <c r="C3" s="98"/>
      <c r="D3" s="98"/>
    </row>
    <row r="4" spans="2:4" ht="13.5" thickBot="1">
      <c r="B4" s="71" t="s">
        <v>4</v>
      </c>
      <c r="C4" s="71" t="s">
        <v>0</v>
      </c>
      <c r="D4" s="72" t="s">
        <v>1</v>
      </c>
    </row>
    <row r="5" spans="2:4">
      <c r="B5" s="4" t="s">
        <v>5</v>
      </c>
      <c r="C5" s="50"/>
      <c r="D5" s="10"/>
    </row>
    <row r="6" spans="2:4">
      <c r="B6" s="1" t="s">
        <v>51</v>
      </c>
      <c r="C6" s="87"/>
      <c r="D6" s="7" t="s">
        <v>35</v>
      </c>
    </row>
    <row r="7" spans="2:4">
      <c r="B7" s="1" t="s">
        <v>52</v>
      </c>
      <c r="C7" s="87"/>
      <c r="D7" s="65" t="s">
        <v>37</v>
      </c>
    </row>
    <row r="8" spans="2:4" ht="13.5" thickBot="1">
      <c r="B8" s="49" t="s">
        <v>53</v>
      </c>
      <c r="C8" s="88"/>
      <c r="D8" s="66" t="s">
        <v>39</v>
      </c>
    </row>
    <row r="39" spans="2:5" ht="13.5" thickBot="1"/>
    <row r="40" spans="2:5" ht="13.5" thickBot="1">
      <c r="B40" s="14" t="s">
        <v>3</v>
      </c>
      <c r="C40" s="14" t="s">
        <v>0</v>
      </c>
      <c r="D40" s="15" t="s">
        <v>1</v>
      </c>
    </row>
    <row r="41" spans="2:5">
      <c r="B41" s="3" t="s">
        <v>2</v>
      </c>
      <c r="C41" s="2" t="s">
        <v>63</v>
      </c>
      <c r="D41" s="5"/>
      <c r="E41" t="s">
        <v>65</v>
      </c>
    </row>
    <row r="42" spans="2:5">
      <c r="B42" s="3" t="s">
        <v>8</v>
      </c>
      <c r="C42" s="2" t="s">
        <v>64</v>
      </c>
      <c r="D42" s="5"/>
      <c r="E42" t="s">
        <v>66</v>
      </c>
    </row>
    <row r="43" spans="2:5">
      <c r="B43" s="1" t="s">
        <v>7</v>
      </c>
      <c r="C43" s="6"/>
      <c r="D43" s="7"/>
    </row>
    <row r="68" spans="2:3" ht="13.5" thickBot="1"/>
    <row r="69" spans="2:3" ht="13.5" thickBot="1">
      <c r="B69" s="14" t="s">
        <v>10</v>
      </c>
      <c r="C69" s="14" t="s">
        <v>0</v>
      </c>
    </row>
    <row r="70" spans="2:3">
      <c r="B70" s="9" t="s">
        <v>7</v>
      </c>
      <c r="C70" s="10"/>
    </row>
    <row r="98" spans="2:3" ht="13.5" thickBot="1"/>
    <row r="99" spans="2:3" ht="13.5" thickBot="1">
      <c r="B99" s="14" t="s">
        <v>11</v>
      </c>
      <c r="C99" s="14" t="s">
        <v>0</v>
      </c>
    </row>
    <row r="100" spans="2:3">
      <c r="B100" s="8" t="s">
        <v>13</v>
      </c>
      <c r="C100" s="7"/>
    </row>
    <row r="101" spans="2:3">
      <c r="B101" s="1" t="s">
        <v>7</v>
      </c>
      <c r="C101" s="7"/>
    </row>
  </sheetData>
  <mergeCells count="2">
    <mergeCell ref="B1:D1"/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B2:J43"/>
  <sheetViews>
    <sheetView showGridLines="0" tabSelected="1" workbookViewId="0"/>
  </sheetViews>
  <sheetFormatPr defaultRowHeight="11.25"/>
  <cols>
    <col min="1" max="1" width="6.85546875" style="16" customWidth="1"/>
    <col min="2" max="2" width="10.28515625" style="16" customWidth="1"/>
    <col min="3" max="3" width="19.5703125" style="16" customWidth="1"/>
    <col min="4" max="4" width="9.140625" style="16"/>
    <col min="5" max="5" width="11.85546875" style="16" customWidth="1"/>
    <col min="6" max="6" width="12.42578125" style="16" customWidth="1"/>
    <col min="7" max="7" width="11" style="16" bestFit="1" customWidth="1"/>
    <col min="8" max="16384" width="9.140625" style="16"/>
  </cols>
  <sheetData>
    <row r="2" spans="2:6">
      <c r="F2" s="96">
        <v>0.5</v>
      </c>
    </row>
    <row r="3" spans="2:6">
      <c r="C3" s="96">
        <v>1</v>
      </c>
    </row>
    <row r="4" spans="2:6">
      <c r="F4" s="96">
        <v>0.5</v>
      </c>
    </row>
    <row r="6" spans="2:6" ht="12.75">
      <c r="B6" s="63" t="s">
        <v>71</v>
      </c>
    </row>
    <row r="7" spans="2:6">
      <c r="B7" s="16" t="s">
        <v>57</v>
      </c>
    </row>
    <row r="8" spans="2:6">
      <c r="C8" s="64"/>
    </row>
    <row r="9" spans="2:6" ht="12" thickBot="1"/>
    <row r="10" spans="2:6">
      <c r="B10" s="20" t="s">
        <v>14</v>
      </c>
      <c r="C10" s="21" t="s">
        <v>15</v>
      </c>
      <c r="D10" s="55" t="s">
        <v>16</v>
      </c>
      <c r="E10" s="42"/>
      <c r="F10" s="56"/>
    </row>
    <row r="11" spans="2:6">
      <c r="B11" s="57"/>
      <c r="C11" s="36" t="s">
        <v>17</v>
      </c>
      <c r="D11" s="58" t="s">
        <v>18</v>
      </c>
      <c r="E11" s="44"/>
      <c r="F11" s="59"/>
    </row>
    <row r="12" spans="2:6" ht="12" thickBot="1">
      <c r="B12" s="60"/>
      <c r="C12" s="26" t="s">
        <v>19</v>
      </c>
      <c r="D12" s="40" t="s">
        <v>20</v>
      </c>
      <c r="E12" s="40"/>
      <c r="F12" s="61"/>
    </row>
    <row r="13" spans="2:6">
      <c r="F13" s="17"/>
    </row>
    <row r="14" spans="2:6" ht="12" thickBot="1">
      <c r="B14" s="18" t="s">
        <v>21</v>
      </c>
      <c r="C14" s="19"/>
      <c r="D14" s="19"/>
      <c r="E14" s="19"/>
      <c r="F14" s="19"/>
    </row>
    <row r="15" spans="2:6">
      <c r="B15" s="20" t="s">
        <v>22</v>
      </c>
      <c r="C15" s="21" t="s">
        <v>23</v>
      </c>
      <c r="D15" s="22" t="s">
        <v>24</v>
      </c>
      <c r="E15" s="23">
        <v>1.675685375078235</v>
      </c>
      <c r="F15" s="24"/>
    </row>
    <row r="16" spans="2:6" ht="12" thickBot="1">
      <c r="B16" s="25"/>
      <c r="C16" s="26"/>
      <c r="D16" s="27" t="s">
        <v>25</v>
      </c>
      <c r="E16" s="28">
        <v>-5.0360169573529738</v>
      </c>
      <c r="F16" s="24"/>
    </row>
    <row r="17" spans="2:10" ht="12" thickBot="1">
      <c r="D17" s="29"/>
      <c r="F17" s="19"/>
    </row>
    <row r="18" spans="2:10">
      <c r="B18" s="20" t="s">
        <v>26</v>
      </c>
      <c r="C18" s="21" t="s">
        <v>27</v>
      </c>
      <c r="D18" s="22" t="s">
        <v>28</v>
      </c>
      <c r="E18" s="23">
        <v>0.89439999999999997</v>
      </c>
      <c r="F18" s="24"/>
    </row>
    <row r="19" spans="2:10" ht="12" thickBot="1">
      <c r="B19" s="25"/>
      <c r="C19" s="26"/>
      <c r="D19" s="27" t="s">
        <v>29</v>
      </c>
      <c r="E19" s="28">
        <v>0.14680000000000001</v>
      </c>
      <c r="F19" s="24"/>
    </row>
    <row r="20" spans="2:10">
      <c r="F20" s="19"/>
    </row>
    <row r="21" spans="2:10">
      <c r="B21" s="67" t="s">
        <v>30</v>
      </c>
      <c r="F21" s="24"/>
    </row>
    <row r="22" spans="2:10">
      <c r="B22" s="68" t="s">
        <v>31</v>
      </c>
      <c r="C22" s="68" t="s">
        <v>32</v>
      </c>
      <c r="F22" s="24"/>
    </row>
    <row r="23" spans="2:10">
      <c r="B23" s="19"/>
      <c r="C23" s="19"/>
      <c r="D23" s="19"/>
      <c r="E23" s="19"/>
      <c r="F23" s="19"/>
    </row>
    <row r="24" spans="2:10" ht="12" thickBot="1">
      <c r="G24" s="30"/>
      <c r="I24" s="30"/>
      <c r="J24" s="30"/>
    </row>
    <row r="25" spans="2:10" ht="13.5" thickBot="1">
      <c r="E25" s="31" t="s">
        <v>1</v>
      </c>
      <c r="F25" s="32" t="str">
        <f>IF(Input!C5="","",Input!C5)</f>
        <v/>
      </c>
      <c r="G25"/>
      <c r="J25" s="30"/>
    </row>
    <row r="26" spans="2:10" ht="12.75">
      <c r="B26" s="33" t="s">
        <v>33</v>
      </c>
      <c r="C26" s="21"/>
      <c r="D26" s="34" t="s">
        <v>34</v>
      </c>
      <c r="E26" s="74" t="s">
        <v>35</v>
      </c>
      <c r="F26" s="79">
        <f>Input!C6</f>
        <v>0</v>
      </c>
      <c r="G26"/>
    </row>
    <row r="27" spans="2:10" ht="12.75">
      <c r="B27" s="35"/>
      <c r="C27" s="36"/>
      <c r="D27" s="37" t="s">
        <v>61</v>
      </c>
      <c r="E27" s="75"/>
      <c r="F27" s="82">
        <v>2</v>
      </c>
      <c r="G27"/>
    </row>
    <row r="28" spans="2:10" ht="12.75">
      <c r="B28" s="35"/>
      <c r="C28" s="36"/>
      <c r="D28" s="73" t="s">
        <v>62</v>
      </c>
      <c r="E28" s="75" t="s">
        <v>35</v>
      </c>
      <c r="F28" s="80">
        <f>ROUND(F26/F27,2)</f>
        <v>0</v>
      </c>
      <c r="G28"/>
    </row>
    <row r="29" spans="2:10">
      <c r="B29" s="70" t="s">
        <v>58</v>
      </c>
      <c r="C29" s="36"/>
      <c r="D29" s="37" t="s">
        <v>36</v>
      </c>
      <c r="E29" s="75" t="s">
        <v>37</v>
      </c>
      <c r="F29" s="81">
        <f>IF(Input!C7="",225,Input!C7)</f>
        <v>225</v>
      </c>
      <c r="G29" s="62" t="s">
        <v>67</v>
      </c>
    </row>
    <row r="30" spans="2:10" ht="12" thickBot="1">
      <c r="B30" s="39"/>
      <c r="C30" s="40"/>
      <c r="D30" s="41" t="s">
        <v>38</v>
      </c>
      <c r="E30" s="76" t="s">
        <v>39</v>
      </c>
      <c r="F30" s="83">
        <f>IF(Input!C8="",3600,Input!C8)</f>
        <v>3600</v>
      </c>
      <c r="G30" s="62" t="s">
        <v>56</v>
      </c>
    </row>
    <row r="31" spans="2:10" ht="12.75">
      <c r="B31" s="35" t="s">
        <v>40</v>
      </c>
      <c r="C31" s="42">
        <v>1</v>
      </c>
      <c r="D31" s="34" t="s">
        <v>41</v>
      </c>
      <c r="E31" s="43" t="s">
        <v>42</v>
      </c>
      <c r="F31" s="84">
        <f>F30*SQRT(F28)/(F29^0.75)</f>
        <v>0</v>
      </c>
      <c r="G31"/>
    </row>
    <row r="32" spans="2:10" ht="12.75">
      <c r="B32" s="69" t="s">
        <v>59</v>
      </c>
      <c r="C32" s="44">
        <v>2</v>
      </c>
      <c r="D32" s="37" t="s">
        <v>43</v>
      </c>
      <c r="E32" s="45" t="s">
        <v>42</v>
      </c>
      <c r="F32" s="85" t="e">
        <f>LN(F28)</f>
        <v>#NUM!</v>
      </c>
      <c r="G32"/>
    </row>
    <row r="33" spans="2:9" ht="12.75">
      <c r="B33" s="35"/>
      <c r="C33" s="44">
        <v>3</v>
      </c>
      <c r="D33" s="37" t="s">
        <v>44</v>
      </c>
      <c r="E33" s="38"/>
      <c r="F33" s="85" t="e">
        <f>LN(F32)</f>
        <v>#NUM!</v>
      </c>
      <c r="G33"/>
    </row>
    <row r="34" spans="2:9" ht="12.75">
      <c r="B34" s="35"/>
      <c r="C34" s="44">
        <v>4</v>
      </c>
      <c r="D34" s="37" t="s">
        <v>45</v>
      </c>
      <c r="E34" s="45" t="s">
        <v>42</v>
      </c>
      <c r="F34" s="85" t="e">
        <f>LN(F31)</f>
        <v>#NUM!</v>
      </c>
      <c r="G34"/>
    </row>
    <row r="35" spans="2:9" ht="12.75">
      <c r="B35" s="35"/>
      <c r="C35" s="44">
        <v>5</v>
      </c>
      <c r="D35" s="37" t="s">
        <v>46</v>
      </c>
      <c r="E35" s="45" t="s">
        <v>42</v>
      </c>
      <c r="F35" s="85" t="e">
        <f>1/($E$15*F33+$E$16)</f>
        <v>#NUM!</v>
      </c>
      <c r="G35"/>
    </row>
    <row r="36" spans="2:9" ht="13.5" thickBot="1">
      <c r="B36" s="39"/>
      <c r="C36" s="44">
        <v>6</v>
      </c>
      <c r="D36" s="37" t="s">
        <v>47</v>
      </c>
      <c r="E36" s="45" t="s">
        <v>42</v>
      </c>
      <c r="F36" s="85" t="e">
        <f>$E$18*EXP($E$19*F32)</f>
        <v>#NUM!</v>
      </c>
      <c r="G36"/>
    </row>
    <row r="37" spans="2:9" ht="13.5" thickBot="1">
      <c r="B37" s="46" t="s">
        <v>48</v>
      </c>
      <c r="C37" s="52">
        <v>7</v>
      </c>
      <c r="D37" s="53" t="s">
        <v>49</v>
      </c>
      <c r="E37" s="54" t="s">
        <v>50</v>
      </c>
      <c r="F37" s="86" t="e">
        <f>ROUND((1-EXP(F35*F34+F36))*100,1)</f>
        <v>#NUM!</v>
      </c>
      <c r="G37"/>
    </row>
    <row r="38" spans="2:9" ht="13.5" thickBot="1">
      <c r="C38"/>
      <c r="D38"/>
      <c r="E38"/>
      <c r="F38"/>
      <c r="G38"/>
      <c r="H38"/>
    </row>
    <row r="39" spans="2:9" ht="13.5" thickBot="1">
      <c r="B39" s="89" t="s">
        <v>68</v>
      </c>
      <c r="C39" s="99" t="s">
        <v>70</v>
      </c>
      <c r="D39" s="100"/>
      <c r="E39" s="100"/>
      <c r="F39" s="101"/>
      <c r="G39"/>
      <c r="H39"/>
    </row>
    <row r="40" spans="2:9">
      <c r="E40" s="37"/>
      <c r="H40" s="47"/>
      <c r="I40" s="47"/>
    </row>
    <row r="42" spans="2:9">
      <c r="C42" s="16" t="s">
        <v>55</v>
      </c>
      <c r="E42" s="37"/>
    </row>
    <row r="43" spans="2:9">
      <c r="I43" s="48"/>
    </row>
  </sheetData>
  <mergeCells count="1">
    <mergeCell ref="C39:F39"/>
  </mergeCells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D101"/>
  <sheetViews>
    <sheetView workbookViewId="0"/>
  </sheetViews>
  <sheetFormatPr defaultRowHeight="12.75"/>
  <cols>
    <col min="1" max="1" width="11.7109375" customWidth="1"/>
    <col min="2" max="2" width="43.85546875" bestFit="1" customWidth="1"/>
    <col min="3" max="3" width="52.28515625" bestFit="1" customWidth="1"/>
    <col min="4" max="4" width="5.42578125" bestFit="1" customWidth="1"/>
    <col min="5" max="5" width="8.5703125" bestFit="1" customWidth="1"/>
    <col min="6" max="6" width="15.7109375" bestFit="1" customWidth="1"/>
    <col min="7" max="7" width="6.5703125" bestFit="1" customWidth="1"/>
    <col min="8" max="8" width="5.42578125" bestFit="1" customWidth="1"/>
  </cols>
  <sheetData>
    <row r="1" spans="2:4">
      <c r="B1" s="97" t="s">
        <v>6</v>
      </c>
      <c r="C1" s="97"/>
      <c r="D1" s="97"/>
    </row>
    <row r="3" spans="2:4" ht="13.5" thickBot="1">
      <c r="B3" s="98" t="s">
        <v>12</v>
      </c>
      <c r="C3" s="98"/>
      <c r="D3" s="98"/>
    </row>
    <row r="4" spans="2:4" ht="13.5" thickBot="1">
      <c r="B4" s="90" t="s">
        <v>4</v>
      </c>
      <c r="C4" s="90" t="s">
        <v>0</v>
      </c>
      <c r="D4" s="91" t="s">
        <v>1</v>
      </c>
    </row>
    <row r="5" spans="2:4">
      <c r="B5" s="4" t="s">
        <v>5</v>
      </c>
      <c r="C5" s="50" t="str">
        <f>IF(Input!C5="","",Input!C5)</f>
        <v/>
      </c>
      <c r="D5" s="10" t="str">
        <f>IF(Input!D5="","",Input!D5)</f>
        <v/>
      </c>
    </row>
    <row r="6" spans="2:4">
      <c r="B6" s="13" t="s">
        <v>54</v>
      </c>
      <c r="C6" s="92" t="e">
        <f>'Custom Rules'!F37</f>
        <v>#NUM!</v>
      </c>
      <c r="D6" s="7"/>
    </row>
    <row r="7" spans="2:4">
      <c r="B7" s="13" t="s">
        <v>60</v>
      </c>
      <c r="C7" s="77">
        <f>'Custom Rules'!F27</f>
        <v>2</v>
      </c>
      <c r="D7" s="7"/>
    </row>
    <row r="8" spans="2:4">
      <c r="B8" s="13" t="s">
        <v>51</v>
      </c>
      <c r="C8" s="92">
        <f>'Custom Rules'!F28</f>
        <v>0</v>
      </c>
      <c r="D8" s="65" t="str">
        <f>'Custom Rules'!E28</f>
        <v>GPM</v>
      </c>
    </row>
    <row r="9" spans="2:4">
      <c r="B9" s="13" t="s">
        <v>52</v>
      </c>
      <c r="C9" s="93">
        <f>'Custom Rules'!F29</f>
        <v>225</v>
      </c>
      <c r="D9" s="65" t="str">
        <f>'Custom Rules'!E29</f>
        <v>FT</v>
      </c>
    </row>
    <row r="10" spans="2:4">
      <c r="B10" s="94" t="s">
        <v>53</v>
      </c>
      <c r="C10" s="77">
        <f>'Custom Rules'!F30</f>
        <v>3600</v>
      </c>
      <c r="D10" s="95" t="str">
        <f>'Custom Rules'!E30</f>
        <v>RPM</v>
      </c>
    </row>
    <row r="11" spans="2:4" ht="13.5" thickBot="1">
      <c r="B11" s="51" t="s">
        <v>69</v>
      </c>
      <c r="C11" s="78" t="str">
        <f>'Custom Rules'!C39:F39</f>
        <v>CM: Two working pumps, each at half total stream flow</v>
      </c>
      <c r="D11" s="66"/>
    </row>
    <row r="39" spans="2:4" ht="13.5" thickBot="1"/>
    <row r="40" spans="2:4" ht="13.5" thickBot="1">
      <c r="B40" s="11" t="s">
        <v>3</v>
      </c>
      <c r="C40" s="11" t="s">
        <v>0</v>
      </c>
      <c r="D40" s="12" t="s">
        <v>1</v>
      </c>
    </row>
    <row r="41" spans="2:4">
      <c r="B41" s="3" t="s">
        <v>2</v>
      </c>
      <c r="C41" s="6" t="str">
        <f>IF(Input!C41="","",Input!C41)</f>
        <v>__PREMAP_STREAM__ICPTOWE-ACCE</v>
      </c>
      <c r="D41" s="6" t="str">
        <f>IF(Input!D41="","",Input!D41)</f>
        <v/>
      </c>
    </row>
    <row r="42" spans="2:4">
      <c r="B42" s="3" t="s">
        <v>8</v>
      </c>
      <c r="C42" s="6" t="str">
        <f>IF(Input!C42="","",Input!C42)</f>
        <v>Input</v>
      </c>
      <c r="D42" s="6" t="str">
        <f>IF(Input!D42="","",Input!D42)</f>
        <v/>
      </c>
    </row>
    <row r="43" spans="2:4">
      <c r="B43" s="13" t="s">
        <v>7</v>
      </c>
      <c r="C43" s="6" t="str">
        <f>IF(Input!C43="","",Input!C43)</f>
        <v/>
      </c>
      <c r="D43" s="6" t="str">
        <f>IF(Input!D43="","",Input!D43)</f>
        <v/>
      </c>
    </row>
    <row r="68" spans="2:3" ht="13.5" thickBot="1"/>
    <row r="69" spans="2:3" ht="13.5" thickBot="1">
      <c r="B69" s="11" t="s">
        <v>10</v>
      </c>
      <c r="C69" s="11" t="s">
        <v>0</v>
      </c>
    </row>
    <row r="70" spans="2:3">
      <c r="B70" s="13" t="s">
        <v>7</v>
      </c>
      <c r="C70" s="6" t="str">
        <f>IF(Input!C35="","",Input!C35)</f>
        <v/>
      </c>
    </row>
    <row r="98" spans="2:3" ht="13.5" thickBot="1"/>
    <row r="99" spans="2:3" ht="13.5" thickBot="1">
      <c r="B99" s="11" t="s">
        <v>11</v>
      </c>
      <c r="C99" s="11" t="s">
        <v>0</v>
      </c>
    </row>
    <row r="100" spans="2:3">
      <c r="B100" s="8" t="s">
        <v>13</v>
      </c>
      <c r="C100" s="7"/>
    </row>
    <row r="101" spans="2:3">
      <c r="B101" s="13" t="s">
        <v>7</v>
      </c>
      <c r="C101" s="7"/>
    </row>
  </sheetData>
  <mergeCells count="2">
    <mergeCell ref="B1:D1"/>
    <mergeCell ref="B3:D3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Custom Rules</vt:lpstr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khannar</dc:creator>
  <cp:lastModifiedBy>Aspen Technology, INC.</cp:lastModifiedBy>
  <dcterms:created xsi:type="dcterms:W3CDTF">2001-11-27T16:36:30Z</dcterms:created>
  <dcterms:modified xsi:type="dcterms:W3CDTF">2013-04-30T17:39:12Z</dcterms:modified>
</cp:coreProperties>
</file>