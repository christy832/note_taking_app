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35" windowWidth="15480" windowHeight="11640" activeTab="1"/>
  </bookViews>
  <sheets>
    <sheet name="Input" sheetId="1" r:id="rId1"/>
    <sheet name="Custom Rules" sheetId="4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D9" i="3"/>
  <c r="D8"/>
  <c r="C10"/>
  <c r="D7"/>
  <c r="F25" i="4"/>
  <c r="C7" i="3" s="1"/>
  <c r="F27" i="4"/>
  <c r="C9" i="3" s="1"/>
  <c r="F26" i="4"/>
  <c r="C8" i="3" s="1"/>
  <c r="F28" i="4"/>
  <c r="F31" s="1"/>
  <c r="F24"/>
  <c r="D41" i="3"/>
  <c r="D42"/>
  <c r="D43"/>
  <c r="C43"/>
  <c r="C42"/>
  <c r="C41"/>
  <c r="D5"/>
  <c r="C5"/>
  <c r="C70"/>
  <c r="F29" i="4" l="1"/>
  <c r="F30" l="1"/>
  <c r="F32" s="1"/>
  <c r="F33"/>
  <c r="F34" l="1"/>
  <c r="C6" i="3" s="1"/>
</calcChain>
</file>

<file path=xl/sharedStrings.xml><?xml version="1.0" encoding="utf-8"?>
<sst xmlns="http://schemas.openxmlformats.org/spreadsheetml/2006/main" count="106" uniqueCount="71">
  <si>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</si>
  <si>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</si>
  <si>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</si>
  <si>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</si>
  <si>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</si>
  <si>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</si>
  <si>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</si>
  <si>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&lt;ICARUS SLOT NAME&gt;</t>
  </si>
  <si>
    <t>Stream Direction</t>
  </si>
  <si>
    <t>User Model Input Template</t>
  </si>
  <si>
    <t>Material and Manhour Adjustment Information</t>
  </si>
  <si>
    <t>Pipe Bulk Item Detail Information</t>
  </si>
  <si>
    <t>Project Component Type</t>
  </si>
  <si>
    <t>Line Name</t>
  </si>
  <si>
    <t>Reference:</t>
  </si>
  <si>
    <t>http://www.pump-flo.com/company/pumpcenter/primer.pdf</t>
  </si>
  <si>
    <t>Ns</t>
  </si>
  <si>
    <t>Pump specific speed</t>
  </si>
  <si>
    <t>=RPM * sqrt(gpm)/(head, ft^0.75)</t>
  </si>
  <si>
    <t>Pump Power, HP</t>
  </si>
  <si>
    <t>=GPM * FT HEAD/(3960 * efficiency)</t>
  </si>
  <si>
    <t>Driver selection</t>
  </si>
  <si>
    <t>table look-up, based on HP</t>
  </si>
  <si>
    <t>4 coefficients</t>
  </si>
  <si>
    <t xml:space="preserve">1/Z = </t>
  </si>
  <si>
    <t>SS * ln ln GPM  + II</t>
  </si>
  <si>
    <t>SS</t>
  </si>
  <si>
    <t>II</t>
  </si>
  <si>
    <t xml:space="preserve">W = </t>
  </si>
  <si>
    <t>C* exp(D*ln(GPM))</t>
  </si>
  <si>
    <t>C</t>
  </si>
  <si>
    <t>D</t>
  </si>
  <si>
    <t>ln(1-efficiency) = Z*ln(Ns) + W</t>
  </si>
  <si>
    <t>Efficiency =</t>
  </si>
  <si>
    <t>1- exp( Z * ln (Ns) + W)</t>
  </si>
  <si>
    <t>INPUT</t>
  </si>
  <si>
    <t>Flow Rate, each</t>
  </si>
  <si>
    <t>GPM</t>
  </si>
  <si>
    <t>Head</t>
  </si>
  <si>
    <t>FT</t>
  </si>
  <si>
    <t>Pump Speed</t>
  </si>
  <si>
    <t>RPM</t>
  </si>
  <si>
    <t>CALCS</t>
  </si>
  <si>
    <t>Pump Specific Speed, Ns</t>
  </si>
  <si>
    <t>-</t>
  </si>
  <si>
    <t>ln(GPM)</t>
  </si>
  <si>
    <t>ln(ln(GPM)</t>
  </si>
  <si>
    <t>ln(Ns)</t>
  </si>
  <si>
    <t>Z</t>
  </si>
  <si>
    <t>W</t>
  </si>
  <si>
    <t>RESULT</t>
  </si>
  <si>
    <t>Pump Efficiency</t>
  </si>
  <si>
    <t>%</t>
  </si>
  <si>
    <t>CpLiquidFlowrate</t>
  </si>
  <si>
    <t>CpFluidHead</t>
  </si>
  <si>
    <t>CpSpeed</t>
  </si>
  <si>
    <t>CpPumpEfficiencyPercent</t>
  </si>
  <si>
    <t>credit: Bob Steinberger</t>
  </si>
  <si>
    <r>
      <t xml:space="preserve">defaults to </t>
    </r>
    <r>
      <rPr>
        <b/>
        <i/>
        <sz val="8"/>
        <color indexed="10"/>
        <rFont val="Arial"/>
        <family val="2"/>
      </rPr>
      <t>3600 rpm</t>
    </r>
    <r>
      <rPr>
        <i/>
        <sz val="8"/>
        <color indexed="10"/>
        <rFont val="Arial"/>
        <family val="2"/>
      </rPr>
      <t xml:space="preserve"> for this example</t>
    </r>
  </si>
  <si>
    <t>(based on Generalized Curves for Efficiency vs. Pump Specific Speed and Volumetric Flow Rate)</t>
  </si>
  <si>
    <t>Correlation for Pump Efficiency</t>
  </si>
  <si>
    <t>(from Icarus)</t>
  </si>
  <si>
    <t>(steps 1-6)</t>
  </si>
  <si>
    <r>
      <t>defaults to</t>
    </r>
    <r>
      <rPr>
        <b/>
        <i/>
        <sz val="8"/>
        <color indexed="10"/>
        <rFont val="Arial"/>
        <family val="2"/>
      </rPr>
      <t xml:space="preserve"> 225 ft </t>
    </r>
    <r>
      <rPr>
        <i/>
        <sz val="8"/>
        <color indexed="10"/>
        <rFont val="Arial"/>
        <family val="2"/>
      </rPr>
      <t>head for this example</t>
    </r>
  </si>
  <si>
    <t>__PREMAP_STREAM__ICPTOWE-ACCE</t>
  </si>
  <si>
    <t>Input</t>
  </si>
  <si>
    <t>__PREMAP_STREAM__ICPTOWE-REFE</t>
  </si>
  <si>
    <t>Output</t>
  </si>
  <si>
    <t>CpRemarks2</t>
  </si>
  <si>
    <t>Comment</t>
  </si>
  <si>
    <t>CM: Pump Efficiency calculated based on 1-exp(Z*ln(Ns)+W)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</si>
</sst>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u/>
      <sz val="10"/>
      <color indexed="12"/>
      <name val="Arial"/>
    </font>
    <font>
      <sz val="8"/>
      <name val="Arial"/>
    </font>
    <font>
      <b/>
      <sz val="8"/>
      <name val="Arial"/>
    </font>
    <font>
      <b/>
      <sz val="8"/>
      <color indexed="16"/>
      <name val="Arial"/>
    </font>
    <font>
      <sz val="8"/>
      <color indexed="16"/>
      <name val="Arial"/>
    </font>
    <font>
      <i/>
      <sz val="8"/>
      <color indexed="10"/>
      <name val="Arial"/>
      <family val="2"/>
    </font>
    <font>
      <b/>
      <i/>
      <sz val="8"/>
      <color indexed="10"/>
      <name val="Arial"/>
      <family val="2"/>
    </font>
    <font>
      <u/>
      <sz val="8"/>
      <color indexed="12"/>
      <name val="Arial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12"/>
      <name val="Arial"/>
    </font>
    <font>
      <b/>
      <sz val="8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2" borderId="1" xfId="0" applyFill="1" applyBorder="1"/>
    <xf numFmtId="164" fontId="2" fillId="0" borderId="2" xfId="0" applyNumberFormat="1" applyFont="1" applyBorder="1"/>
    <xf numFmtId="0" fontId="3" fillId="3" borderId="3" xfId="0" applyFont="1" applyFill="1" applyBorder="1"/>
    <xf numFmtId="0" fontId="0" fillId="3" borderId="4" xfId="0" applyFill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3" fillId="3" borderId="1" xfId="0" applyFont="1" applyFill="1" applyBorder="1"/>
    <xf numFmtId="0" fontId="0" fillId="2" borderId="4" xfId="0" applyFill="1" applyBorder="1"/>
    <xf numFmtId="164" fontId="2" fillId="0" borderId="8" xfId="0" applyNumberFormat="1" applyFont="1" applyBorder="1"/>
    <xf numFmtId="0" fontId="2" fillId="4" borderId="9" xfId="0" applyFont="1" applyFill="1" applyBorder="1"/>
    <xf numFmtId="0" fontId="2" fillId="4" borderId="10" xfId="0" applyFont="1" applyFill="1" applyBorder="1"/>
    <xf numFmtId="0" fontId="0" fillId="5" borderId="1" xfId="0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6" fillId="0" borderId="0" xfId="0" applyFont="1"/>
    <xf numFmtId="0" fontId="6" fillId="0" borderId="0" xfId="0" quotePrefix="1" applyFont="1"/>
    <xf numFmtId="0" fontId="7" fillId="7" borderId="0" xfId="0" applyFont="1" applyFill="1"/>
    <xf numFmtId="0" fontId="6" fillId="7" borderId="0" xfId="0" applyFont="1" applyFill="1"/>
    <xf numFmtId="0" fontId="7" fillId="0" borderId="11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right"/>
    </xf>
    <xf numFmtId="0" fontId="7" fillId="6" borderId="13" xfId="0" applyFont="1" applyFill="1" applyBorder="1"/>
    <xf numFmtId="15" fontId="7" fillId="7" borderId="0" xfId="0" applyNumberFormat="1" applyFont="1" applyFill="1"/>
    <xf numFmtId="0" fontId="7" fillId="0" borderId="14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right"/>
    </xf>
    <xf numFmtId="0" fontId="7" fillId="6" borderId="16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Fill="1"/>
    <xf numFmtId="0" fontId="7" fillId="0" borderId="17" xfId="0" applyFont="1" applyBorder="1" applyAlignment="1">
      <alignment horizontal="center"/>
    </xf>
    <xf numFmtId="0" fontId="7" fillId="0" borderId="17" xfId="0" applyFont="1" applyFill="1" applyBorder="1"/>
    <xf numFmtId="0" fontId="7" fillId="0" borderId="17" xfId="0" applyFont="1" applyBorder="1"/>
    <xf numFmtId="0" fontId="7" fillId="0" borderId="12" xfId="0" applyFont="1" applyFill="1" applyBorder="1" applyAlignment="1">
      <alignment horizontal="right"/>
    </xf>
    <xf numFmtId="0" fontId="6" fillId="0" borderId="17" xfId="0" applyFont="1" applyBorder="1" applyAlignment="1">
      <alignment horizontal="center"/>
    </xf>
    <xf numFmtId="0" fontId="7" fillId="0" borderId="18" xfId="0" applyFont="1" applyBorder="1"/>
    <xf numFmtId="0" fontId="7" fillId="0" borderId="0" xfId="0" applyFont="1" applyBorder="1"/>
    <xf numFmtId="0" fontId="7" fillId="0" borderId="0" xfId="0" applyFont="1" applyFill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7" fillId="0" borderId="19" xfId="0" applyFont="1" applyBorder="1"/>
    <xf numFmtId="0" fontId="6" fillId="0" borderId="15" xfId="0" applyFont="1" applyBorder="1"/>
    <xf numFmtId="0" fontId="7" fillId="0" borderId="15" xfId="0" applyFont="1" applyFill="1" applyBorder="1" applyAlignment="1">
      <alignment horizontal="right"/>
    </xf>
    <xf numFmtId="0" fontId="6" fillId="0" borderId="19" xfId="0" applyFont="1" applyBorder="1" applyAlignment="1">
      <alignment horizontal="center"/>
    </xf>
    <xf numFmtId="0" fontId="6" fillId="0" borderId="12" xfId="0" applyFont="1" applyBorder="1"/>
    <xf numFmtId="0" fontId="6" fillId="0" borderId="17" xfId="0" quotePrefix="1" applyFont="1" applyBorder="1" applyAlignment="1">
      <alignment horizontal="center"/>
    </xf>
    <xf numFmtId="1" fontId="6" fillId="0" borderId="17" xfId="0" applyNumberFormat="1" applyFont="1" applyBorder="1"/>
    <xf numFmtId="0" fontId="6" fillId="0" borderId="0" xfId="0" applyFont="1" applyBorder="1"/>
    <xf numFmtId="0" fontId="6" fillId="0" borderId="18" xfId="0" quotePrefix="1" applyFont="1" applyBorder="1" applyAlignment="1">
      <alignment horizontal="center"/>
    </xf>
    <xf numFmtId="0" fontId="7" fillId="0" borderId="9" xfId="0" applyFont="1" applyBorder="1"/>
    <xf numFmtId="9" fontId="6" fillId="0" borderId="0" xfId="2" applyFont="1"/>
    <xf numFmtId="165" fontId="7" fillId="0" borderId="0" xfId="2" applyNumberFormat="1" applyFont="1"/>
    <xf numFmtId="0" fontId="0" fillId="2" borderId="20" xfId="0" applyFill="1" applyBorder="1"/>
    <xf numFmtId="164" fontId="2" fillId="0" borderId="21" xfId="0" applyNumberFormat="1" applyFont="1" applyBorder="1"/>
    <xf numFmtId="0" fontId="0" fillId="5" borderId="20" xfId="0" applyFill="1" applyBorder="1"/>
    <xf numFmtId="0" fontId="6" fillId="0" borderId="22" xfId="0" applyFont="1" applyBorder="1"/>
    <xf numFmtId="0" fontId="8" fillId="0" borderId="22" xfId="0" applyFont="1" applyFill="1" applyBorder="1" applyAlignment="1">
      <alignment horizontal="right"/>
    </xf>
    <xf numFmtId="0" fontId="9" fillId="0" borderId="9" xfId="0" quotePrefix="1" applyFont="1" applyFill="1" applyBorder="1" applyAlignment="1">
      <alignment horizontal="center"/>
    </xf>
    <xf numFmtId="0" fontId="6" fillId="0" borderId="12" xfId="0" quotePrefix="1" applyFont="1" applyBorder="1"/>
    <xf numFmtId="0" fontId="6" fillId="0" borderId="13" xfId="0" applyFont="1" applyBorder="1"/>
    <xf numFmtId="0" fontId="6" fillId="0" borderId="23" xfId="0" applyFont="1" applyBorder="1"/>
    <xf numFmtId="0" fontId="6" fillId="0" borderId="0" xfId="0" quotePrefix="1" applyFont="1" applyBorder="1"/>
    <xf numFmtId="0" fontId="6" fillId="0" borderId="24" xfId="0" applyFont="1" applyBorder="1"/>
    <xf numFmtId="0" fontId="6" fillId="0" borderId="14" xfId="0" applyFont="1" applyBorder="1"/>
    <xf numFmtId="0" fontId="6" fillId="0" borderId="16" xfId="0" applyFont="1" applyBorder="1"/>
    <xf numFmtId="0" fontId="10" fillId="0" borderId="0" xfId="0" applyFont="1"/>
    <xf numFmtId="0" fontId="2" fillId="0" borderId="0" xfId="0" applyFont="1"/>
    <xf numFmtId="0" fontId="12" fillId="0" borderId="0" xfId="1" applyFont="1" applyAlignment="1" applyProtection="1"/>
    <xf numFmtId="0" fontId="2" fillId="0" borderId="7" xfId="0" applyFont="1" applyBorder="1"/>
    <xf numFmtId="0" fontId="2" fillId="0" borderId="25" xfId="0" applyFont="1" applyBorder="1"/>
    <xf numFmtId="0" fontId="13" fillId="0" borderId="0" xfId="0" applyFont="1"/>
    <xf numFmtId="0" fontId="8" fillId="0" borderId="0" xfId="0" applyFont="1" applyFill="1" applyBorder="1" applyAlignment="1">
      <alignment horizontal="right"/>
    </xf>
    <xf numFmtId="0" fontId="13" fillId="0" borderId="18" xfId="0" applyFont="1" applyBorder="1"/>
    <xf numFmtId="0" fontId="14" fillId="0" borderId="18" xfId="0" applyFont="1" applyBorder="1"/>
    <xf numFmtId="0" fontId="15" fillId="0" borderId="18" xfId="0" applyFont="1" applyBorder="1" applyProtection="1">
      <protection locked="0"/>
    </xf>
    <xf numFmtId="0" fontId="15" fillId="0" borderId="19" xfId="0" applyFont="1" applyBorder="1" applyProtection="1">
      <protection locked="0"/>
    </xf>
    <xf numFmtId="0" fontId="2" fillId="0" borderId="26" xfId="0" applyFont="1" applyBorder="1"/>
    <xf numFmtId="166" fontId="8" fillId="0" borderId="9" xfId="2" applyNumberFormat="1" applyFont="1" applyFill="1" applyBorder="1"/>
    <xf numFmtId="164" fontId="6" fillId="0" borderId="18" xfId="0" applyNumberFormat="1" applyFont="1" applyFill="1" applyBorder="1"/>
    <xf numFmtId="2" fontId="15" fillId="0" borderId="17" xfId="0" applyNumberFormat="1" applyFont="1" applyBorder="1" applyProtection="1">
      <protection locked="0"/>
    </xf>
    <xf numFmtId="0" fontId="2" fillId="4" borderId="17" xfId="0" applyFont="1" applyFill="1" applyBorder="1"/>
    <xf numFmtId="0" fontId="2" fillId="4" borderId="13" xfId="0" applyFont="1" applyFill="1" applyBorder="1"/>
    <xf numFmtId="166" fontId="2" fillId="0" borderId="6" xfId="0" applyNumberFormat="1" applyFont="1" applyBorder="1"/>
    <xf numFmtId="2" fontId="2" fillId="0" borderId="6" xfId="0" applyNumberFormat="1" applyFont="1" applyBorder="1"/>
    <xf numFmtId="0" fontId="16" fillId="0" borderId="9" xfId="0" applyFont="1" applyBorder="1"/>
    <xf numFmtId="0" fontId="2" fillId="0" borderId="6" xfId="0" applyFont="1" applyBorder="1"/>
    <xf numFmtId="0" fontId="4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17" fillId="0" borderId="27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7" fillId="0" borderId="10" xfId="0" applyFont="1" applyBorder="1" applyAlignment="1">
      <alignment horizontal="lef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123825</xdr:rowOff>
    </xdr:from>
    <xdr:to>
      <xdr:col>4</xdr:col>
      <xdr:colOff>142875</xdr:colOff>
      <xdr:row>4</xdr:row>
      <xdr:rowOff>123825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781300" y="266700"/>
          <a:ext cx="419100" cy="428625"/>
          <a:chOff x="311" y="170"/>
          <a:chExt cx="251" cy="244"/>
        </a:xfrm>
      </xdr:grpSpPr>
      <xdr:sp macro="" textlink="">
        <xdr:nvSpPr>
          <xdr:cNvPr id="1026" name="AutoShape 2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27" name="Oval 3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ump-flo.com/company/pumpcenter/primer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01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41.140625" bestFit="1" customWidth="1"/>
    <col min="4" max="4" width="5.42578125" bestFit="1" customWidth="1"/>
    <col min="5" max="5" width="36.710937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86" t="s">
        <v>9</v>
      </c>
      <c r="C1" s="86"/>
      <c r="D1" s="86"/>
    </row>
    <row r="3" spans="2:4" ht="13.5" thickBot="1">
      <c r="B3" s="87" t="s">
        <v>12</v>
      </c>
      <c r="C3" s="87"/>
      <c r="D3" s="87"/>
    </row>
    <row r="4" spans="2:4" ht="13.5" thickBot="1">
      <c r="B4" s="14" t="s">
        <v>4</v>
      </c>
      <c r="C4" s="14" t="s">
        <v>0</v>
      </c>
      <c r="D4" s="15" t="s">
        <v>1</v>
      </c>
    </row>
    <row r="5" spans="2:4">
      <c r="B5" s="4" t="s">
        <v>5</v>
      </c>
      <c r="C5" s="6"/>
      <c r="D5" s="7"/>
    </row>
    <row r="6" spans="2:4">
      <c r="B6" s="1" t="s">
        <v>53</v>
      </c>
      <c r="C6" s="6"/>
      <c r="D6" s="7" t="s">
        <v>37</v>
      </c>
    </row>
    <row r="7" spans="2:4">
      <c r="B7" s="1" t="s">
        <v>54</v>
      </c>
      <c r="C7" s="85"/>
      <c r="D7" s="68" t="s">
        <v>39</v>
      </c>
    </row>
    <row r="8" spans="2:4" ht="13.5" thickBot="1">
      <c r="B8" s="52" t="s">
        <v>55</v>
      </c>
      <c r="C8" s="76"/>
      <c r="D8" s="69" t="s">
        <v>41</v>
      </c>
    </row>
    <row r="39" spans="2:5" ht="13.5" thickBot="1"/>
    <row r="40" spans="2:5" ht="13.5" thickBot="1">
      <c r="B40" s="14" t="s">
        <v>3</v>
      </c>
      <c r="C40" s="14" t="s">
        <v>0</v>
      </c>
      <c r="D40" s="15" t="s">
        <v>1</v>
      </c>
    </row>
    <row r="41" spans="2:5">
      <c r="B41" s="3" t="s">
        <v>2</v>
      </c>
      <c r="C41" s="2" t="s">
        <v>64</v>
      </c>
      <c r="D41" s="5"/>
      <c r="E41" t="s">
        <v>66</v>
      </c>
    </row>
    <row r="42" spans="2:5">
      <c r="B42" s="3" t="s">
        <v>8</v>
      </c>
      <c r="C42" s="2" t="s">
        <v>65</v>
      </c>
      <c r="D42" s="5"/>
      <c r="E42" t="s">
        <v>67</v>
      </c>
    </row>
    <row r="43" spans="2:5">
      <c r="B43" s="1" t="s">
        <v>7</v>
      </c>
      <c r="C43" s="6"/>
      <c r="D43" s="7"/>
    </row>
    <row r="68" spans="2:3" ht="13.5" thickBot="1"/>
    <row r="69" spans="2:3" ht="13.5" thickBot="1">
      <c r="B69" s="14" t="s">
        <v>10</v>
      </c>
      <c r="C69" s="14" t="s">
        <v>0</v>
      </c>
    </row>
    <row r="70" spans="2:3">
      <c r="B70" s="9" t="s">
        <v>7</v>
      </c>
      <c r="C70" s="10"/>
    </row>
    <row r="98" spans="2:3" ht="13.5" thickBot="1"/>
    <row r="99" spans="2:3" ht="13.5" thickBot="1">
      <c r="B99" s="14" t="s">
        <v>11</v>
      </c>
      <c r="C99" s="14" t="s">
        <v>0</v>
      </c>
    </row>
    <row r="100" spans="2:3">
      <c r="B100" s="8" t="s">
        <v>13</v>
      </c>
      <c r="C100" s="7"/>
    </row>
    <row r="101" spans="2:3">
      <c r="B101" s="1" t="s">
        <v>7</v>
      </c>
      <c r="C101" s="7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5:J40"/>
  <sheetViews>
    <sheetView showGridLines="0" tabSelected="1" workbookViewId="0"/>
  </sheetViews>
  <sheetFormatPr defaultRowHeight="11.25"/>
  <cols>
    <col min="1" max="1" width="6.85546875" style="16" customWidth="1"/>
    <col min="2" max="2" width="10.28515625" style="16" customWidth="1"/>
    <col min="3" max="3" width="19.5703125" style="16" customWidth="1"/>
    <col min="4" max="4" width="9.140625" style="16"/>
    <col min="5" max="5" width="11.85546875" style="16" customWidth="1"/>
    <col min="6" max="6" width="12.42578125" style="16" customWidth="1"/>
    <col min="7" max="7" width="11" style="16" bestFit="1" customWidth="1"/>
    <col min="8" max="16384" width="9.140625" style="16"/>
  </cols>
  <sheetData>
    <row r="5" spans="2:6" ht="12.75">
      <c r="B5" s="66" t="s">
        <v>60</v>
      </c>
    </row>
    <row r="6" spans="2:6">
      <c r="B6" s="16" t="s">
        <v>59</v>
      </c>
    </row>
    <row r="7" spans="2:6">
      <c r="B7" s="16" t="s">
        <v>14</v>
      </c>
      <c r="C7" s="67" t="s">
        <v>15</v>
      </c>
    </row>
    <row r="8" spans="2:6" ht="12" thickBot="1"/>
    <row r="9" spans="2:6">
      <c r="B9" s="20" t="s">
        <v>16</v>
      </c>
      <c r="C9" s="21" t="s">
        <v>17</v>
      </c>
      <c r="D9" s="58" t="s">
        <v>18</v>
      </c>
      <c r="E9" s="44"/>
      <c r="F9" s="59"/>
    </row>
    <row r="10" spans="2:6">
      <c r="B10" s="60"/>
      <c r="C10" s="37" t="s">
        <v>19</v>
      </c>
      <c r="D10" s="61" t="s">
        <v>20</v>
      </c>
      <c r="E10" s="47"/>
      <c r="F10" s="62"/>
    </row>
    <row r="11" spans="2:6" ht="12" thickBot="1">
      <c r="B11" s="63"/>
      <c r="C11" s="26" t="s">
        <v>21</v>
      </c>
      <c r="D11" s="41" t="s">
        <v>22</v>
      </c>
      <c r="E11" s="41"/>
      <c r="F11" s="64"/>
    </row>
    <row r="12" spans="2:6">
      <c r="F12" s="17"/>
    </row>
    <row r="13" spans="2:6" ht="12" thickBot="1">
      <c r="B13" s="18" t="s">
        <v>23</v>
      </c>
      <c r="C13" s="19"/>
      <c r="D13" s="19"/>
      <c r="E13" s="19"/>
      <c r="F13" s="19"/>
    </row>
    <row r="14" spans="2:6">
      <c r="B14" s="20" t="s">
        <v>24</v>
      </c>
      <c r="C14" s="21" t="s">
        <v>25</v>
      </c>
      <c r="D14" s="22" t="s">
        <v>26</v>
      </c>
      <c r="E14" s="23">
        <v>1.675685375078235</v>
      </c>
      <c r="F14" s="24"/>
    </row>
    <row r="15" spans="2:6" ht="12" thickBot="1">
      <c r="B15" s="25"/>
      <c r="C15" s="26"/>
      <c r="D15" s="27" t="s">
        <v>27</v>
      </c>
      <c r="E15" s="28">
        <v>-5.0360169573529738</v>
      </c>
      <c r="F15" s="24"/>
    </row>
    <row r="16" spans="2:6" ht="12" thickBot="1">
      <c r="D16" s="29"/>
      <c r="F16" s="19"/>
    </row>
    <row r="17" spans="2:10">
      <c r="B17" s="20" t="s">
        <v>28</v>
      </c>
      <c r="C17" s="21" t="s">
        <v>29</v>
      </c>
      <c r="D17" s="22" t="s">
        <v>30</v>
      </c>
      <c r="E17" s="23">
        <v>0.89439999999999997</v>
      </c>
      <c r="F17" s="24"/>
    </row>
    <row r="18" spans="2:10" ht="12" thickBot="1">
      <c r="B18" s="25"/>
      <c r="C18" s="26"/>
      <c r="D18" s="27" t="s">
        <v>31</v>
      </c>
      <c r="E18" s="28">
        <v>0.14680000000000001</v>
      </c>
      <c r="F18" s="24"/>
    </row>
    <row r="19" spans="2:10">
      <c r="F19" s="19"/>
    </row>
    <row r="20" spans="2:10">
      <c r="B20" s="70" t="s">
        <v>32</v>
      </c>
      <c r="F20" s="24"/>
    </row>
    <row r="21" spans="2:10">
      <c r="B21" s="71" t="s">
        <v>33</v>
      </c>
      <c r="C21" s="71" t="s">
        <v>34</v>
      </c>
      <c r="F21" s="24"/>
    </row>
    <row r="22" spans="2:10">
      <c r="B22" s="19"/>
      <c r="C22" s="19"/>
      <c r="D22" s="19"/>
      <c r="E22" s="19"/>
      <c r="F22" s="19"/>
    </row>
    <row r="23" spans="2:10" ht="12" thickBot="1">
      <c r="G23" s="30"/>
      <c r="I23" s="30"/>
      <c r="J23" s="30"/>
    </row>
    <row r="24" spans="2:10" ht="13.5" thickBot="1">
      <c r="E24" s="31" t="s">
        <v>1</v>
      </c>
      <c r="F24" s="32" t="str">
        <f>IF(Input!C5="","",Input!C5)</f>
        <v/>
      </c>
      <c r="G24"/>
      <c r="J24" s="30"/>
    </row>
    <row r="25" spans="2:10" ht="12.75">
      <c r="B25" s="33" t="s">
        <v>35</v>
      </c>
      <c r="C25" s="21"/>
      <c r="D25" s="34" t="s">
        <v>36</v>
      </c>
      <c r="E25" s="35" t="s">
        <v>37</v>
      </c>
      <c r="F25" s="79">
        <f>ROUND(Input!C6,2)</f>
        <v>0</v>
      </c>
      <c r="G25"/>
    </row>
    <row r="26" spans="2:10">
      <c r="B26" s="73" t="s">
        <v>61</v>
      </c>
      <c r="C26" s="37"/>
      <c r="D26" s="38" t="s">
        <v>38</v>
      </c>
      <c r="E26" s="39" t="s">
        <v>39</v>
      </c>
      <c r="F26" s="74">
        <f>IF(Input!C7="",225,Input!C7)</f>
        <v>225</v>
      </c>
      <c r="G26" s="65" t="s">
        <v>63</v>
      </c>
    </row>
    <row r="27" spans="2:10" ht="12" thickBot="1">
      <c r="B27" s="40"/>
      <c r="C27" s="41"/>
      <c r="D27" s="42" t="s">
        <v>40</v>
      </c>
      <c r="E27" s="43" t="s">
        <v>41</v>
      </c>
      <c r="F27" s="75">
        <f>IF(Input!C8="",3600,Input!C8)</f>
        <v>3600</v>
      </c>
      <c r="G27" s="65" t="s">
        <v>58</v>
      </c>
    </row>
    <row r="28" spans="2:10" ht="12.75">
      <c r="B28" s="36" t="s">
        <v>42</v>
      </c>
      <c r="C28" s="44">
        <v>1</v>
      </c>
      <c r="D28" s="34" t="s">
        <v>43</v>
      </c>
      <c r="E28" s="45" t="s">
        <v>44</v>
      </c>
      <c r="F28" s="46">
        <f>F27*SQRT(F25)/(F26^0.75)</f>
        <v>0</v>
      </c>
      <c r="G28"/>
    </row>
    <row r="29" spans="2:10" ht="12.75">
      <c r="B29" s="72" t="s">
        <v>62</v>
      </c>
      <c r="C29" s="47">
        <v>2</v>
      </c>
      <c r="D29" s="38" t="s">
        <v>45</v>
      </c>
      <c r="E29" s="48" t="s">
        <v>44</v>
      </c>
      <c r="F29" s="78" t="e">
        <f>LN(F25)</f>
        <v>#NUM!</v>
      </c>
      <c r="G29"/>
    </row>
    <row r="30" spans="2:10" ht="12.75">
      <c r="B30" s="36"/>
      <c r="C30" s="47">
        <v>3</v>
      </c>
      <c r="D30" s="38" t="s">
        <v>46</v>
      </c>
      <c r="E30" s="39"/>
      <c r="F30" s="78" t="e">
        <f>LN(F29)</f>
        <v>#NUM!</v>
      </c>
      <c r="G30"/>
    </row>
    <row r="31" spans="2:10" ht="12.75">
      <c r="B31" s="36"/>
      <c r="C31" s="47">
        <v>4</v>
      </c>
      <c r="D31" s="38" t="s">
        <v>47</v>
      </c>
      <c r="E31" s="48" t="s">
        <v>44</v>
      </c>
      <c r="F31" s="78" t="e">
        <f>LN(F28)</f>
        <v>#NUM!</v>
      </c>
      <c r="G31"/>
    </row>
    <row r="32" spans="2:10" ht="12.75">
      <c r="B32" s="36"/>
      <c r="C32" s="47">
        <v>5</v>
      </c>
      <c r="D32" s="38" t="s">
        <v>48</v>
      </c>
      <c r="E32" s="48" t="s">
        <v>44</v>
      </c>
      <c r="F32" s="78" t="e">
        <f>1/($E$14*F30+$E$15)</f>
        <v>#NUM!</v>
      </c>
      <c r="G32"/>
    </row>
    <row r="33" spans="2:9" ht="13.5" thickBot="1">
      <c r="B33" s="40"/>
      <c r="C33" s="47">
        <v>6</v>
      </c>
      <c r="D33" s="38" t="s">
        <v>49</v>
      </c>
      <c r="E33" s="48" t="s">
        <v>44</v>
      </c>
      <c r="F33" s="78" t="e">
        <f>$E$17*EXP($E$18*F29)</f>
        <v>#NUM!</v>
      </c>
      <c r="G33"/>
    </row>
    <row r="34" spans="2:9" ht="13.5" thickBot="1">
      <c r="B34" s="49" t="s">
        <v>50</v>
      </c>
      <c r="C34" s="55">
        <v>7</v>
      </c>
      <c r="D34" s="56" t="s">
        <v>51</v>
      </c>
      <c r="E34" s="57" t="s">
        <v>52</v>
      </c>
      <c r="F34" s="77" t="e">
        <f>ROUND((1-EXP(F32*F31+F33))*100,1)</f>
        <v>#NUM!</v>
      </c>
      <c r="G34"/>
    </row>
    <row r="35" spans="2:9" ht="13.5" thickBot="1">
      <c r="C35"/>
      <c r="D35"/>
      <c r="E35"/>
      <c r="F35"/>
      <c r="G35"/>
      <c r="H35"/>
    </row>
    <row r="36" spans="2:9" ht="13.5" thickBot="1">
      <c r="B36" s="84" t="s">
        <v>69</v>
      </c>
      <c r="C36" s="88" t="s">
        <v>70</v>
      </c>
      <c r="D36" s="89"/>
      <c r="E36" s="89"/>
      <c r="F36" s="90"/>
      <c r="G36"/>
      <c r="H36"/>
    </row>
    <row r="37" spans="2:9">
      <c r="E37" s="38"/>
      <c r="H37" s="50"/>
      <c r="I37" s="50"/>
    </row>
    <row r="39" spans="2:9">
      <c r="C39" s="16" t="s">
        <v>57</v>
      </c>
      <c r="E39" s="38"/>
    </row>
    <row r="40" spans="2:9">
      <c r="I40" s="51"/>
    </row>
  </sheetData>
  <mergeCells count="1">
    <mergeCell ref="C36:F36"/>
  </mergeCells>
  <phoneticPr fontId="6" type="noConversion"/>
  <hyperlinks>
    <hyperlink ref="C7" r:id="rId1"/>
  </hyperlinks>
  <pageMargins left="0.75" right="0.75" top="1" bottom="1" header="0.5" footer="0.5"/>
  <pageSetup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01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41.140625" bestFit="1" customWidth="1"/>
    <col min="4" max="4" width="5.4257812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86" t="s">
        <v>6</v>
      </c>
      <c r="C1" s="86"/>
      <c r="D1" s="86"/>
    </row>
    <row r="3" spans="2:4" ht="13.5" thickBot="1">
      <c r="B3" s="87" t="s">
        <v>12</v>
      </c>
      <c r="C3" s="87"/>
      <c r="D3" s="87"/>
    </row>
    <row r="4" spans="2:4" ht="13.5" thickBot="1">
      <c r="B4" s="80" t="s">
        <v>4</v>
      </c>
      <c r="C4" s="80" t="s">
        <v>0</v>
      </c>
      <c r="D4" s="81" t="s">
        <v>1</v>
      </c>
    </row>
    <row r="5" spans="2:4">
      <c r="B5" s="4" t="s">
        <v>5</v>
      </c>
      <c r="C5" s="53" t="str">
        <f>IF(Input!C5="","",Input!C5)</f>
        <v/>
      </c>
      <c r="D5" s="10" t="str">
        <f>IF(Input!D5="","",Input!D5)</f>
        <v/>
      </c>
    </row>
    <row r="6" spans="2:4">
      <c r="B6" s="13" t="s">
        <v>56</v>
      </c>
      <c r="C6" s="82" t="e">
        <f>'Custom Rules'!F34</f>
        <v>#NUM!</v>
      </c>
      <c r="D6" s="7"/>
    </row>
    <row r="7" spans="2:4">
      <c r="B7" s="13" t="s">
        <v>53</v>
      </c>
      <c r="C7" s="83">
        <f>'Custom Rules'!F25</f>
        <v>0</v>
      </c>
      <c r="D7" s="68" t="str">
        <f>'Custom Rules'!E25</f>
        <v>GPM</v>
      </c>
    </row>
    <row r="8" spans="2:4">
      <c r="B8" s="13" t="s">
        <v>54</v>
      </c>
      <c r="C8" s="85">
        <f>'Custom Rules'!F26</f>
        <v>225</v>
      </c>
      <c r="D8" s="68" t="str">
        <f>'Custom Rules'!E26</f>
        <v>FT</v>
      </c>
    </row>
    <row r="9" spans="2:4">
      <c r="B9" s="13" t="s">
        <v>55</v>
      </c>
      <c r="C9" s="85">
        <f>'Custom Rules'!F27</f>
        <v>3600</v>
      </c>
      <c r="D9" s="68" t="str">
        <f>'Custom Rules'!E27</f>
        <v>RPM</v>
      </c>
    </row>
    <row r="10" spans="2:4" ht="13.5" thickBot="1">
      <c r="B10" s="54" t="s">
        <v>68</v>
      </c>
      <c r="C10" s="76" t="str">
        <f>'Custom Rules'!C36:F36</f>
        <v>CM: Pump Efficiency calculated based on 1-exp(Z*ln(Ns)+W)</v>
      </c>
      <c r="D10" s="69"/>
    </row>
    <row r="39" spans="2:4" ht="13.5" thickBot="1"/>
    <row r="40" spans="2:4" ht="13.5" thickBot="1">
      <c r="B40" s="11" t="s">
        <v>3</v>
      </c>
      <c r="C40" s="11" t="s">
        <v>0</v>
      </c>
      <c r="D40" s="12" t="s">
        <v>1</v>
      </c>
    </row>
    <row r="41" spans="2:4">
      <c r="B41" s="3" t="s">
        <v>2</v>
      </c>
      <c r="C41" s="6" t="str">
        <f>IF(Input!C41="","",Input!C41)</f>
        <v>__PREMAP_STREAM__ICPTOWE-ACCE</v>
      </c>
      <c r="D41" s="6" t="str">
        <f>IF(Input!D41="","",Input!D41)</f>
        <v/>
      </c>
    </row>
    <row r="42" spans="2:4">
      <c r="B42" s="3" t="s">
        <v>8</v>
      </c>
      <c r="C42" s="6" t="str">
        <f>IF(Input!C42="","",Input!C42)</f>
        <v>Input</v>
      </c>
      <c r="D42" s="6" t="str">
        <f>IF(Input!D42="","",Input!D42)</f>
        <v/>
      </c>
    </row>
    <row r="43" spans="2:4">
      <c r="B43" s="13" t="s">
        <v>7</v>
      </c>
      <c r="C43" s="6" t="str">
        <f>IF(Input!C43="","",Input!C43)</f>
        <v/>
      </c>
      <c r="D43" s="6" t="str">
        <f>IF(Input!D43="","",Input!D43)</f>
        <v/>
      </c>
    </row>
    <row r="68" spans="2:3" ht="13.5" thickBot="1"/>
    <row r="69" spans="2:3" ht="13.5" thickBot="1">
      <c r="B69" s="11" t="s">
        <v>10</v>
      </c>
      <c r="C69" s="11" t="s">
        <v>0</v>
      </c>
    </row>
    <row r="70" spans="2:3">
      <c r="B70" s="13" t="s">
        <v>7</v>
      </c>
      <c r="C70" s="6" t="str">
        <f>IF(Input!C35="","",Input!C35)</f>
        <v/>
      </c>
    </row>
    <row r="98" spans="2:3" ht="13.5" thickBot="1"/>
    <row r="99" spans="2:3" ht="13.5" thickBot="1">
      <c r="B99" s="11" t="s">
        <v>11</v>
      </c>
      <c r="C99" s="11" t="s">
        <v>0</v>
      </c>
    </row>
    <row r="100" spans="2:3">
      <c r="B100" s="8" t="s">
        <v>13</v>
      </c>
      <c r="C100" s="7"/>
    </row>
    <row r="101" spans="2:3">
      <c r="B101" s="13" t="s">
        <v>7</v>
      </c>
      <c r="C101" s="7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Custom Rules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2013-04-30T17:40:15Z</dcterms:modified>
</cp:coreProperties>
</file>