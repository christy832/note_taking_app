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-28920" yWindow="-120" windowWidth="29040" windowHeight="15840"/>
  </bookViews>
  <sheets>
    <sheet name="Proj Cost Sumry by Contr" sheetId="3" r:id="flId1"/>
    <sheet name="&lt;#Config&gt;" sheetId="4" r:id="flId2"/>
  </sheets>
  <definedNames>
    <definedName name="_TBL_0_ICQ_WageRate_Contr_X">'Proj Cost Sumry by Contr'!$T$6:$W$6</definedName>
    <definedName name="_TBL_0_TAQ_TDC_AcctSumry_Contr_X">'Proj Cost Sumry by Contr'!$A$9:$H$9</definedName>
    <definedName name="_TBL_00_ICQ_ConstInd_Contr_X">'Proj Cost Sumry by Contr'!$J$11:$M$11</definedName>
    <definedName name="_TBL_00_ICQ_Contingency_Contr_X">'Proj Cost Sumry by Contr'!$O$26:$R$26</definedName>
    <definedName name="_TBL_00_ICQ_DirectWageBuild_Contr_X">'Proj Cost Sumry by Contr'!$T$12:$W$12</definedName>
    <definedName name="_TBL_00_ICQ_Engineering_Contr_X">'Proj Cost Sumry by Contr'!$O$16:$R$16</definedName>
    <definedName name="_TBL_00_ICQ_FldOfcInd_Contr_X">'Proj Cost Sumry by Contr'!$J$6:$M$6</definedName>
    <definedName name="_TBL_00_ICQ_Freight_Contr_X">'Proj Cost Sumry by Contr'!$O$6:$R$6</definedName>
    <definedName name="_TBL_00_ICQ_OtherProjCosts_Contr_X">'Proj Cost Sumry by Contr'!$O$21:$R$21</definedName>
    <definedName name="_TBL_00_ICQ_TaxesPermits_Contr_X">'Proj Cost Sumry by Contr'!$O$11:$R$11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<sst xmlns="http://schemas.openxmlformats.org/spreadsheetml/2006/main" count="202" uniqueCount="154">
  <si>
    <t>Project Title:</t>
  </si>
  <si>
    <t>Project Name:</t>
  </si>
  <si>
    <t>Scenario Name:</t>
  </si>
  <si>
    <t>Code</t>
  </si>
  <si>
    <t>Description</t>
  </si>
  <si>
    <t>Ind MH</t>
  </si>
  <si>
    <t>Ind Cost</t>
  </si>
  <si>
    <t>Indirect and HO Average Wage Rates</t>
  </si>
  <si>
    <t>Proj. Location:</t>
  </si>
  <si>
    <t>Job No:</t>
  </si>
  <si>
    <t>Prep. By:</t>
  </si>
  <si>
    <t>Estimate Date:</t>
  </si>
  <si>
    <t>Est. Class:</t>
  </si>
  <si>
    <t>Currency:</t>
  </si>
  <si>
    <t>Account</t>
  </si>
  <si>
    <t>MH</t>
  </si>
  <si>
    <t>Wage Rate</t>
  </si>
  <si>
    <t>Labor Cost</t>
  </si>
  <si>
    <t>Matl Cost</t>
  </si>
  <si>
    <t>Total Cost</t>
  </si>
  <si>
    <t>Percentages</t>
  </si>
  <si>
    <t>Field Office Staff</t>
  </si>
  <si>
    <t>Freight Total</t>
  </si>
  <si>
    <t>of TDC</t>
  </si>
  <si>
    <t>Construction Indirects Total</t>
  </si>
  <si>
    <t>Taxes and Permits Total</t>
  </si>
  <si>
    <t>(Excludes G&amp;A, Fee, Escalation)</t>
  </si>
  <si>
    <t>Total Direct Field Costs</t>
  </si>
  <si>
    <t>(TDMH)</t>
  </si>
  <si>
    <t>(TDL)</t>
  </si>
  <si>
    <t>(TDM)</t>
  </si>
  <si>
    <t>(TDC)</t>
  </si>
  <si>
    <t>Engineering &amp; HO Total</t>
  </si>
  <si>
    <t>Direct Average Wage Rate Build-up</t>
  </si>
  <si>
    <t>Direct Wage Rate (TDL / TDMH)</t>
  </si>
  <si>
    <t>Indirect Field Costs</t>
  </si>
  <si>
    <t>(IFMH)</t>
  </si>
  <si>
    <t>(IFC)</t>
  </si>
  <si>
    <t>Field Office Costs</t>
  </si>
  <si>
    <t>Other Project Costs Total</t>
  </si>
  <si>
    <t>All Inclusive Wage Rate</t>
  </si>
  <si>
    <t>Total Field Costs</t>
  </si>
  <si>
    <t>of TIC</t>
  </si>
  <si>
    <t>(Excludes Escalation)</t>
  </si>
  <si>
    <t>(TFMH)</t>
  </si>
  <si>
    <t>(TFC)</t>
  </si>
  <si>
    <t>Freight</t>
  </si>
  <si>
    <t>Contingency Total</t>
  </si>
  <si>
    <t>Taxes and Permits</t>
  </si>
  <si>
    <t>Engineering and HO</t>
  </si>
  <si>
    <t>Other Project Costs</t>
  </si>
  <si>
    <t>Contingency</t>
  </si>
  <si>
    <t>Total Non-Field Costs</t>
  </si>
  <si>
    <t>(HOMH)</t>
  </si>
  <si>
    <t>Project Total Costs</t>
  </si>
  <si>
    <t>(TIC)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</si>
  <si>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</si>
  <si>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</si>
  <si>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</si>
  <si>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</si>
  <si>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</si>
  <si>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</si>
  <si>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</si>
  <si>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</si>
  <si>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</si>
  <si>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</si>
  <si>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</si>
  <si>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</si>
  <si>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</si>
  <si>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</si>
  <si>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</si>
  <si>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</si>
  <si>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</si>
  <si>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</si>
  <si>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</si>
  <si>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</si>
  <si>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</si>
  <si>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&lt;#ScenarioName&gt;</t>
  </si>
  <si>
    <t>&lt;#ProjectLocation&gt;</t>
  </si>
  <si>
    <t>&lt;#JobNumber&gt;</t>
  </si>
  <si>
    <t>&lt;#EstimateDate&gt;</t>
  </si>
  <si>
    <t>&lt;#EstimateClass&gt;</t>
  </si>
  <si>
    <t>Account ASC</t>
  </si>
  <si>
    <t>Code ASC</t>
  </si>
  <si>
    <t>RightBorder(Border)</t>
  </si>
  <si>
    <t>LeftBorder(Border)</t>
  </si>
  <si>
    <t>Project Cost Summary by Contractor</t>
  </si>
  <si>
    <t>Indirect Field Cost Summary by Contractor</t>
  </si>
  <si>
    <t>Non - Field Cost Summary by Contractor</t>
  </si>
  <si>
    <t>Wage Rate Summary by Contractor</t>
  </si>
  <si>
    <t>&lt;#ReportHeader&gt;</t>
  </si>
  <si>
    <t>&lt;#ProductName&gt;</t>
  </si>
  <si>
    <t>TBL_00_ICQ_FldOfcInd_Contr</t>
  </si>
  <si>
    <t>ATLEAST(00_ICQ_FldOfcInd_Contr; 1;)</t>
  </si>
  <si>
    <t>TBL_00_ICQ_ConstInd_Contr</t>
  </si>
  <si>
    <t>ATLEAST(00_ICQ_ConstInd_Contr; 1;)</t>
  </si>
  <si>
    <t>TBL_00_ICQ_Freight_Contr</t>
  </si>
  <si>
    <t>ATLEAST(00_ICQ_Freight_Contr; 1;)</t>
  </si>
  <si>
    <t>TBL_00_ICQ_TaxesPermits_Contr</t>
  </si>
  <si>
    <t>ATLEAST(00_ICQ_TaxesPermits_Contr; 1;)</t>
  </si>
  <si>
    <t>TBL_00_ICQ_Engineering_Contr</t>
  </si>
  <si>
    <t>ATLEAST(00_ICQ_Engineering_Contr; 1;)</t>
  </si>
  <si>
    <t>TBL_00_ICQ_OtherProjCosts_Contr</t>
  </si>
  <si>
    <t>ATLEAST(00_ICQ_OtherProjCosts_Contr; 1;)</t>
  </si>
  <si>
    <t>TBL_00_ICQ_Contingency_Contr</t>
  </si>
  <si>
    <t>ATLEAST(00_ICQ_Contingency_Contr; 1;)</t>
  </si>
  <si>
    <t>TBL_00_ICQ_DirectWageBuild_Contr</t>
  </si>
  <si>
    <t>ATLEAST(00_ICQ_DirectWageBuild_Contr; 1;)</t>
  </si>
  <si>
    <t>TBL_0_ICQ_WageRate_Contr</t>
  </si>
  <si>
    <t>ATLEAST(0_ICQ_WageRate_Contr; 1;)</t>
  </si>
  <si>
    <t>&lt;#TBL_00_ICQ_FldOfcInd_Contr.Code;&gt;</t>
  </si>
  <si>
    <t>&lt;#TBL_00_ICQ_FldOfcInd_Contr.Description;&gt;</t>
  </si>
  <si>
    <t>&lt;#TBL_00_ICQ_FldOfcInd_Contr.Ind MH;&gt;</t>
  </si>
  <si>
    <t>&lt;#TBL_00_ICQ_FldOfcInd_Contr.Ind Cost;&gt;</t>
  </si>
  <si>
    <t>&lt;#TBL_00_ICQ_Freight_Contr.Code;&gt;</t>
  </si>
  <si>
    <t>&lt;#TBL_00_ICQ_Freight_Contr.Description;&gt;</t>
  </si>
  <si>
    <t>&lt;#TBL_00_ICQ_Freight_Contr.Ind MH;&gt;</t>
  </si>
  <si>
    <t>&lt;#TBL_00_ICQ_Freight_Contr.Ind Cost;&gt;</t>
  </si>
  <si>
    <t>&lt;#TBL_00_ICQ_ConstInd_Contr.Code;&gt;</t>
  </si>
  <si>
    <t>&lt;#TBL_00_ICQ_ConstInd_Contr.Description;&gt;</t>
  </si>
  <si>
    <t>&lt;#TBL_00_ICQ_ConstInd_Contr.Ind MH;&gt;</t>
  </si>
  <si>
    <t>&lt;#TBL_00_ICQ_ConstInd_Contr.Ind Cost;&gt;</t>
  </si>
  <si>
    <t>&lt;#TBL_00_ICQ_TaxesPermits_Contr.Code;&gt;</t>
  </si>
  <si>
    <t>&lt;#TBL_00_ICQ_TaxesPermits_Contr.Description;&gt;</t>
  </si>
  <si>
    <t>&lt;#TBL_00_ICQ_TaxesPermits_Contr.Ind MH;&gt;</t>
  </si>
  <si>
    <t>&lt;#TBL_00_ICQ_TaxesPermits_Contr.Ind Cost;&gt;</t>
  </si>
  <si>
    <t>&lt;#TBL_00_ICQ_DirectWageBuild_Contr.Blank;&gt;&lt;#format range(T12:T12;LeftBorder)&gt;</t>
  </si>
  <si>
    <t>&lt;#TBL_00_ICQ_DirectWageBuild_Contr.COADES;&gt;</t>
  </si>
  <si>
    <t>&lt;#TBL_00_ICQ_DirectWageBuild_Contr.Contribution;&gt;</t>
  </si>
  <si>
    <t>&lt;#TBL_00_ICQ_DirectWageBuild_Contr.xx;&gt;&lt;#format range(W12:W12;RightBorder)&gt;</t>
  </si>
  <si>
    <t>&lt;#TBL_00_ICQ_Engineering_Contr.Code;&gt;</t>
  </si>
  <si>
    <t>&lt;#TBL_00_ICQ_Engineering_Contr.Description;&gt;</t>
  </si>
  <si>
    <t>&lt;#TBL_00_ICQ_Engineering_Contr.Ind MH;&gt;</t>
  </si>
  <si>
    <t>&lt;#TBL_00_ICQ_Engineering_Contr.Ind Cost;&gt;</t>
  </si>
  <si>
    <t>&lt;#TBL_00_ICQ_OtherProjCosts_Contr.Code;&gt;</t>
  </si>
  <si>
    <t>&lt;#TBL_00_ICQ_OtherProjCosts_Contr.Description;&gt;</t>
  </si>
  <si>
    <t>&lt;#TBL_00_ICQ_OtherProjCosts_Contr.Ind MH;&gt;</t>
  </si>
  <si>
    <t>&lt;#TBL_00_ICQ_OtherProjCosts_Contr.Ind Cost;&gt;</t>
  </si>
  <si>
    <t>&lt;#TBL_00_ICQ_Contingency_Contr.Code;&gt;</t>
  </si>
  <si>
    <t>&lt;#TBL_00_ICQ_Contingency_Contr.Description;&gt;</t>
  </si>
  <si>
    <t>&lt;#TBL_00_ICQ_Contingency_Contr.Ind MH;&gt;</t>
  </si>
  <si>
    <t>&lt;#TBL_00_ICQ_Contingency_Contr.Ind Cost;&gt;</t>
  </si>
  <si>
    <t>&lt;#TBL_0_ICQ_WageRate_Contr.Blank;&gt;&lt;#format range(T6:T6;LeftBorder)&gt;</t>
  </si>
  <si>
    <t>&lt;#TBL_0_ICQ_WageRate_Contr.TITLE;&gt;</t>
  </si>
  <si>
    <t>&lt;#TBL_0_ICQ_WageRate_Contr.MH Rate;&gt;</t>
  </si>
  <si>
    <t>&lt;#if(&lt;#TBL_0_ICQ_WageRate_Contr.MH Rate&gt; = 0; ; per MH)&gt;&lt;#format range(W6:W6;RightBorder)&gt;</t>
  </si>
  <si>
    <t>&lt;#TBL_0_TAQ_TDC_AcctSumry_Contr.Account;&gt;</t>
  </si>
  <si>
    <t>&lt;#TBL_0_TAQ_TDC_AcctSumry_Contr.MH;&gt;</t>
  </si>
  <si>
    <t>&lt;#TBL_0_TAQ_TDC_AcctSumry_Contr.Wage Rate;&gt;</t>
  </si>
  <si>
    <t>&lt;#TBL_0_TAQ_TDC_AcctSumry_Contr.Labor Cost;&gt;</t>
  </si>
  <si>
    <t>&lt;#TBL_0_TAQ_TDC_AcctSumry_Contr.Matl Cost;&gt;</t>
  </si>
  <si>
    <t>&lt;#TBL_0_TAQ_TDC_AcctSumry_Contr.Total Cost;&gt;</t>
  </si>
  <si>
    <t>TBL_0_TAQ_TDC_AcctSumry_Contr</t>
  </si>
  <si>
    <t>ATLEAST(0_TAQ_TDC_AcctSumry_Contr; 1;)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</si>
</sst>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0.0%"/>
  </numFmts>
  <fonts count="22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2"/>
      <color auto="1"/>
      <name val="Arial"/>
      <family val="2"/>
    </font>
    <font>
      <b/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indexed="8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sz val="11"/>
      <color auto="1"/>
      <name val="Calibri"/>
      <family val="2"/>
      <scheme val="minor"/>
    </font>
    <font>
      <sz val="9"/>
      <color auto="1"/>
      <name val="DengXian"/>
      <family val="3"/>
      <charset val="134"/>
    </font>
    <font>
      <sz val="7"/>
      <color rgb="FF000000"/>
      <name val="Arial"/>
      <charset val="1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4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 style="thin">
        <color indexed="22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indexed="8"/>
      </top>
      <bottom style="thin">
        <color indexed="22"/>
      </bottom>
      <diagonal/>
    </border>
  </borders>
  <cellStyleXfs count="9">
    <xf fontId="0" numFmtId="0" fillId="0" borderId="0"/>
    <xf applyFont="0" applyFill="0" applyBorder="0" applyAlignment="0" applyProtection="0" fontId="4" numFmtId="43" fillId="0" borderId="0"/>
    <xf applyFont="0" applyFill="0" applyBorder="0" applyAlignment="0" applyProtection="0" fontId="4" numFmtId="9" fillId="0" borderId="0"/>
    <xf applyNumberFormat="0" applyBorder="0" applyAlignment="0" applyProtection="0" fontId="3" numFmtId="0" fillId="3" borderId="0"/>
    <xf fontId="13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  <xf fontId="4" numFmtId="0" fillId="0" borderId="0"/>
  </cellStyleXfs>
  <cellXfs count="211">
    <xf fontId="0" numFmtId="0" fillId="0" borderId="0" xfId="0"/>
    <xf applyNumberFormat="1" applyFont="1" applyAlignment="1" fontId="0" numFmtId="3" fillId="0" borderId="0" xfId="0"/>
    <xf applyNumberFormat="1" applyFont="1" applyFill="1" applyAlignment="1" applyProtection="1" fontId="0" numFmtId="3" fillId="0" borderId="0" xfId="0">
      <alignment horizontal="right"/>
    </xf>
    <xf applyNumberFormat="1" applyFont="1" applyFill="1" applyAlignment="1" applyProtection="1" fontId="0" numFmtId="3" fillId="0" borderId="0" xfId="0"/>
    <xf applyNumberFormat="1" applyAlignment="1" fontId="0" numFmtId="3" fillId="0" borderId="0" xfId="0"/>
    <xf applyNumberFormat="1" applyFont="1" applyBorder="1" applyAlignment="1" fontId="0" numFmtId="3" fillId="0" borderId="0" xfId="0"/>
    <xf applyNumberFormat="1" applyFont="1" applyFill="1" applyBorder="1" applyAlignment="1" applyProtection="1" fontId="0" numFmtId="3" fillId="0" borderId="0" xfId="0">
      <alignment horizontal="right"/>
    </xf>
    <xf applyNumberFormat="1" applyFont="1" applyFill="1" applyBorder="1" applyAlignment="1" applyProtection="1" fontId="0" numFmtId="3" fillId="0" borderId="0" xfId="0"/>
    <xf applyNumberFormat="1" applyBorder="1" applyAlignment="1" fontId="0" numFmtId="3" fillId="0" borderId="0" xfId="0"/>
    <xf applyNumberFormat="1" applyFont="1" applyBorder="1" applyAlignment="1" fontId="6" numFmtId="3" fillId="0" borderId="1" xfId="0">
      <alignment horizontal="right"/>
    </xf>
    <xf applyNumberFormat="1" applyFont="1" applyBorder="1" applyAlignment="1" fontId="7" numFmtId="3" fillId="0" borderId="2" xfId="1">
      <alignment horizontal="left"/>
    </xf>
    <xf applyNumberFormat="1" applyFont="1" applyBorder="1" applyAlignment="1" fontId="8" numFmtId="4" fillId="0" borderId="2" xfId="1"/>
    <xf applyNumberFormat="1" applyFont="1" applyBorder="1" applyAlignment="1" fontId="9" numFmtId="3" fillId="0" borderId="2" xfId="1"/>
    <xf applyNumberFormat="1" applyFont="1" applyAlignment="1" fontId="4" numFmtId="3" fillId="0" borderId="0" xfId="1"/>
    <xf applyNumberFormat="1" applyFont="1" applyBorder="1" applyAlignment="1" fontId="7" numFmtId="164" fillId="0" borderId="2" xfId="2"/>
    <xf applyNumberFormat="1" applyFont="1" applyBorder="1" applyAlignment="1" applyProtection="1" fontId="10" numFmtId="3" fillId="0" borderId="0" xfId="0">
      <alignment horizontal="center"/>
      <protection locked="0"/>
    </xf>
    <xf applyNumberFormat="1" applyFont="1" applyBorder="1" applyAlignment="1" applyProtection="1" fontId="11" numFmtId="3" fillId="0" borderId="0" xfId="0">
      <protection locked="0"/>
    </xf>
    <xf applyNumberFormat="1" applyFont="1" applyBorder="1" applyAlignment="1" fontId="6" numFmtId="3" fillId="0" borderId="4" xfId="1">
      <alignment horizontal="right"/>
    </xf>
    <xf applyNumberFormat="1" applyFont="1" applyBorder="1" applyAlignment="1" fontId="7" numFmtId="3" fillId="0" borderId="0" xfId="1">
      <alignment horizontal="left"/>
    </xf>
    <xf applyNumberFormat="1" applyFont="1" applyBorder="1" applyAlignment="1" fontId="8" numFmtId="4" fillId="0" borderId="0" xfId="1"/>
    <xf applyNumberFormat="1" applyFont="1" applyBorder="1" applyAlignment="1" fontId="9" numFmtId="3" fillId="0" borderId="0" xfId="1"/>
    <xf applyNumberFormat="1" applyFont="1" applyBorder="1" applyAlignment="1" fontId="6" numFmtId="3" fillId="0" borderId="0" xfId="0">
      <alignment horizontal="right"/>
    </xf>
    <xf applyNumberFormat="1" applyFont="1" applyBorder="1" applyAlignment="1" fontId="7" numFmtId="164" fillId="0" borderId="0" xfId="2"/>
    <xf applyNumberFormat="1" applyFont="1" applyBorder="1" applyAlignment="1" fontId="12" numFmtId="3" fillId="0" borderId="0" xfId="0"/>
    <xf applyNumberFormat="1" applyFont="1" applyFill="1" applyBorder="1" applyAlignment="1" applyProtection="1" fontId="12" numFmtId="3" fillId="0" borderId="0" xfId="0">
      <alignment horizontal="right"/>
    </xf>
    <xf applyNumberFormat="1" applyFont="1" applyFill="1" applyBorder="1" applyAlignment="1" applyProtection="1" fontId="4" numFmtId="3" fillId="5" borderId="10" xfId="0">
      <alignment horizontal="center"/>
      <protection locked="0"/>
    </xf>
    <xf applyNumberFormat="1" applyFont="1" applyFill="1" applyBorder="1" applyAlignment="1" applyProtection="1" fontId="4" numFmtId="3" fillId="5" borderId="11" xfId="0">
      <alignment horizontal="center"/>
      <protection locked="0"/>
    </xf>
    <xf applyNumberFormat="1" applyFont="1" applyBorder="1" applyAlignment="1" fontId="6" numFmtId="3" fillId="0" borderId="4" xfId="0">
      <alignment horizontal="right"/>
    </xf>
    <xf applyNumberFormat="1" applyFont="1" applyBorder="1" applyAlignment="1" fontId="6" numFmtId="3" fillId="0" borderId="0" xfId="1">
      <alignment horizontal="right"/>
    </xf>
    <xf applyNumberFormat="1" applyFont="1" applyBorder="1" applyAlignment="1" fontId="13" numFmtId="3" fillId="0" borderId="0" xfId="0"/>
    <xf applyNumberFormat="1" applyFont="1" applyFill="1" applyBorder="1" applyAlignment="1" applyProtection="1" fontId="13" numFmtId="3" fillId="0" borderId="0" xfId="0">
      <alignment horizontal="right"/>
    </xf>
    <xf applyNumberFormat="1" applyFont="1" applyBorder="1" applyAlignment="1" fontId="7" numFmtId="3" fillId="0" borderId="7" xfId="1">
      <alignment horizontal="left"/>
    </xf>
    <xf applyNumberFormat="1" applyFont="1" applyFill="1" applyBorder="1" applyAlignment="1" fontId="13" numFmtId="3" fillId="0" borderId="18" xfId="4"/>
    <xf applyNumberFormat="1" applyFont="1" applyFill="1" applyBorder="1" applyAlignment="1" fontId="13" numFmtId="3" fillId="0" borderId="19" xfId="4">
      <alignment horizontal="left"/>
    </xf>
    <xf applyNumberFormat="1" applyFont="1" applyFill="1" applyBorder="1" applyAlignment="1" fontId="13" numFmtId="3" fillId="0" borderId="19" xfId="4"/>
    <xf applyNumberFormat="1" applyFont="1" applyFill="1" applyBorder="1" applyAlignment="1" fontId="13" numFmtId="3" fillId="0" borderId="20" xfId="4"/>
    <xf applyNumberFormat="1" applyFont="1" applyFill="1" applyBorder="1" applyAlignment="1" applyProtection="1" fontId="13" numFmtId="3" fillId="0" borderId="0" xfId="0"/>
    <xf applyNumberFormat="1" applyFont="1" applyFill="1" applyBorder="1" applyAlignment="1" applyProtection="1" fontId="0" numFmtId="3" fillId="0" borderId="9" xfId="0"/>
    <xf applyNumberFormat="1" applyFont="1" applyFill="1" applyBorder="1" applyAlignment="1" applyProtection="1" fontId="12" numFmtId="3" fillId="0" borderId="10" xfId="0">
      <alignment horizontal="right"/>
    </xf>
    <xf applyNumberFormat="1" applyFont="1" applyFill="1" applyBorder="1" applyAlignment="1" applyProtection="1" fontId="12" numFmtId="3" fillId="0" borderId="10" xfId="0"/>
    <xf applyNumberFormat="1" applyFont="1" applyFill="1" applyBorder="1" applyAlignment="1" applyProtection="1" fontId="13" numFmtId="3" fillId="0" borderId="0" xfId="2">
      <alignment horizontal="center"/>
    </xf>
    <xf applyNumberFormat="1" applyFont="1" applyFill="1" applyBorder="1" applyAlignment="1" fontId="13" numFmtId="3" fillId="0" borderId="14" xfId="4">
      <alignment horizontal="left"/>
    </xf>
    <xf applyNumberFormat="1" applyFont="1" applyFill="1" applyBorder="1" applyAlignment="1" fontId="13" numFmtId="3" fillId="0" borderId="15" xfId="1"/>
    <xf applyNumberFormat="1" applyFont="1" applyFill="1" applyBorder="1" applyAlignment="1" fontId="13" numFmtId="4" fillId="0" borderId="15" xfId="1"/>
    <xf applyNumberFormat="1" applyFont="1" applyFill="1" applyBorder="1" applyAlignment="1" applyProtection="1" fontId="14" numFmtId="164" fillId="0" borderId="23" xfId="2"/>
    <xf applyNumberFormat="1" applyFont="1" applyFill="1" applyBorder="1" applyAlignment="1" applyProtection="1" fontId="4" numFmtId="3" fillId="0" borderId="4" xfId="0"/>
    <xf applyNumberFormat="1" applyFont="1" applyFill="1" applyBorder="1" applyAlignment="1" applyProtection="1" fontId="4" numFmtId="3" fillId="0" borderId="0" xfId="0"/>
    <xf applyNumberFormat="1" applyFont="1" applyFill="1" applyBorder="1" applyAlignment="1" applyProtection="1" fontId="4" numFmtId="3" fillId="0" borderId="5" xfId="0"/>
    <xf applyNumberFormat="1" applyFont="1" applyFill="1" applyBorder="1" applyAlignment="1" applyProtection="1" fontId="13" numFmtId="3" fillId="0" borderId="0" xfId="2"/>
    <xf applyNumberFormat="1" applyFont="1" applyFill="1" applyBorder="1" applyAlignment="1" applyProtection="1" fontId="4" numFmtId="3" fillId="0" borderId="0" xfId="1"/>
    <xf applyNumberFormat="1" applyFont="1" applyFill="1" applyBorder="1" applyAlignment="1" applyProtection="1" fontId="14" numFmtId="164" fillId="0" borderId="24" xfId="2"/>
    <xf applyNumberFormat="1" applyFont="1" applyFill="1" applyBorder="1" applyAlignment="1" applyProtection="1" fontId="15" numFmtId="3" fillId="0" borderId="9" xfId="0"/>
    <xf applyNumberFormat="1" applyFont="1" applyFill="1" applyBorder="1" applyAlignment="1" applyProtection="1" fontId="15" numFmtId="3" fillId="0" borderId="10" xfId="0">
      <alignment horizontal="right"/>
    </xf>
    <xf applyNumberFormat="1" applyFont="1" applyFill="1" applyBorder="1" applyAlignment="1" applyProtection="1" fontId="12" numFmtId="3" fillId="0" borderId="0" xfId="0">
      <alignment horizontal="center"/>
    </xf>
    <xf applyNumberFormat="1" applyFont="1" applyFill="1" applyBorder="1" applyAlignment="1" applyProtection="1" fontId="4" numFmtId="3" fillId="0" borderId="0" xfId="0">
      <alignment horizontal="centerContinuous"/>
    </xf>
    <xf applyNumberFormat="1" applyFont="1" applyBorder="1" applyAlignment="1" applyProtection="1" fontId="0" numFmtId="3" fillId="0" borderId="6" xfId="0">
      <protection locked="0"/>
    </xf>
    <xf applyNumberFormat="1" applyFont="1" applyBorder="1" applyAlignment="1" applyProtection="1" fontId="0" numFmtId="3" fillId="0" borderId="7" xfId="0">
      <protection locked="0"/>
    </xf>
    <xf applyNumberFormat="1" applyFont="1" applyBorder="1" applyAlignment="1" applyProtection="1" fontId="0" numFmtId="4" fillId="0" borderId="7" xfId="0">
      <protection locked="0"/>
    </xf>
    <xf applyNumberFormat="1" applyFont="1" applyBorder="1" applyAlignment="1" applyProtection="1" fontId="14" numFmtId="3" fillId="0" borderId="8" xfId="0">
      <alignment horizontal="right"/>
      <protection locked="0"/>
    </xf>
    <xf applyNumberFormat="1" applyFont="1" applyFill="1" applyBorder="1" applyAlignment="1" applyProtection="1" fontId="12" numFmtId="3" fillId="0" borderId="26" xfId="0">
      <alignment horizontal="right"/>
    </xf>
    <xf applyNumberFormat="1" applyFont="1" applyFill="1" applyBorder="1" applyAlignment="1" applyProtection="1" fontId="12" numFmtId="3" fillId="0" borderId="27" xfId="1"/>
    <xf applyNumberFormat="1" applyFont="1" applyFill="1" applyBorder="1" applyAlignment="1" applyProtection="1" fontId="12" numFmtId="4" fillId="0" borderId="27" xfId="1"/>
    <xf applyNumberFormat="1" applyFont="1" applyFill="1" applyBorder="1" applyAlignment="1" applyProtection="1" fontId="14" numFmtId="164" fillId="0" borderId="21" xfId="2"/>
    <xf applyNumberFormat="1" applyFont="1" applyFill="1" applyBorder="1" applyAlignment="1" applyProtection="1" fontId="0" numFmtId="3" fillId="0" borderId="4" xfId="0"/>
    <xf applyNumberFormat="1" applyFont="1" applyFill="1" applyBorder="1" applyAlignment="1" applyProtection="1" fontId="16" numFmtId="3" fillId="0" borderId="0" xfId="1">
      <alignment horizontal="right"/>
    </xf>
    <xf applyNumberFormat="1" applyFont="1" applyFill="1" applyBorder="1" applyAlignment="1" applyProtection="1" fontId="16" numFmtId="4" fillId="0" borderId="0" xfId="1"/>
    <xf applyNumberFormat="1" applyFont="1" applyFill="1" applyBorder="1" applyAlignment="1" applyProtection="1" fontId="17" numFmtId="164" fillId="0" borderId="0" xfId="2"/>
    <xf applyNumberFormat="1" applyFont="1" applyFill="1" applyBorder="1" applyAlignment="1" applyProtection="1" fontId="12" numFmtId="3" fillId="0" borderId="9" xfId="0"/>
    <xf applyNumberFormat="1" applyFont="1" applyFill="1" applyBorder="1" applyAlignment="1" applyProtection="1" fontId="4" numFmtId="4" fillId="0" borderId="0" xfId="1"/>
    <xf applyNumberFormat="1" applyFont="1" applyFill="1" applyBorder="1" applyAlignment="1" applyProtection="1" fontId="4" numFmtId="4" fillId="0" borderId="28" xfId="1"/>
    <xf applyNumberFormat="1" applyFont="1" applyFill="1" applyBorder="1" applyAlignment="1" applyProtection="1" fontId="12" numFmtId="3" fillId="0" borderId="10" xfId="1"/>
    <xf applyNumberFormat="1" applyFont="1" applyFill="1" applyBorder="1" applyAlignment="1" applyProtection="1" fontId="14" numFmtId="164" fillId="0" borderId="28" xfId="2"/>
    <xf applyNumberFormat="1" applyFont="1" applyFill="1" applyBorder="1" applyAlignment="1" applyProtection="1" fontId="14" numFmtId="164" fillId="0" borderId="0" xfId="2"/>
    <xf applyNumberFormat="1" applyFont="1" applyFill="1" applyBorder="1" applyAlignment="1" applyProtection="1" fontId="12" numFmtId="3" fillId="0" borderId="0" xfId="2"/>
    <xf applyNumberFormat="1" applyFont="1" applyFill="1" applyBorder="1" applyAlignment="1" applyProtection="1" fontId="0" numFmtId="3" fillId="0" borderId="4" xfId="0">
      <alignment horizontal="center"/>
    </xf>
    <xf applyNumberFormat="1" applyFont="1" applyFill="1" applyBorder="1" applyAlignment="1" applyProtection="1" fontId="4" numFmtId="3" fillId="0" borderId="0" xfId="2"/>
    <xf applyNumberFormat="1" applyFont="1" applyBorder="1" applyAlignment="1" fontId="0" numFmtId="3" fillId="0" borderId="4" xfId="0"/>
    <xf applyNumberFormat="1" applyFont="1" applyBorder="1" applyAlignment="1" fontId="4" numFmtId="3" fillId="0" borderId="0" xfId="1"/>
    <xf applyNumberFormat="1" applyFont="1" applyBorder="1" applyAlignment="1" fontId="4" numFmtId="4" fillId="0" borderId="0" xfId="1"/>
    <xf applyNumberFormat="1" applyFont="1" applyBorder="1" applyAlignment="1" fontId="17" numFmtId="164" fillId="0" borderId="0" xfId="2"/>
    <xf applyNumberFormat="1" applyFont="1" applyFill="1" applyBorder="1" applyAlignment="1" applyProtection="1" fontId="12" numFmtId="4" fillId="0" borderId="28" xfId="1"/>
    <xf applyNumberFormat="1" applyFont="1" applyFill="1" applyBorder="1" applyAlignment="1" applyProtection="1" fontId="4" numFmtId="3" fillId="0" borderId="10" xfId="1"/>
    <xf applyNumberFormat="1" applyFont="1" applyAlignment="1" applyProtection="1" fontId="0" numFmtId="3" fillId="0" borderId="0" xfId="0">
      <protection locked="0"/>
    </xf>
    <xf applyNumberFormat="1" applyFont="1" applyAlignment="1" applyProtection="1" fontId="0" numFmtId="4" fillId="0" borderId="0" xfId="0">
      <protection locked="0"/>
    </xf>
    <xf applyNumberFormat="1" applyFont="1" applyFill="1" applyBorder="1" applyAlignment="1" applyProtection="1" fontId="0" numFmtId="3" fillId="0" borderId="12" xfId="0"/>
    <xf applyNumberFormat="1" applyFont="1" applyFill="1" applyBorder="1" applyAlignment="1" applyProtection="1" fontId="4" numFmtId="3" fillId="0" borderId="13" xfId="1"/>
    <xf applyNumberFormat="1" applyFont="1" applyFill="1" applyBorder="1" applyAlignment="1" applyProtection="1" fontId="4" numFmtId="4" fillId="0" borderId="29" xfId="1"/>
    <xf applyNumberFormat="1" applyFont="1" applyFill="1" applyBorder="1" applyAlignment="1" applyProtection="1" fontId="14" numFmtId="164" fillId="0" borderId="29" xfId="2"/>
    <xf applyNumberFormat="1" applyFont="1" applyFill="1" applyBorder="1" applyAlignment="1" applyProtection="1" fontId="4" numFmtId="3" fillId="0" borderId="9" xfId="0"/>
    <xf applyNumberFormat="1" applyFont="1" applyFill="1" applyBorder="1" applyAlignment="1" applyProtection="1" fontId="0" numFmtId="3" fillId="0" borderId="14" xfId="0"/>
    <xf applyNumberFormat="1" applyFont="1" applyFill="1" applyBorder="1" applyAlignment="1" applyProtection="1" fontId="4" numFmtId="3" fillId="0" borderId="15" xfId="1"/>
    <xf applyNumberFormat="1" applyFont="1" applyFill="1" applyBorder="1" applyAlignment="1" applyProtection="1" fontId="4" numFmtId="4" fillId="0" borderId="33" xfId="1"/>
    <xf applyNumberFormat="1" applyFont="1" applyFill="1" applyBorder="1" applyAlignment="1" applyProtection="1" fontId="14" numFmtId="164" fillId="0" borderId="33" xfId="2"/>
    <xf applyNumberFormat="1" applyFont="1" applyFill="1" applyAlignment="1" applyProtection="1" fontId="4" numFmtId="3" fillId="0" borderId="0" xfId="1"/>
    <xf applyNumberFormat="1" applyFont="1" applyBorder="1" applyAlignment="1" applyProtection="1" fontId="0" numFmtId="3" fillId="0" borderId="0" xfId="0">
      <protection locked="0"/>
    </xf>
    <xf applyNumberFormat="1" applyFont="1" applyAlignment="1" fontId="13" numFmtId="3" fillId="0" borderId="0" xfId="0"/>
    <xf applyNumberFormat="1" applyFont="1" applyFill="1" applyBorder="1" applyAlignment="1" applyProtection="1" fontId="12" numFmtId="3" fillId="0" borderId="0" xfId="0"/>
    <xf applyNumberFormat="1" applyFont="1" applyFill="1" applyBorder="1" applyAlignment="1" applyProtection="1" fontId="0" numFmtId="3" fillId="0" borderId="18" xfId="0"/>
    <xf applyNumberFormat="1" applyFont="1" applyFill="1" applyBorder="1" applyAlignment="1" applyProtection="1" fontId="4" numFmtId="3" fillId="0" borderId="19" xfId="1"/>
    <xf applyNumberFormat="1" applyFont="1" applyFill="1" applyBorder="1" applyAlignment="1" applyProtection="1" fontId="4" numFmtId="4" fillId="0" borderId="36" xfId="1"/>
    <xf applyNumberFormat="1" applyFont="1" applyFill="1" applyBorder="1" applyAlignment="1" applyProtection="1" fontId="14" numFmtId="164" fillId="0" borderId="36" xfId="2"/>
    <xf applyNumberFormat="1" applyFont="1" applyFill="1" applyBorder="1" applyAlignment="1" applyProtection="1" fontId="12" numFmtId="3" fillId="0" borderId="21" xfId="1"/>
    <xf applyNumberFormat="1" applyFont="1" applyFill="1" applyAlignment="1" applyProtection="1" fontId="13" numFmtId="3" fillId="0" borderId="0" xfId="0"/>
    <xf applyNumberFormat="1" applyFont="1" applyFill="1" applyBorder="1" applyAlignment="1" applyProtection="1" fontId="12" numFmtId="3" fillId="0" borderId="1" xfId="0">
      <alignment horizontal="left"/>
    </xf>
    <xf applyNumberFormat="1" applyFont="1" applyFill="1" applyBorder="1" applyAlignment="1" applyProtection="1" fontId="16" numFmtId="3" fillId="0" borderId="2" xfId="1">
      <alignment horizontal="right"/>
    </xf>
    <xf applyNumberFormat="1" applyFont="1" applyFill="1" applyBorder="1" applyAlignment="1" applyProtection="1" fontId="16" numFmtId="4" fillId="0" borderId="2" xfId="1"/>
    <xf applyNumberFormat="1" applyFont="1" applyFill="1" applyBorder="1" applyAlignment="1" applyProtection="1" fontId="14" numFmtId="164" fillId="0" borderId="2" xfId="2"/>
    <xf applyNumberFormat="1" applyFont="1" applyFill="1" applyBorder="1" applyAlignment="1" applyProtection="1" fontId="0" numFmtId="3" fillId="0" borderId="6" xfId="0"/>
    <xf applyNumberFormat="1" applyFont="1" applyFill="1" applyBorder="1" applyAlignment="1" applyProtection="1" fontId="4" numFmtId="3" fillId="0" borderId="7" xfId="1"/>
    <xf applyNumberFormat="1" applyFont="1" applyFill="1" applyBorder="1" applyAlignment="1" applyProtection="1" fontId="4" numFmtId="4" fillId="0" borderId="7" xfId="1"/>
    <xf applyNumberFormat="1" applyFont="1" applyFill="1" applyBorder="1" applyAlignment="1" applyProtection="1" fontId="14" numFmtId="164" fillId="0" borderId="7" xfId="2"/>
    <xf applyNumberFormat="1" applyFont="1" applyFill="1" applyBorder="1" applyAlignment="1" applyProtection="1" fontId="12" numFmtId="3" fillId="0" borderId="28" xfId="1"/>
    <xf applyNumberFormat="1" applyFont="1" applyFill="1" applyBorder="1" applyAlignment="1" applyProtection="1" fontId="12" numFmtId="4" fillId="0" borderId="10" xfId="1"/>
    <xf applyNumberFormat="1" applyFont="1" applyFill="1" applyBorder="1" applyAlignment="1" applyProtection="1" fontId="16" numFmtId="3" fillId="0" borderId="7" xfId="1">
      <alignment horizontal="right"/>
    </xf>
    <xf applyNumberFormat="1" applyFont="1" applyFill="1" applyBorder="1" applyAlignment="1" applyProtection="1" fontId="17" numFmtId="164" fillId="0" borderId="7" xfId="2"/>
    <xf applyNumberFormat="1" applyFont="1" applyAlignment="1" fontId="4" numFmtId="4" fillId="0" borderId="0" xfId="1"/>
    <xf applyNumberFormat="1" applyFont="1" applyAlignment="1" fontId="12" numFmtId="164" fillId="0" borderId="0" xfId="2"/>
    <xf fontId="2" numFmtId="0" fillId="2" borderId="0" xfId="5"/>
    <xf fontId="2" numFmtId="0" fillId="0" borderId="0" xfId="6"/>
    <xf fontId="2" numFmtId="0" fillId="4" borderId="0" xfId="7"/>
    <xf fontId="3" numFmtId="0" fillId="3" borderId="0" xfId="3"/>
    <xf applyFont="1" fontId="2" numFmtId="0" fillId="0" borderId="0" xfId="6"/>
    <xf applyNumberFormat="1" applyFont="1" applyAlignment="1" fontId="19" numFmtId="3" fillId="0" borderId="0" xfId="6">
      <alignment horizontal="right"/>
    </xf>
    <xf applyAlignment="1" fontId="2" numFmtId="0" fillId="0" borderId="0" xfId="6">
      <alignment horizontal="left"/>
    </xf>
    <xf applyNumberFormat="1" applyFont="1" applyAlignment="1" fontId="0" numFmtId="3" fillId="0" borderId="0" xfId="1"/>
    <xf applyNumberFormat="1" applyFont="1" applyBorder="1" applyAlignment="1" fontId="8" numFmtId="49" fillId="0" borderId="3" xfId="0"/>
    <xf applyNumberFormat="1" applyFont="1" applyBorder="1" applyAlignment="1" applyProtection="1" fontId="11" numFmtId="4" fillId="0" borderId="0" xfId="0">
      <protection locked="0"/>
    </xf>
    <xf applyNumberFormat="1" applyFont="1" applyBorder="1" applyAlignment="1" fontId="8" numFmtId="49" fillId="0" borderId="5" xfId="0"/>
    <xf applyNumberFormat="1" applyFont="1" applyFill="1" applyBorder="1" applyAlignment="1" fontId="13" numFmtId="3" fillId="5" borderId="9" xfId="4">
      <alignment horizontal="center"/>
    </xf>
    <xf applyNumberFormat="1" applyFont="1" applyFill="1" applyBorder="1" applyAlignment="1" fontId="13" numFmtId="3" fillId="5" borderId="10" xfId="4">
      <alignment horizontal="center"/>
    </xf>
    <xf applyNumberFormat="1" applyFont="1" applyFill="1" applyBorder="1" applyAlignment="1" fontId="13" numFmtId="3" fillId="5" borderId="11" xfId="4">
      <alignment horizontal="center"/>
    </xf>
    <xf applyNumberFormat="1" applyFont="1" applyFill="1" applyBorder="1" applyAlignment="1" fontId="13" numFmtId="3" fillId="5" borderId="38" xfId="4">
      <alignment horizontal="center"/>
    </xf>
    <xf applyNumberFormat="1" applyFont="1" applyFill="1" applyBorder="1" applyAlignment="1" fontId="13" numFmtId="3" fillId="5" borderId="39" xfId="4">
      <alignment horizontal="center"/>
    </xf>
    <xf applyNumberFormat="1" applyFont="1" applyFill="1" applyBorder="1" applyAlignment="1" fontId="13" numFmtId="3" fillId="5" borderId="40" xfId="4">
      <alignment horizontal="center"/>
    </xf>
    <xf applyNumberFormat="1" applyFont="1" applyFill="1" applyBorder="1" applyAlignment="1" applyProtection="1" fontId="0" numFmtId="3" fillId="0" borderId="41" xfId="0"/>
    <xf applyNumberFormat="1" applyFont="1" applyFill="1" applyBorder="1" applyAlignment="1" applyProtection="1" fontId="4" numFmtId="3" fillId="5" borderId="10" xfId="0">
      <alignment horizontal="left"/>
      <protection locked="0"/>
    </xf>
    <xf applyNumberFormat="1" applyFont="1" applyFill="1" applyBorder="1" applyAlignment="1" applyProtection="1" fontId="4" numFmtId="4" fillId="5" borderId="10" xfId="0">
      <alignment horizontal="center"/>
      <protection locked="0"/>
    </xf>
    <xf applyNumberFormat="1" applyFont="1" applyFill="1" applyBorder="1" applyAlignment="1" fontId="13" numFmtId="3" fillId="0" borderId="42" xfId="4"/>
    <xf applyNumberFormat="1" applyFont="1" applyFill="1" applyBorder="1" applyAlignment="1" fontId="13" numFmtId="3" fillId="0" borderId="43" xfId="4"/>
    <xf applyNumberFormat="1" applyFont="1" applyFill="1" applyBorder="1" applyAlignment="1" fontId="13" numFmtId="3" fillId="0" borderId="44" xfId="4"/>
    <xf applyNumberFormat="1" applyFont="1" applyBorder="1" applyAlignment="1" applyProtection="1" fontId="0" numFmtId="3" fillId="0" borderId="1" xfId="0">
      <protection locked="0"/>
    </xf>
    <xf applyNumberFormat="1" applyBorder="1" applyAlignment="1" applyProtection="1" fontId="0" numFmtId="3" fillId="0" borderId="0" xfId="0">
      <protection locked="0"/>
    </xf>
    <xf applyNumberFormat="1" applyFont="1" applyBorder="1" applyAlignment="1" applyProtection="1" fontId="0" numFmtId="4" fillId="0" borderId="0" xfId="1">
      <protection locked="0"/>
    </xf>
    <xf applyNumberFormat="1" applyBorder="1" applyAlignment="1" applyProtection="1" fontId="0" numFmtId="3" fillId="0" borderId="3" xfId="0"/>
    <xf applyNumberFormat="1" applyFont="1" applyBorder="1" applyAlignment="1" fontId="8" numFmtId="49" fillId="0" borderId="8" xfId="0"/>
    <xf applyNumberFormat="1" applyBorder="1" applyAlignment="1" applyProtection="1" fontId="0" numFmtId="3" fillId="0" borderId="0" xfId="0"/>
    <xf applyNumberFormat="1" applyFont="1" applyFill="1" applyBorder="1" applyAlignment="1" fontId="13" numFmtId="3" fillId="5" borderId="39" xfId="1">
      <alignment horizontal="center"/>
    </xf>
    <xf applyNumberFormat="1" applyFont="1" applyFill="1" applyBorder="1" applyAlignment="1" fontId="13" numFmtId="4" fillId="5" borderId="39" xfId="1">
      <alignment horizontal="center"/>
    </xf>
    <xf applyNumberFormat="1" applyFont="1" applyFill="1" applyBorder="1" applyAlignment="1" applyProtection="1" fontId="12" numFmtId="3" fillId="0" borderId="11" xfId="0"/>
    <xf applyNumberFormat="1" applyFont="1" applyFill="1" applyBorder="1" applyAlignment="1" applyProtection="1" fontId="12" numFmtId="3" fillId="0" borderId="27" xfId="0"/>
    <xf applyNumberFormat="1" applyFont="1" applyFill="1" applyBorder="1" applyAlignment="1" applyProtection="1" fontId="14" numFmtId="49" fillId="0" borderId="17" xfId="0"/>
    <xf applyNumberFormat="1" applyFont="1" applyFill="1" applyBorder="1" applyAlignment="1" applyProtection="1" fontId="14" numFmtId="49" fillId="0" borderId="16" xfId="0"/>
    <xf applyNumberFormat="1" applyFont="1" applyFill="1" applyBorder="1" applyAlignment="1" fontId="13" numFmtId="3" fillId="5" borderId="45" xfId="4">
      <alignment horizontal="center"/>
    </xf>
    <xf applyNumberFormat="1" applyFont="1" applyFill="1" applyBorder="1" applyAlignment="1" fontId="13" numFmtId="3" fillId="5" borderId="46" xfId="4">
      <alignment horizontal="center"/>
    </xf>
    <xf applyNumberFormat="1" applyFont="1" applyFill="1" applyBorder="1" applyAlignment="1" fontId="13" numFmtId="3" fillId="5" borderId="47" xfId="4">
      <alignment horizontal="center"/>
    </xf>
    <xf applyNumberFormat="1" applyFont="1" applyFill="1" applyBorder="1" applyAlignment="1" applyProtection="1" fontId="4" numFmtId="3" fillId="5" borderId="9" xfId="0">
      <alignment horizontal="left"/>
      <protection locked="0"/>
    </xf>
    <xf applyNumberFormat="1" applyFont="1" applyFill="1" applyBorder="1" applyAlignment="1" applyProtection="1" fontId="14" numFmtId="49" fillId="0" borderId="22" xfId="0"/>
    <xf applyNumberFormat="1" applyFont="1" applyFill="1" applyBorder="1" applyAlignment="1" fontId="13" numFmtId="3" fillId="0" borderId="48" xfId="4"/>
    <xf applyNumberFormat="1" applyFont="1" applyBorder="1" applyAlignment="1" applyProtection="1" fontId="4" numFmtId="3" fillId="0" borderId="0" xfId="8">
      <protection locked="0"/>
    </xf>
    <xf applyNumberFormat="1" applyFont="1" applyBorder="1" applyAlignment="1" applyProtection="1" fontId="0" numFmtId="4" fillId="0" borderId="0" xfId="0"/>
    <xf applyNumberFormat="1" applyFont="1" applyFill="1" applyBorder="1" applyAlignment="1" applyProtection="1" fontId="18" numFmtId="49" fillId="0" borderId="5" xfId="0"/>
    <xf applyNumberFormat="1" applyFont="1" applyBorder="1" applyAlignment="1" applyProtection="1" fontId="0" numFmtId="3" fillId="0" borderId="4" xfId="0">
      <protection locked="0"/>
    </xf>
    <xf applyNumberFormat="1" applyFont="1" applyBorder="1" applyProtection="1" fontId="0" numFmtId="3" fillId="0" borderId="0" xfId="0">
      <protection locked="0"/>
    </xf>
    <xf applyNumberFormat="1" applyFont="1" applyBorder="1" applyAlignment="1" applyProtection="1" fontId="0" numFmtId="4" fillId="0" borderId="0" xfId="0">
      <protection locked="0"/>
    </xf>
    <xf applyNumberFormat="1" applyFont="1" applyFill="1" applyBorder="1" applyAlignment="1" applyProtection="1" fontId="0" numFmtId="3" fillId="0" borderId="0" xfId="1"/>
    <xf applyNumberFormat="1" applyFont="1" applyBorder="1" applyProtection="1" fontId="4" numFmtId="3" fillId="0" borderId="0" xfId="0">
      <protection locked="0"/>
    </xf>
    <xf applyNumberFormat="1" applyBorder="1" applyAlignment="1" applyProtection="1" fontId="0" numFmtId="3" fillId="0" borderId="5" xfId="0"/>
    <xf applyNumberFormat="1" applyFont="1" applyFill="1" applyBorder="1" applyAlignment="1" applyProtection="1" fontId="14" numFmtId="49" fillId="0" borderId="11" xfId="0"/>
    <xf applyNumberFormat="1" applyFont="1" applyFill="1" applyBorder="1" applyAlignment="1" applyProtection="1" fontId="16" numFmtId="49" fillId="0" borderId="5" xfId="0"/>
    <xf applyNumberFormat="1" applyFont="1" applyBorder="1" applyAlignment="1" applyProtection="1" fontId="12" numFmtId="3" fillId="0" borderId="43" xfId="0">
      <alignment horizontal="right"/>
      <protection locked="0"/>
    </xf>
    <xf applyNumberFormat="1" applyFont="1" applyBorder="1" applyAlignment="1" applyProtection="1" fontId="12" numFmtId="4" fillId="0" borderId="43" xfId="0"/>
    <xf applyNumberFormat="1" applyFont="1" applyBorder="1" applyAlignment="1" fontId="0" numFmtId="3" fillId="0" borderId="0" xfId="1"/>
    <xf applyNumberFormat="1" applyFont="1" applyBorder="1" applyAlignment="1" fontId="12" numFmtId="49" fillId="0" borderId="5" xfId="0"/>
    <xf applyNumberFormat="1" applyFont="1" applyFill="1" applyBorder="1" applyAlignment="1" applyProtection="1" fontId="0" numFmtId="3" fillId="0" borderId="10" xfId="1"/>
    <xf applyNumberFormat="1" applyFont="1" applyFill="1" applyBorder="1" applyAlignment="1" applyProtection="1" fontId="0" numFmtId="3" fillId="0" borderId="30" xfId="1"/>
    <xf applyNumberFormat="1" applyFont="1" applyFill="1" applyBorder="1" applyAlignment="1" applyProtection="1" fontId="0" numFmtId="3" fillId="0" borderId="31" xfId="1"/>
    <xf applyNumberFormat="1" applyFont="1" applyFill="1" applyBorder="1" applyAlignment="1" applyProtection="1" fontId="16" numFmtId="49" fillId="0" borderId="32" xfId="0"/>
    <xf applyNumberFormat="1" applyFont="1" applyFill="1" applyBorder="1" applyAlignment="1" applyProtection="1" fontId="0" numFmtId="3" fillId="0" borderId="34" xfId="1"/>
    <xf applyNumberFormat="1" applyFont="1" applyFill="1" applyBorder="1" applyAlignment="1" applyProtection="1" fontId="0" numFmtId="3" fillId="0" borderId="24" xfId="1"/>
    <xf applyNumberFormat="1" applyFont="1" applyFill="1" applyBorder="1" applyAlignment="1" applyProtection="1" fontId="16" numFmtId="49" fillId="0" borderId="35" xfId="0"/>
    <xf applyNumberFormat="1" applyFont="1" applyFill="1" applyBorder="1" applyAlignment="1" applyProtection="1" fontId="0" numFmtId="3" fillId="0" borderId="37" xfId="1"/>
    <xf applyNumberFormat="1" applyFont="1" applyFill="1" applyBorder="1" applyAlignment="1" applyProtection="1" fontId="0" numFmtId="3" fillId="0" borderId="25" xfId="1"/>
    <xf applyNumberFormat="1" applyFont="1" applyFill="1" applyBorder="1" applyAlignment="1" applyProtection="1" fontId="0" numFmtId="3" fillId="0" borderId="2" xfId="1"/>
    <xf applyNumberFormat="1" applyFont="1" applyFill="1" applyBorder="1" applyAlignment="1" applyProtection="1" fontId="16" numFmtId="49" fillId="0" borderId="3" xfId="0"/>
    <xf applyNumberFormat="1" applyFont="1" applyFill="1" applyBorder="1" applyAlignment="1" applyProtection="1" fontId="12" numFmtId="3" fillId="0" borderId="28" xfId="0"/>
    <xf applyNumberFormat="1" applyFont="1" applyFill="1" applyBorder="1" applyAlignment="1" applyProtection="1" fontId="0" numFmtId="3" fillId="0" borderId="7" xfId="1"/>
    <xf applyNumberFormat="1" applyFont="1" applyFill="1" applyBorder="1" applyAlignment="1" applyProtection="1" fontId="16" numFmtId="49" fillId="0" borderId="8" xfId="0"/>
    <xf applyNumberFormat="1" applyFont="1" applyFill="1" applyBorder="1" applyAlignment="1" applyProtection="1" fontId="18" numFmtId="49" fillId="0" borderId="8" xfId="0"/>
    <xf applyNumberFormat="1" applyFont="1" applyAlignment="1" fontId="12" numFmtId="49" fillId="0" borderId="0" xfId="0"/>
    <xf applyBorder="1" fontId="2" numFmtId="0" fillId="0" borderId="5" xfId="6"/>
    <xf applyBorder="1" fontId="2" numFmtId="0" fillId="0" borderId="4" xfId="6"/>
    <xf applyFont="1" fontId="1" numFmtId="0" fillId="0" borderId="0" xfId="6"/>
    <xf applyNumberFormat="1" applyFont="1" applyBorder="1" applyAlignment="1" fontId="5" numFmtId="3" fillId="0" borderId="1" xfId="0">
      <alignment horizontal="center" vertical="center"/>
    </xf>
    <xf applyNumberFormat="1" applyFont="1" applyBorder="1" applyAlignment="1" fontId="5" numFmtId="3" fillId="0" borderId="2" xfId="0">
      <alignment horizontal="center" vertical="center"/>
    </xf>
    <xf applyNumberFormat="1" applyFont="1" applyBorder="1" applyAlignment="1" fontId="5" numFmtId="3" fillId="0" borderId="3" xfId="0">
      <alignment horizontal="center" vertical="center"/>
    </xf>
    <xf applyNumberFormat="1" applyFont="1" applyBorder="1" applyAlignment="1" fontId="6" numFmtId="3" fillId="0" borderId="6" xfId="0">
      <alignment horizontal="center" vertical="center"/>
    </xf>
    <xf applyNumberFormat="1" applyFont="1" applyBorder="1" applyAlignment="1" fontId="6" numFmtId="3" fillId="0" borderId="7" xfId="0">
      <alignment horizontal="center" vertical="center"/>
    </xf>
    <xf applyNumberFormat="1" applyFont="1" applyBorder="1" applyAlignment="1" fontId="6" numFmtId="3" fillId="0" borderId="8" xfId="0">
      <alignment horizontal="center" vertical="center"/>
    </xf>
    <xf applyNumberFormat="1" applyFont="1" applyFill="1" applyBorder="1" applyAlignment="1" applyProtection="1" fontId="6" numFmtId="3" fillId="0" borderId="6" xfId="0">
      <alignment horizontal="center" vertical="center"/>
    </xf>
    <xf applyNumberFormat="1" applyFont="1" applyFill="1" applyBorder="1" applyAlignment="1" applyProtection="1" fontId="6" numFmtId="3" fillId="0" borderId="7" xfId="0">
      <alignment horizontal="center" vertical="center"/>
    </xf>
    <xf applyNumberFormat="1" applyFont="1" applyFill="1" applyBorder="1" applyAlignment="1" applyProtection="1" fontId="6" numFmtId="3" fillId="0" borderId="8" xfId="0">
      <alignment horizontal="center" vertical="center"/>
    </xf>
    <xf applyNumberFormat="1" applyFont="1" applyBorder="1" applyAlignment="1" applyProtection="1" fontId="6" numFmtId="3" fillId="0" borderId="6" xfId="0">
      <alignment horizontal="center" vertical="center"/>
      <protection locked="0"/>
    </xf>
    <xf applyFont="1" applyBorder="1" applyAlignment="1" fontId="16" numFmtId="0" fillId="0" borderId="7" xfId="0">
      <alignment horizontal="center" vertical="center"/>
    </xf>
    <xf applyFont="1" applyBorder="1" applyAlignment="1" fontId="16" numFmtId="0" fillId="0" borderId="8" xfId="0">
      <alignment horizontal="center" vertical="center"/>
    </xf>
    <xf applyNumberFormat="1" applyFont="1" applyBorder="1" applyAlignment="1" fontId="5" numFmtId="3" fillId="0" borderId="4" xfId="0">
      <alignment horizontal="center" vertical="center"/>
    </xf>
    <xf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Fill="1" applyBorder="1" applyAlignment="1" applyProtection="1" fontId="5" numFmtId="3" fillId="0" borderId="0" xfId="0">
      <alignment horizontal="center"/>
    </xf>
    <xf applyNumberFormat="1" applyFont="1" applyFill="1" applyBorder="1" applyAlignment="1" applyProtection="1" fontId="10" numFmtId="3" fillId="0" borderId="0" xfId="0">
      <alignment horizontal="center"/>
    </xf>
    <xf applyNumberFormat="1" applyFont="1" applyFill="1" applyBorder="1" applyAlignment="1" applyProtection="1" fontId="4" numFmtId="3" fillId="5" borderId="21" xfId="0">
      <alignment horizontal="center"/>
    </xf>
    <xf applyNumberFormat="1" applyFont="1" applyFill="1" applyBorder="1" applyAlignment="1" applyProtection="1" fontId="4" numFmtId="3" fillId="5" borderId="22" xfId="0">
      <alignment horizontal="center"/>
    </xf>
  </cellXfs>
  <cellStyles count="9">
    <cellStyle name="20% - Accent5 2" xfId="7"/>
    <cellStyle name="60% - Accent1 2" xfId="5"/>
    <cellStyle name="Accent5" xfId="3" builtinId="45"/>
    <cellStyle name="Comma" xfId="1" builtinId="3"/>
    <cellStyle name="Normal" xfId="0" builtinId="0"/>
    <cellStyle name="Normal 2" xfId="6"/>
    <cellStyle name="Normal 3" xfId="8"/>
    <cellStyle name="Normal_KbProject Proj Cost Sumry" xfId="4"/>
    <cellStyle name="Percent" xfId="2" builtinId="5"/>
  </cellStyles>
  <dxfs count="0"/>
  <tableStyles count="0" defaultTableStyle="TableStyleMedium2" defaultPivotStyle="PivotStyleLight16"/>
  <colors>
    <mruColors xmlns="http://schemas.openxmlformats.org/spreadsheetml/2006/main">
      <color rgb="FFFFCC00"/>
      <color rgb="FFFF9933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charts/chart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Direct Field Costs</a:t>
            </a:r>
          </a:p>
        </c:rich>
      </c:tx>
      <c:layout>
        <c:manualLayout>
          <c:xMode val="edge"/>
          <c:yMode val="edge"/>
          <c:x val="0.387302253884936"/>
          <c:y val="0.03009259259259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523979296843"/>
          <c:y val="0.129629922666022"/>
          <c:w val="0.773004932975628"/>
          <c:h val="0.6816694681108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'Proj Cost Sumry by Contr'!$D$8</c:f>
              <c:strCache>
                <c:ptCount val="1"/>
                <c:pt idx="0">
                  <c:v>Labor Cost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'Proj Cost Sumry by Contr'!$A$9:$A$10</c:f>
              <c:strCache>
                <c:ptCount val="2"/>
                <c:pt idx="0">
                  <c:v>&lt;#TBL_0_TAQ_TDC_AcctSumry_Contr.Account;&gt;</c:v>
                </c:pt>
              </c:strCache>
            </c:strRef>
          </c:cat>
          <c:val>
            <c:numRef>
              <c:f>'Proj Cost Sumry by Contr'!$D$9:$D$10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BB-4132-ACED-4BF4A532EE78}"/>
            </c:ext>
          </c:extLst>
        </c:ser>
        <c:ser>
          <c:idx val="1"/>
          <c:order val="1"/>
          <c:tx>
            <c:strRef>
              <c:f>'Proj Cost Sumry by Contr'!$E$8</c:f>
              <c:strCache>
                <c:ptCount val="1"/>
                <c:pt idx="0">
                  <c:v>Matl Cost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'Proj Cost Sumry by Contr'!$A$9:$A$10</c:f>
              <c:strCache>
                <c:ptCount val="2"/>
                <c:pt idx="0">
                  <c:v>&lt;#TBL_0_TAQ_TDC_AcctSumry_Contr.Account;&gt;</c:v>
                </c:pt>
              </c:strCache>
            </c:strRef>
          </c:cat>
          <c:val>
            <c:numRef>
              <c:f>'Proj Cost Sumry by Contr'!$E$9:$E$10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BB-4132-ACED-4BF4A532E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4844440"/>
        <c:axId val="544853064"/>
      </c:barChart>
      <c:lineChart>
        <c:grouping val="standard"/>
        <c:varyColors val="0"/>
        <c:ser>
          <c:idx val="2"/>
          <c:order val="2"/>
          <c:tx>
            <c:strRef>
              <c:f>'Proj Cost Sumry by Contr'!$B$8</c:f>
              <c:strCache>
                <c:ptCount val="1"/>
                <c:pt idx="0">
                  <c:v>MH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'Proj Cost Sumry by Contr'!$B$9:$B$10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A5-4395-9BCB-C4DE42E9E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698432"/>
        <c:axId val="641701384"/>
      </c:lineChart>
      <c:catAx>
        <c:axId val="54484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3064"/>
        <c:crosses val="autoZero"/>
        <c:auto val="1"/>
        <c:lblAlgn val="ctr"/>
        <c:lblOffset val="100"/>
        <c:noMultiLvlLbl val="0"/>
      </c:catAx>
      <c:valAx>
        <c:axId val="544853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altLang="zh-CN" sz="800"/>
                  <a:t>Currency</a:t>
                </a:r>
              </a:p>
            </c:rich>
          </c:tx>
          <c:layout>
            <c:manualLayout>
              <c:xMode val="edge"/>
              <c:yMode val="edge"/>
              <c:x val="0.0516875231552861"/>
              <c:y val="0.421398971715045"/>
            </c:manualLayout>
          </c:layout>
          <c:overlay val="0"/>
        </c:title>
        <c:numFmt formatCode="[&gt;999999]#,##0.0,,&quot;M&quot;;[&gt;999]#,&quot;K&quot;;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4440"/>
        <c:crosses val="autoZero"/>
        <c:crossBetween val="between"/>
      </c:valAx>
      <c:valAx>
        <c:axId val="641701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altLang="zh-CN" sz="800"/>
                  <a:t>Man-Hours</a:t>
                </a:r>
              </a:p>
            </c:rich>
          </c:tx>
          <c:layout>
            <c:manualLayout>
              <c:xMode val="edge"/>
              <c:yMode val="edge"/>
              <c:x val="0.964455603598171"/>
              <c:y val="0.413414437026968"/>
            </c:manualLayout>
          </c:layout>
          <c:overlay val="0"/>
        </c:title>
        <c:numFmt formatCode="[&gt;999999]#.0#,,&quot;M&quot;;[&gt;999]#.0#,&quot;K&quot;;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41698432"/>
        <c:crosses val="max"/>
        <c:crossBetween val="between"/>
      </c:valAx>
      <c:catAx>
        <c:axId val="641698432"/>
        <c:scaling>
          <c:orientation val="minMax"/>
        </c:scaling>
        <c:delete val="1"/>
        <c:axPos val="b"/>
        <c:majorTickMark val="out"/>
        <c:minorTickMark val="none"/>
        <c:tickLblPos val="nextTo"/>
        <c:crossAx val="6417013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 horizontalDpi="300"/>
  </c:printSettings>
</c:chartSpace>
</file>

<file path=xl/charts/chart2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Indirect Field Costs</a:t>
            </a:r>
          </a:p>
        </c:rich>
      </c:tx>
      <c:layout>
        <c:manualLayout>
          <c:xMode val="edge"/>
          <c:yMode val="edge"/>
          <c:x val="0.377778444361122"/>
          <c:y val="0.033419023136246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72705570484246"/>
          <c:y val="0.136727464060343"/>
          <c:w val="0.898224606815654"/>
          <c:h val="0.61065185713753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('Proj Cost Sumry by Contr'!$K$6:$K$7,'Proj Cost Sumry by Contr'!$K$11:$K$12)</c:f>
              <c:multiLvlStrCache>
                <c:ptCount val="2"/>
                <c:lvl>
                  <c:pt idx="0">
                    <c:v>&lt;#TBL_00_ICQ_FldOfcInd_Contr.Description;&gt;</c:v>
                  </c:pt>
                  <c:pt idx="1">
                    <c:v>&lt;#TBL_00_ICQ_ConstInd_Contr.Description;&gt;</c:v>
                  </c:pt>
                </c:lvl>
              </c:multiLvlStrCache>
            </c:multiLvlStrRef>
          </c:cat>
          <c:val>
            <c:numRef>
              <c:f>('Proj Cost Sumry by Contr'!$M$6:$M$7,'Proj Cost Sumry by Contr'!$M$11:$M$12)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46-48C7-8E1B-D20CC1B51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51888"/>
        <c:axId val="544848360"/>
      </c:barChart>
      <c:catAx>
        <c:axId val="54485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8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48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[&gt;999999]#,##0.0,,&quot;M&quot;;[&gt;999]#,&quot;K&quot;;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18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charts/chart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Non Field Costs</a:t>
            </a:r>
          </a:p>
        </c:rich>
      </c:tx>
      <c:layout>
        <c:manualLayout>
          <c:xMode val="edge"/>
          <c:yMode val="edge"/>
          <c:x val="0.396826063408748"/>
          <c:y val="0.03009259259259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13104580293445"/>
          <c:y val="0.125437218115888"/>
          <c:w val="0.908811574412051"/>
          <c:h val="0.6633269202200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('Proj Cost Sumry by Contr'!$P$8,'Proj Cost Sumry by Contr'!$P$13,'Proj Cost Sumry by Contr'!$P$16:$P$17,'Proj Cost Sumry by Contr'!$P$21:$P$22,'Proj Cost Sumry by Contr'!$P$26:$P$27)</c:f>
              <c:multiLvlStrCache>
                <c:ptCount val="4"/>
                <c:lvl>
                  <c:pt idx="0">
                    <c:v>Taxes and Permits Total</c:v>
                  </c:pt>
                </c:lvl>
                <c:lvl>
                  <c:pt idx="0">
                    <c:v>Freight Total</c:v>
                  </c:pt>
                  <c:pt idx="1">
                    <c:v>&lt;#TBL_00_ICQ_Engineering_Contr.Description;&gt;</c:v>
                  </c:pt>
                  <c:pt idx="2">
                    <c:v>&lt;#TBL_00_ICQ_OtherProjCosts_Contr.Description;&gt;</c:v>
                  </c:pt>
                  <c:pt idx="3">
                    <c:v>&lt;#TBL_00_ICQ_Contingency_Contr.Description;&gt;</c:v>
                  </c:pt>
                </c:lvl>
              </c:multiLvlStrCache>
            </c:multiLvlStrRef>
          </c:cat>
          <c:val>
            <c:numRef>
              <c:f>('Proj Cost Sumry by Contr'!$R$8,'Proj Cost Sumry by Contr'!$R$13,'Proj Cost Sumry by Contr'!$R$16:$R$17,'Proj Cost Sumry by Contr'!$R$21:$R$22,'Proj Cost Sumry by Contr'!$R$26:$R$27)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9-4841-9E2E-36D46225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52280"/>
        <c:axId val="544853456"/>
      </c:barChart>
      <c:catAx>
        <c:axId val="54485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700" b="0" i="0" u="none" strike="noStrike" cap="non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53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[&gt;999999]#,##0.0,,&quot;M&quot;;[&gt;999]#,&quot;K&quot;;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22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charts/chart4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Average Wage Rates</a:t>
            </a:r>
          </a:p>
        </c:rich>
      </c:tx>
      <c:layout>
        <c:manualLayout>
          <c:xMode val="edge"/>
          <c:yMode val="edge"/>
          <c:x val="0.367834729257573"/>
          <c:y val="0.033248081841432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89172432614414"/>
          <c:y val="0.14578023320142"/>
          <c:w val="0.909931856193154"/>
          <c:h val="0.60269076855396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('Proj Cost Sumry by Contr'!$U$15,'Proj Cost Sumry by Contr'!$U$6:$U$7)</c:f>
              <c:strCache>
                <c:ptCount val="3"/>
                <c:pt idx="0">
                  <c:v>All Inclusive Wage Rate</c:v>
                </c:pt>
                <c:pt idx="1">
                  <c:v>&lt;#TBL_0_ICQ_WageRate_Contr.TITLE;&gt;</c:v>
                </c:pt>
              </c:strCache>
            </c:strRef>
          </c:cat>
          <c:val>
            <c:numRef>
              <c:f>('Proj Cost Sumry by Contr'!$V$15,'Proj Cost Sumry by Contr'!$V$6:$V$7)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D8-4658-9A3C-D2120B3D8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43264"/>
        <c:axId val="544843656"/>
      </c:barChart>
      <c:catAx>
        <c:axId val="54484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3656"/>
        <c:crosses val="autoZero"/>
        <c:auto val="1"/>
        <c:lblAlgn val="ctr"/>
        <c:lblOffset val="100"/>
        <c:tickMarkSkip val="1"/>
        <c:noMultiLvlLbl val="0"/>
      </c:catAx>
      <c:valAx>
        <c:axId val="544843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326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6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portrait"/>
  </c:printSettings>
</c:chartSpace>
</file>

<file path=xl/drawings/_rels/drawing1.xml.rels>&#65279;<?xml version="1.0" encoding="utf-8" standalone="yes"?><Relationships xmlns="http://schemas.openxmlformats.org/package/2006/relationships"><Relationship Id="flId2" Type="http://schemas.openxmlformats.org/officeDocument/2006/relationships/chart" Target="/xl/charts/chart1.xml" /><Relationship Id="flId3" Type="http://schemas.openxmlformats.org/officeDocument/2006/relationships/chart" Target="/xl/charts/chart2.xml" /><Relationship Id="flId4" Type="http://schemas.openxmlformats.org/officeDocument/2006/relationships/chart" Target="/xl/charts/chart3.xml" /><Relationship Id="flId5" Type="http://schemas.openxmlformats.org/officeDocument/2006/relationships/chart" Target="/xl/charts/chart4.xml" /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24</xdr:col>
      <xdr:colOff>28575</xdr:colOff>
      <xdr:row>0</xdr:row>
      <xdr:rowOff>38100</xdr:rowOff>
    </xdr:from>
    <xdr:to>
      <xdr:col>34</xdr:col>
      <xdr:colOff>504825</xdr:colOff>
      <xdr:row>24</xdr:row>
      <xdr:rowOff>152400</xdr:rowOff>
    </xdr:to>
    <xdr:graphicFrame>
      <xdr:nvGraphicFramePr>
        <xdr:cNvPr id="1025" name="Chart 1">
          <a:extLst>
            <a:ext xmlns:a="http://schemas.openxmlformats.org/drawingml/2006/main" uri="{FF2B5EF4-FFF2-40B4-BE49-F238E27FC236}">
              <a16:creationId xmlns:a16="http://schemas.microsoft.com/office/drawing/2014/main" id="{F4FB0B51-D700-4A4D-8D3C-3F6D99D0B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2"/>
        </a:graphicData>
      </a:graphic>
    </xdr:graphicFrame>
    <xdr:clientData/>
  </xdr:twoCellAnchor>
  <xdr:twoCellAnchor>
    <xdr:from>
      <xdr:col>24</xdr:col>
      <xdr:colOff>19050</xdr:colOff>
      <xdr:row>25</xdr:row>
      <xdr:rowOff>57150</xdr:rowOff>
    </xdr:from>
    <xdr:to>
      <xdr:col>34</xdr:col>
      <xdr:colOff>514350</xdr:colOff>
      <xdr:row>50</xdr:row>
      <xdr:rowOff>133350</xdr:rowOff>
    </xdr:to>
    <xdr:graphicFrame>
      <xdr:nvGraphicFramePr>
        <xdr:cNvPr id="1026" name="Chart 2">
          <a:extLst>
            <a:ext xmlns:a="http://schemas.openxmlformats.org/drawingml/2006/main" uri="{FF2B5EF4-FFF2-40B4-BE49-F238E27FC236}">
              <a16:creationId xmlns:a16="http://schemas.microsoft.com/office/drawing/2014/main" id="{2322D1A4-E374-45B6-A2EF-001596A6E3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3"/>
        </a:graphicData>
      </a:graphic>
    </xdr:graphicFrame>
    <xdr:clientData/>
  </xdr:twoCellAnchor>
  <xdr:twoCellAnchor editAs="absolute">
    <xdr:from>
      <xdr:col>35</xdr:col>
      <xdr:colOff>9525</xdr:colOff>
      <xdr:row>0</xdr:row>
      <xdr:rowOff>38100</xdr:rowOff>
    </xdr:from>
    <xdr:to>
      <xdr:col>45</xdr:col>
      <xdr:colOff>447675</xdr:colOff>
      <xdr:row>25</xdr:row>
      <xdr:rowOff>0</xdr:rowOff>
    </xdr:to>
    <xdr:graphicFrame>
      <xdr:nvGraphicFramePr>
        <xdr:cNvPr id="1027" name="Chart 3">
          <a:extLst>
            <a:ext xmlns:a="http://schemas.openxmlformats.org/drawingml/2006/main" uri="{FF2B5EF4-FFF2-40B4-BE49-F238E27FC236}">
              <a16:creationId xmlns:a16="http://schemas.microsoft.com/office/drawing/2014/main" id="{3D1443D2-712E-4B11-BD5D-2AB115DB13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4"/>
        </a:graphicData>
      </a:graphic>
    </xdr:graphicFrame>
    <xdr:clientData fLocksWithSheet="0"/>
  </xdr:twoCellAnchor>
  <xdr:twoCellAnchor>
    <xdr:from>
      <xdr:col>35</xdr:col>
      <xdr:colOff>9525</xdr:colOff>
      <xdr:row>25</xdr:row>
      <xdr:rowOff>85725</xdr:rowOff>
    </xdr:from>
    <xdr:to>
      <xdr:col>45</xdr:col>
      <xdr:colOff>447675</xdr:colOff>
      <xdr:row>50</xdr:row>
      <xdr:rowOff>142875</xdr:rowOff>
    </xdr:to>
    <xdr:graphicFrame>
      <xdr:nvGraphicFramePr>
        <xdr:cNvPr id="1028" name="Chart 4">
          <a:extLst>
            <a:ext xmlns:a="http://schemas.openxmlformats.org/drawingml/2006/main" uri="{FF2B5EF4-FFF2-40B4-BE49-F238E27FC236}">
              <a16:creationId xmlns:a16="http://schemas.microsoft.com/office/drawing/2014/main" id="{DF8BC3AB-D02E-4ACE-91F3-20546A7669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5"/>
        </a:graphicData>
      </a:graphic>
    </xdr:graphicFrame>
    <xdr:clientData/>
  </xdr:twoCellAnchor>
  <xdr:twoCellAnchor>
    <xdr:from>
      <xdr:col>42</xdr:col>
      <xdr:colOff>47625</xdr:colOff>
      <xdr:row>47</xdr:row>
      <xdr:rowOff>142875</xdr:rowOff>
    </xdr:from>
    <xdr:to>
      <xdr:col>45</xdr:col>
      <xdr:colOff>323850</xdr:colOff>
      <xdr:row>48</xdr:row>
      <xdr:rowOff>104775</xdr:rowOff>
    </xdr:to>
    <xdr:sp>
      <xdr:nvSpPr>
        <xdr:cNvPr id="1029" name="Text Box 5">
          <a:extLst>
            <a:ext xmlns:a="http://schemas.openxmlformats.org/drawingml/2006/main" uri="{FF2B5EF4-FFF2-40B4-BE49-F238E27FC236}">
              <a16:creationId xmlns:a16="http://schemas.microsoft.com/office/drawing/2014/main" id="{B93E994B-A6B1-45F6-9772-CFEE0027EF0D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Note: Wage Rates Exclude G&amp;A, Fee, Escalation</a:t>
          </a:r>
        </a:p>
      </xdr:txBody>
    </xdr:sp>
    <xdr:clientData/>
  </xdr:twoCellAnchor>
  <xdr:twoCellAnchor editAs="oneCell">
    <xdr:from>
      <xdr:col>0</xdr:col>
      <xdr:colOff>38100</xdr:colOff>
      <xdr:row>0</xdr:row>
      <xdr:rowOff>0</xdr:rowOff>
    </xdr:from>
    <xdr:to>
      <xdr:col>0</xdr:col>
      <xdr:colOff>723900</xdr:colOff>
      <xdr:row>1</xdr:row>
      <xdr:rowOff>209550</xdr:rowOff>
    </xdr:to>
    <xdr:pic>
      <xdr:nvPicPr>
        <xdr:cNvPr id="1030" name="&lt;#Logo&gt;">
          <a:extLst>
            <a:ext xmlns:a="http://schemas.openxmlformats.org/drawingml/2006/main" uri="{FF2B5EF4-FFF2-40B4-BE49-F238E27FC236}">
              <a16:creationId xmlns:a16="http://schemas.microsoft.com/office/drawing/2014/main" id="{78303E3C-F79F-45BC-9A09-F131719001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0</xdr:row>
      <xdr:rowOff>0</xdr:rowOff>
    </xdr:from>
    <xdr:to>
      <xdr:col>10</xdr:col>
      <xdr:colOff>333375</xdr:colOff>
      <xdr:row>1</xdr:row>
      <xdr:rowOff>209550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9FE03014-3250-44ED-B091-0E24200097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0</xdr:row>
      <xdr:rowOff>0</xdr:rowOff>
    </xdr:from>
    <xdr:to>
      <xdr:col>15</xdr:col>
      <xdr:colOff>333375</xdr:colOff>
      <xdr:row>1</xdr:row>
      <xdr:rowOff>209550</xdr:rowOff>
    </xdr:to>
    <xdr:pic>
      <xdr:nvPicPr>
        <xdr:cNvPr id="1032" name="&lt;#Logo&gt;">
          <a:extLst>
            <a:ext xmlns:a="http://schemas.openxmlformats.org/drawingml/2006/main" uri="{FF2B5EF4-FFF2-40B4-BE49-F238E27FC236}">
              <a16:creationId xmlns:a16="http://schemas.microsoft.com/office/drawing/2014/main" id="{39C33D82-4752-4D4E-979B-9B914F50F0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</xdr:colOff>
      <xdr:row>0</xdr:row>
      <xdr:rowOff>9525</xdr:rowOff>
    </xdr:from>
    <xdr:to>
      <xdr:col>20</xdr:col>
      <xdr:colOff>476250</xdr:colOff>
      <xdr:row>1</xdr:row>
      <xdr:rowOff>219075</xdr:rowOff>
    </xdr:to>
    <xdr:pic>
      <xdr:nvPicPr>
        <xdr:cNvPr id="1033" name="&lt;#Logo&gt;">
          <a:extLst>
            <a:ext xmlns:a="http://schemas.openxmlformats.org/drawingml/2006/main" uri="{FF2B5EF4-FFF2-40B4-BE49-F238E27FC236}">
              <a16:creationId xmlns:a16="http://schemas.microsoft.com/office/drawing/2014/main" id="{09D66E88-DAC8-4E1F-975D-8CC304F581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AR42"/>
  <sheetViews>
    <sheetView showZeros="0" tabSelected="1" topLeftCell="P1" zoomScale="70" zoomScaleNormal="70" workbookViewId="0">
      <selection activeCell="AU26" sqref="AU26"/>
    </sheetView>
  </sheetViews>
  <sheetFormatPr defaultColWidth="9.140625" defaultRowHeight="12.75"/>
  <cols>
    <col min="1" max="1" width="23.42578125" style="1" bestFit="1" customWidth="1"/>
    <col min="2" max="2" width="17.7109375" style="13" customWidth="1"/>
    <col min="3" max="3" width="12.7109375" style="115" customWidth="1"/>
    <col min="4" max="4" width="17.7109375" style="13" customWidth="1"/>
    <col min="5" max="6" width="17.7109375" style="124" customWidth="1"/>
    <col min="7" max="7" width="7.7109375" style="116" customWidth="1"/>
    <col min="8" max="8" width="7.85546875" style="188" customWidth="1"/>
    <col min="9" max="9" width="0.85546875" style="1" customWidth="1"/>
    <col min="10" max="10" width="5.5703125" style="3" bestFit="1" customWidth="1"/>
    <col min="11" max="11" width="27.85546875" style="3" customWidth="1"/>
    <col min="12" max="13" width="17.7109375" style="3" customWidth="1"/>
    <col min="14" max="14" width="0.85546875" style="2" customWidth="1"/>
    <col min="15" max="15" width="5.5703125" style="3" bestFit="1" customWidth="1"/>
    <col min="16" max="16" width="29.5703125" style="3" customWidth="1"/>
    <col min="17" max="17" width="17.7109375" style="93" customWidth="1"/>
    <col min="18" max="18" width="17.7109375" style="3" customWidth="1"/>
    <col min="19" max="19" width="0.85546875" style="3" customWidth="1"/>
    <col min="20" max="20" width="3.28515625" style="82" customWidth="1"/>
    <col min="21" max="21" width="30.140625" style="82" customWidth="1"/>
    <col min="22" max="22" width="15" style="83" customWidth="1"/>
    <col min="23" max="23" width="10" style="82" customWidth="1"/>
    <col min="24" max="24" width="0.85546875" style="1" customWidth="1"/>
    <col min="25" max="44" width="9.140625" style="1" customWidth="1"/>
    <col min="45" max="16384" width="9.140625" style="4"/>
  </cols>
  <sheetData>
    <row r="1" ht="37.5" customHeight="1">
      <c r="A1" s="192" t="s">
        <v>91</v>
      </c>
      <c r="B1" s="193"/>
      <c r="C1" s="193"/>
      <c r="D1" s="193"/>
      <c r="E1" s="193"/>
      <c r="F1" s="193"/>
      <c r="G1" s="193"/>
      <c r="H1" s="194"/>
      <c r="J1" s="192" t="s">
        <v>91</v>
      </c>
      <c r="K1" s="193"/>
      <c r="L1" s="193"/>
      <c r="M1" s="194"/>
      <c r="O1" s="192" t="s">
        <v>91</v>
      </c>
      <c r="P1" s="193"/>
      <c r="Q1" s="193"/>
      <c r="R1" s="194"/>
      <c r="T1" s="192" t="s">
        <v>91</v>
      </c>
      <c r="U1" s="193"/>
      <c r="V1" s="193"/>
      <c r="W1" s="194"/>
    </row>
    <row r="2" ht="37.5" customHeight="1">
      <c r="A2" s="204" t="s">
        <v>86</v>
      </c>
      <c r="B2" s="205"/>
      <c r="C2" s="205"/>
      <c r="D2" s="205"/>
      <c r="E2" s="205"/>
      <c r="F2" s="205"/>
      <c r="G2" s="205"/>
      <c r="H2" s="206"/>
      <c r="J2" s="204" t="s">
        <v>87</v>
      </c>
      <c r="K2" s="205"/>
      <c r="L2" s="205"/>
      <c r="M2" s="206"/>
      <c r="O2" s="204" t="s">
        <v>88</v>
      </c>
      <c r="P2" s="205"/>
      <c r="Q2" s="205"/>
      <c r="R2" s="206"/>
      <c r="T2" s="204" t="s">
        <v>89</v>
      </c>
      <c r="U2" s="205"/>
      <c r="V2" s="205"/>
      <c r="W2" s="206"/>
    </row>
    <row r="3" s="8" customFormat="1" ht="20.25" customHeight="1">
      <c r="A3" s="195" t="s">
        <v>90</v>
      </c>
      <c r="B3" s="196"/>
      <c r="C3" s="196"/>
      <c r="D3" s="196"/>
      <c r="E3" s="196"/>
      <c r="F3" s="196"/>
      <c r="G3" s="196"/>
      <c r="H3" s="197"/>
      <c r="I3" s="5"/>
      <c r="J3" s="198" t="s">
        <v>90</v>
      </c>
      <c r="K3" s="199"/>
      <c r="L3" s="199"/>
      <c r="M3" s="200"/>
      <c r="N3" s="6"/>
      <c r="O3" s="198" t="s">
        <v>90</v>
      </c>
      <c r="P3" s="199"/>
      <c r="Q3" s="199"/>
      <c r="R3" s="200"/>
      <c r="S3" s="7"/>
      <c r="T3" s="201" t="s">
        <v>90</v>
      </c>
      <c r="U3" s="202"/>
      <c r="V3" s="202"/>
      <c r="W3" s="203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ht="15">
      <c r="A4" s="9" t="s">
        <v>0</v>
      </c>
      <c r="B4" s="10" t="s">
        <v>75</v>
      </c>
      <c r="C4" s="11"/>
      <c r="D4" s="12"/>
      <c r="G4" s="14"/>
      <c r="H4" s="125"/>
      <c r="I4" s="5"/>
      <c r="J4" s="207"/>
      <c r="K4" s="207"/>
      <c r="L4" s="207"/>
      <c r="M4" s="207"/>
      <c r="N4" s="6"/>
      <c r="O4" s="208"/>
      <c r="P4" s="208"/>
      <c r="Q4" s="208"/>
      <c r="R4" s="208"/>
      <c r="S4" s="7"/>
      <c r="T4" s="15"/>
      <c r="U4" s="16"/>
      <c r="V4" s="126"/>
      <c r="W4" s="16"/>
    </row>
    <row r="5">
      <c r="A5" s="17" t="s">
        <v>1</v>
      </c>
      <c r="B5" s="18" t="s">
        <v>76</v>
      </c>
      <c r="C5" s="19"/>
      <c r="D5" s="20"/>
      <c r="E5" s="21" t="s">
        <v>2</v>
      </c>
      <c r="F5" s="18" t="s">
        <v>77</v>
      </c>
      <c r="G5" s="22"/>
      <c r="H5" s="127"/>
      <c r="I5" s="23"/>
      <c r="J5" s="128" t="s">
        <v>3</v>
      </c>
      <c r="K5" s="129" t="s">
        <v>4</v>
      </c>
      <c r="L5" s="129" t="s">
        <v>5</v>
      </c>
      <c r="M5" s="130" t="s">
        <v>6</v>
      </c>
      <c r="N5" s="24"/>
      <c r="O5" s="131" t="s">
        <v>3</v>
      </c>
      <c r="P5" s="132" t="s">
        <v>4</v>
      </c>
      <c r="Q5" s="132" t="s">
        <v>5</v>
      </c>
      <c r="R5" s="133" t="s">
        <v>6</v>
      </c>
      <c r="S5" s="134"/>
      <c r="T5" s="135" t="s">
        <v>7</v>
      </c>
      <c r="U5" s="25"/>
      <c r="V5" s="136"/>
      <c r="W5" s="26"/>
      <c r="X5" s="76"/>
    </row>
    <row r="6">
      <c r="A6" s="27" t="s">
        <v>8</v>
      </c>
      <c r="B6" s="18" t="s">
        <v>78</v>
      </c>
      <c r="C6" s="19"/>
      <c r="D6" s="28" t="s">
        <v>9</v>
      </c>
      <c r="E6" s="18" t="s">
        <v>79</v>
      </c>
      <c r="F6" s="28" t="s">
        <v>10</v>
      </c>
      <c r="G6" s="18" t="s">
        <v>79</v>
      </c>
      <c r="H6" s="127"/>
      <c r="I6" s="29"/>
      <c r="J6" s="137" t="s">
        <v>110</v>
      </c>
      <c r="K6" s="138" t="s">
        <v>111</v>
      </c>
      <c r="L6" s="138" t="s">
        <v>112</v>
      </c>
      <c r="M6" s="139" t="s">
        <v>113</v>
      </c>
      <c r="N6" s="30"/>
      <c r="O6" s="137" t="s">
        <v>114</v>
      </c>
      <c r="P6" s="138" t="s">
        <v>115</v>
      </c>
      <c r="Q6" s="138" t="s">
        <v>116</v>
      </c>
      <c r="R6" s="139" t="s">
        <v>117</v>
      </c>
      <c r="S6" s="134"/>
      <c r="T6" s="140" t="s">
        <v>142</v>
      </c>
      <c r="U6" s="141" t="s">
        <v>143</v>
      </c>
      <c r="V6" s="142" t="s">
        <v>144</v>
      </c>
      <c r="W6" s="143" t="s">
        <v>145</v>
      </c>
      <c r="X6" s="5"/>
    </row>
    <row r="7">
      <c r="A7" s="27" t="s">
        <v>11</v>
      </c>
      <c r="B7" s="18" t="s">
        <v>80</v>
      </c>
      <c r="C7" s="19"/>
      <c r="D7" s="28" t="s">
        <v>12</v>
      </c>
      <c r="E7" s="31" t="s">
        <v>81</v>
      </c>
      <c r="F7" s="28" t="s">
        <v>13</v>
      </c>
      <c r="G7" s="18" t="s">
        <v>81</v>
      </c>
      <c r="H7" s="144"/>
      <c r="I7" s="29"/>
      <c r="J7" s="32"/>
      <c r="K7" s="33"/>
      <c r="L7" s="34"/>
      <c r="M7" s="35"/>
      <c r="N7" s="36"/>
      <c r="O7" s="32"/>
      <c r="P7" s="33"/>
      <c r="Q7" s="34"/>
      <c r="R7" s="35"/>
      <c r="S7" s="134"/>
      <c r="V7" s="142"/>
      <c r="W7" s="145" t="str">
        <f>IF( V7="","","per MH")</f>
        <v/>
      </c>
      <c r="X7" s="5"/>
    </row>
    <row r="8">
      <c r="A8" s="131" t="s">
        <v>14</v>
      </c>
      <c r="B8" s="146" t="s">
        <v>15</v>
      </c>
      <c r="C8" s="147" t="s">
        <v>16</v>
      </c>
      <c r="D8" s="146" t="s">
        <v>17</v>
      </c>
      <c r="E8" s="146" t="s">
        <v>18</v>
      </c>
      <c r="F8" s="146" t="s">
        <v>19</v>
      </c>
      <c r="G8" s="209" t="s">
        <v>20</v>
      </c>
      <c r="H8" s="210"/>
      <c r="I8" s="29"/>
      <c r="J8" s="37"/>
      <c r="K8" s="38" t="s">
        <v>21</v>
      </c>
      <c r="L8" s="39">
        <f>SUM(L5:L7)</f>
        <v>0</v>
      </c>
      <c r="M8" s="148">
        <f>SUM(M5:M7)</f>
        <v>0</v>
      </c>
      <c r="N8" s="40"/>
      <c r="O8" s="37"/>
      <c r="P8" s="38" t="s">
        <v>22</v>
      </c>
      <c r="Q8" s="149">
        <f>SUM(Q5:Q7)</f>
        <v>0</v>
      </c>
      <c r="R8" s="148">
        <f>SUM(R5:R7)</f>
        <v>0</v>
      </c>
      <c r="S8" s="134"/>
      <c r="T8" s="56"/>
      <c r="U8" s="56"/>
      <c r="V8" s="57"/>
      <c r="W8" s="58" t="s">
        <v>26</v>
      </c>
      <c r="X8" s="76"/>
    </row>
    <row r="9">
      <c r="A9" s="41" t="s">
        <v>146</v>
      </c>
      <c r="B9" s="42" t="s">
        <v>147</v>
      </c>
      <c r="C9" s="43" t="s">
        <v>148</v>
      </c>
      <c r="D9" s="42" t="s">
        <v>149</v>
      </c>
      <c r="E9" s="42" t="s">
        <v>150</v>
      </c>
      <c r="F9" s="42" t="s">
        <v>151</v>
      </c>
      <c r="G9" s="44">
        <f>IFERROR($F9/$F$11, 0)</f>
        <v>0</v>
      </c>
      <c r="H9" s="150" t="s">
        <v>23</v>
      </c>
      <c r="I9" s="5"/>
      <c r="J9" s="45"/>
      <c r="K9" s="46"/>
      <c r="L9" s="46"/>
      <c r="M9" s="47"/>
      <c r="N9" s="48"/>
      <c r="O9" s="45"/>
      <c r="P9" s="46"/>
      <c r="Q9" s="49"/>
      <c r="R9" s="47"/>
      <c r="S9" s="134"/>
      <c r="T9" s="94"/>
      <c r="U9" s="141"/>
      <c r="V9" s="142"/>
      <c r="W9" s="145" t="str">
        <f>IF( V9="","","per MH")</f>
        <v/>
      </c>
      <c r="X9" s="76"/>
    </row>
    <row r="10">
      <c r="A10" s="41"/>
      <c r="B10" s="42"/>
      <c r="C10" s="43"/>
      <c r="D10" s="42"/>
      <c r="E10" s="42"/>
      <c r="F10" s="42"/>
      <c r="G10" s="50"/>
      <c r="H10" s="151" t="s">
        <v>23</v>
      </c>
      <c r="I10" s="5"/>
      <c r="J10" s="128" t="s">
        <v>3</v>
      </c>
      <c r="K10" s="129" t="s">
        <v>4</v>
      </c>
      <c r="L10" s="129" t="s">
        <v>5</v>
      </c>
      <c r="M10" s="130" t="s">
        <v>6</v>
      </c>
      <c r="N10" s="48"/>
      <c r="O10" s="152" t="s">
        <v>3</v>
      </c>
      <c r="P10" s="153" t="s">
        <v>4</v>
      </c>
      <c r="Q10" s="153" t="s">
        <v>5</v>
      </c>
      <c r="R10" s="154" t="s">
        <v>6</v>
      </c>
      <c r="S10" s="134"/>
      <c r="T10" s="155" t="s">
        <v>33</v>
      </c>
      <c r="U10" s="25"/>
      <c r="V10" s="136"/>
      <c r="W10" s="26"/>
      <c r="X10" s="76"/>
    </row>
    <row r="11">
      <c r="A11" s="59" t="s">
        <v>27</v>
      </c>
      <c r="B11" s="60">
        <f>SUM(B9:B10)</f>
        <v>0</v>
      </c>
      <c r="C11" s="61"/>
      <c r="D11" s="60">
        <f>SUM(D9:D10)</f>
        <v>0</v>
      </c>
      <c r="E11" s="60">
        <f>SUM(E9:E10)</f>
        <v>0</v>
      </c>
      <c r="F11" s="60">
        <f>SUM(F9:F10)</f>
        <v>0</v>
      </c>
      <c r="G11" s="62">
        <f>IFERROR((D11+E11)/F11,0)</f>
        <v>0</v>
      </c>
      <c r="H11" s="156" t="s">
        <v>23</v>
      </c>
      <c r="I11" s="23"/>
      <c r="J11" s="137" t="s">
        <v>118</v>
      </c>
      <c r="K11" s="138" t="s">
        <v>119</v>
      </c>
      <c r="L11" s="138" t="s">
        <v>120</v>
      </c>
      <c r="M11" s="139" t="s">
        <v>121</v>
      </c>
      <c r="N11" s="48"/>
      <c r="O11" s="137" t="s">
        <v>122</v>
      </c>
      <c r="P11" s="138" t="s">
        <v>123</v>
      </c>
      <c r="Q11" s="138" t="s">
        <v>124</v>
      </c>
      <c r="R11" s="157" t="s">
        <v>125</v>
      </c>
      <c r="S11" s="134"/>
      <c r="T11" s="140"/>
      <c r="U11" s="158" t="s">
        <v>34</v>
      </c>
      <c r="V11" s="159">
        <f>IF(B11=0,0,D11/B11)</f>
        <v>0</v>
      </c>
      <c r="W11" s="145">
        <f>IF( V11=0,0,"per MH")</f>
        <v>0</v>
      </c>
      <c r="X11" s="76"/>
    </row>
    <row r="12">
      <c r="A12" s="63"/>
      <c r="B12" s="64" t="s">
        <v>28</v>
      </c>
      <c r="C12" s="65"/>
      <c r="D12" s="64" t="s">
        <v>29</v>
      </c>
      <c r="E12" s="64" t="s">
        <v>30</v>
      </c>
      <c r="F12" s="64" t="s">
        <v>31</v>
      </c>
      <c r="G12" s="66"/>
      <c r="H12" s="160"/>
      <c r="I12" s="29"/>
      <c r="J12" s="32"/>
      <c r="K12" s="33"/>
      <c r="L12" s="34"/>
      <c r="M12" s="35"/>
      <c r="N12" s="24"/>
      <c r="O12" s="32"/>
      <c r="P12" s="33"/>
      <c r="Q12" s="34"/>
      <c r="R12" s="35"/>
      <c r="S12" s="134"/>
      <c r="T12" s="161" t="s">
        <v>126</v>
      </c>
      <c r="U12" s="162" t="s">
        <v>127</v>
      </c>
      <c r="V12" s="163" t="s">
        <v>128</v>
      </c>
      <c r="W12" s="145" t="s">
        <v>129</v>
      </c>
      <c r="X12" s="76"/>
    </row>
    <row r="13">
      <c r="A13" s="63"/>
      <c r="B13" s="49"/>
      <c r="C13" s="68"/>
      <c r="D13" s="49"/>
      <c r="E13" s="164"/>
      <c r="F13" s="164"/>
      <c r="G13" s="66"/>
      <c r="H13" s="160"/>
      <c r="I13" s="29"/>
      <c r="J13" s="37"/>
      <c r="K13" s="38" t="s">
        <v>24</v>
      </c>
      <c r="L13" s="39">
        <f>SUM(L10:L12)</f>
        <v>0</v>
      </c>
      <c r="M13" s="148">
        <f>SUM(M10:M12)</f>
        <v>0</v>
      </c>
      <c r="N13" s="6"/>
      <c r="O13" s="51"/>
      <c r="P13" s="52" t="s">
        <v>25</v>
      </c>
      <c r="Q13" s="149">
        <f>SUM(Q10:Q12)</f>
        <v>0</v>
      </c>
      <c r="R13" s="148">
        <f>SUM(R10:R12)</f>
        <v>0</v>
      </c>
      <c r="S13" s="134"/>
      <c r="T13" s="161"/>
      <c r="U13" s="165"/>
      <c r="V13" s="163"/>
      <c r="W13" s="166">
        <f>IF( V13=0,0,"per MH")</f>
        <v>0</v>
      </c>
      <c r="X13" s="76"/>
    </row>
    <row r="14">
      <c r="A14" s="59" t="s">
        <v>35</v>
      </c>
      <c r="B14" s="60">
        <f>L8+L13</f>
        <v>0</v>
      </c>
      <c r="C14" s="69"/>
      <c r="D14" s="70"/>
      <c r="E14" s="70"/>
      <c r="F14" s="60">
        <f>M8+M13</f>
        <v>0</v>
      </c>
      <c r="G14" s="71">
        <f>IFERROR(F14/D11,0)</f>
        <v>0</v>
      </c>
      <c r="H14" s="167">
        <f>IF(G14=0,0,"of TDL")</f>
        <v>0</v>
      </c>
      <c r="I14" s="29"/>
      <c r="J14" s="36"/>
      <c r="K14" s="36"/>
      <c r="L14" s="36"/>
      <c r="M14" s="36"/>
      <c r="N14" s="53"/>
      <c r="O14" s="45"/>
      <c r="P14" s="54"/>
      <c r="Q14" s="46"/>
      <c r="R14" s="47"/>
      <c r="S14" s="134"/>
      <c r="T14" s="161"/>
      <c r="U14" s="165" t="s">
        <v>38</v>
      </c>
      <c r="V14" s="159">
        <f>IF(OR(M8=0,B11=0),0,M8/B11)</f>
        <v>0</v>
      </c>
      <c r="W14" s="166">
        <f>IF( V14=0,0,"per MH")</f>
        <v>0</v>
      </c>
      <c r="X14" s="76"/>
    </row>
    <row r="15">
      <c r="A15" s="63"/>
      <c r="B15" s="64" t="s">
        <v>36</v>
      </c>
      <c r="C15" s="65"/>
      <c r="D15" s="49"/>
      <c r="E15" s="164"/>
      <c r="F15" s="64" t="s">
        <v>37</v>
      </c>
      <c r="G15" s="72"/>
      <c r="H15" s="168"/>
      <c r="I15" s="29"/>
      <c r="J15" s="36"/>
      <c r="K15" s="36"/>
      <c r="L15" s="36"/>
      <c r="M15" s="36"/>
      <c r="N15" s="48"/>
      <c r="O15" s="152" t="s">
        <v>3</v>
      </c>
      <c r="P15" s="153" t="s">
        <v>4</v>
      </c>
      <c r="Q15" s="153" t="s">
        <v>5</v>
      </c>
      <c r="R15" s="154" t="s">
        <v>6</v>
      </c>
      <c r="S15" s="134"/>
      <c r="T15" s="161"/>
      <c r="U15" s="169" t="s">
        <v>40</v>
      </c>
      <c r="V15" s="170">
        <f>SUM(V11:V14)</f>
        <v>0</v>
      </c>
      <c r="W15" s="166">
        <f>IF( V15=0,0,"per MH")</f>
        <v>0</v>
      </c>
      <c r="X15" s="76"/>
    </row>
    <row r="16">
      <c r="A16" s="74"/>
      <c r="B16" s="49"/>
      <c r="C16" s="68"/>
      <c r="D16" s="49"/>
      <c r="E16" s="164"/>
      <c r="F16" s="164"/>
      <c r="G16" s="72"/>
      <c r="H16" s="168"/>
      <c r="I16" s="29"/>
      <c r="J16" s="36"/>
      <c r="K16" s="29"/>
      <c r="L16" s="36"/>
      <c r="M16" s="36"/>
      <c r="N16" s="48"/>
      <c r="O16" s="137" t="s">
        <v>130</v>
      </c>
      <c r="P16" s="138" t="s">
        <v>131</v>
      </c>
      <c r="Q16" s="138" t="s">
        <v>132</v>
      </c>
      <c r="R16" s="139" t="s">
        <v>133</v>
      </c>
      <c r="S16" s="134"/>
      <c r="T16" s="55"/>
      <c r="U16" s="56"/>
      <c r="V16" s="57"/>
      <c r="W16" s="58" t="s">
        <v>43</v>
      </c>
      <c r="X16" s="76"/>
    </row>
    <row r="17">
      <c r="A17" s="76"/>
      <c r="B17" s="77"/>
      <c r="C17" s="78"/>
      <c r="D17" s="77"/>
      <c r="E17" s="171"/>
      <c r="F17" s="171"/>
      <c r="G17" s="79"/>
      <c r="H17" s="172"/>
      <c r="I17" s="29"/>
      <c r="J17" s="36"/>
      <c r="K17" s="36"/>
      <c r="L17" s="36"/>
      <c r="M17" s="36"/>
      <c r="N17" s="48"/>
      <c r="O17" s="32"/>
      <c r="P17" s="33"/>
      <c r="Q17" s="34"/>
      <c r="R17" s="35"/>
      <c r="S17" s="63"/>
      <c r="T17" s="94"/>
      <c r="U17" s="94"/>
      <c r="V17" s="163"/>
      <c r="W17" s="94"/>
      <c r="X17" s="5"/>
    </row>
    <row r="18">
      <c r="A18" s="59" t="s">
        <v>41</v>
      </c>
      <c r="B18" s="60">
        <f>B14+B11</f>
        <v>0</v>
      </c>
      <c r="C18" s="80"/>
      <c r="D18" s="81"/>
      <c r="E18" s="173"/>
      <c r="F18" s="60">
        <f>F14+F11</f>
        <v>0</v>
      </c>
      <c r="G18" s="71">
        <f>IFERROR(F18/F30,0)</f>
        <v>0</v>
      </c>
      <c r="H18" s="167" t="s">
        <v>42</v>
      </c>
      <c r="I18" s="29"/>
      <c r="J18" s="36"/>
      <c r="K18" s="36"/>
      <c r="L18" s="36"/>
      <c r="M18" s="36"/>
      <c r="N18" s="48"/>
      <c r="O18" s="67"/>
      <c r="P18" s="38" t="s">
        <v>32</v>
      </c>
      <c r="Q18" s="149">
        <f>SUM(Q15:Q17)</f>
        <v>0</v>
      </c>
      <c r="R18" s="148">
        <f>SUM(R15:R17)</f>
        <v>0</v>
      </c>
      <c r="S18" s="7"/>
      <c r="T18" s="94"/>
      <c r="U18" s="94"/>
      <c r="V18" s="163"/>
      <c r="W18" s="94"/>
    </row>
    <row r="19">
      <c r="A19" s="63"/>
      <c r="B19" s="64" t="s">
        <v>44</v>
      </c>
      <c r="C19" s="65"/>
      <c r="D19" s="49"/>
      <c r="E19" s="164"/>
      <c r="F19" s="64" t="s">
        <v>45</v>
      </c>
      <c r="G19" s="72"/>
      <c r="H19" s="168"/>
      <c r="I19" s="29"/>
      <c r="J19" s="36"/>
      <c r="K19" s="36"/>
      <c r="L19" s="36"/>
      <c r="M19" s="36"/>
      <c r="N19" s="48"/>
      <c r="O19" s="45"/>
      <c r="P19" s="54"/>
      <c r="Q19" s="46"/>
      <c r="R19" s="47"/>
      <c r="S19" s="63"/>
      <c r="T19" s="94"/>
      <c r="W19" s="94"/>
      <c r="X19" s="5"/>
    </row>
    <row r="20">
      <c r="A20" s="63"/>
      <c r="B20" s="49"/>
      <c r="C20" s="68"/>
      <c r="D20" s="49"/>
      <c r="E20" s="164"/>
      <c r="F20" s="164"/>
      <c r="G20" s="72"/>
      <c r="H20" s="168"/>
      <c r="I20" s="29"/>
      <c r="J20" s="36"/>
      <c r="K20" s="36"/>
      <c r="L20" s="36"/>
      <c r="M20" s="36"/>
      <c r="N20" s="48"/>
      <c r="O20" s="152" t="s">
        <v>3</v>
      </c>
      <c r="P20" s="153" t="s">
        <v>4</v>
      </c>
      <c r="Q20" s="153" t="s">
        <v>5</v>
      </c>
      <c r="R20" s="154" t="s">
        <v>6</v>
      </c>
      <c r="S20" s="63"/>
      <c r="T20" s="94"/>
      <c r="W20" s="94"/>
      <c r="X20" s="5"/>
    </row>
    <row r="21">
      <c r="A21" s="63"/>
      <c r="B21" s="49"/>
      <c r="C21" s="68"/>
      <c r="D21" s="49"/>
      <c r="E21" s="164"/>
      <c r="F21" s="164"/>
      <c r="G21" s="72"/>
      <c r="H21" s="168"/>
      <c r="I21" s="29"/>
      <c r="J21" s="7"/>
      <c r="K21" s="7"/>
      <c r="L21" s="7"/>
      <c r="M21" s="7"/>
      <c r="N21" s="73"/>
      <c r="O21" s="137" t="s">
        <v>134</v>
      </c>
      <c r="P21" s="138" t="s">
        <v>135</v>
      </c>
      <c r="Q21" s="138" t="s">
        <v>136</v>
      </c>
      <c r="R21" s="139" t="s">
        <v>137</v>
      </c>
      <c r="S21" s="134"/>
      <c r="W21" s="94"/>
      <c r="X21" s="5"/>
    </row>
    <row r="22">
      <c r="A22" s="84" t="s">
        <v>46</v>
      </c>
      <c r="B22" s="85"/>
      <c r="C22" s="86"/>
      <c r="D22" s="174"/>
      <c r="E22" s="175"/>
      <c r="F22" s="85">
        <f>R8</f>
        <v>0</v>
      </c>
      <c r="G22" s="87">
        <f>IF(F22=0,0,F22/E11)</f>
        <v>0</v>
      </c>
      <c r="H22" s="176">
        <f>IF(G22=0,0,"of TDM")</f>
        <v>0</v>
      </c>
      <c r="I22" s="29"/>
      <c r="N22" s="75"/>
      <c r="O22" s="32"/>
      <c r="P22" s="33"/>
      <c r="Q22" s="34"/>
      <c r="R22" s="35"/>
      <c r="S22" s="63"/>
      <c r="T22" s="94"/>
      <c r="W22" s="94"/>
      <c r="X22" s="5"/>
    </row>
    <row r="23">
      <c r="A23" s="89" t="s">
        <v>48</v>
      </c>
      <c r="B23" s="90"/>
      <c r="C23" s="91"/>
      <c r="D23" s="177"/>
      <c r="E23" s="178"/>
      <c r="F23" s="90">
        <f>R13</f>
        <v>0</v>
      </c>
      <c r="G23" s="92">
        <f>IF(F23=0,0,F23/F11)</f>
        <v>0</v>
      </c>
      <c r="H23" s="179">
        <f>IF(G23=0,0,"of TDC")</f>
        <v>0</v>
      </c>
      <c r="I23" s="29"/>
      <c r="N23" s="73"/>
      <c r="O23" s="37"/>
      <c r="P23" s="38" t="s">
        <v>39</v>
      </c>
      <c r="Q23" s="149">
        <f>SUM(Q20:Q22)</f>
        <v>0</v>
      </c>
      <c r="R23" s="148">
        <f>SUM(R20:R22)</f>
        <v>0</v>
      </c>
      <c r="S23" s="63"/>
      <c r="T23" s="94"/>
      <c r="W23" s="94"/>
      <c r="X23" s="5"/>
    </row>
    <row r="24">
      <c r="A24" s="89" t="s">
        <v>49</v>
      </c>
      <c r="B24" s="90">
        <f>Q18</f>
        <v>0</v>
      </c>
      <c r="C24" s="91"/>
      <c r="D24" s="177"/>
      <c r="E24" s="178"/>
      <c r="F24" s="90">
        <f>R18</f>
        <v>0</v>
      </c>
      <c r="G24" s="92">
        <f>IF(F24=0,0,F24/F30)</f>
        <v>0</v>
      </c>
      <c r="H24" s="179">
        <f>IF(G24=0,0,"of TIC")</f>
        <v>0</v>
      </c>
      <c r="I24" s="29"/>
      <c r="N24" s="48"/>
      <c r="O24" s="45"/>
      <c r="P24" s="54"/>
      <c r="Q24" s="46"/>
      <c r="R24" s="47"/>
      <c r="S24" s="7"/>
      <c r="T24" s="94"/>
    </row>
    <row r="25">
      <c r="A25" s="89" t="s">
        <v>50</v>
      </c>
      <c r="B25" s="90"/>
      <c r="C25" s="91"/>
      <c r="D25" s="177"/>
      <c r="E25" s="178"/>
      <c r="F25" s="90">
        <f>R23</f>
        <v>0</v>
      </c>
      <c r="G25" s="92">
        <f>IF(F25=0,0,F25/F30)</f>
        <v>0</v>
      </c>
      <c r="H25" s="179">
        <f>IF(G25=0,0,"of TIC")</f>
        <v>0</v>
      </c>
      <c r="I25" s="29"/>
      <c r="N25" s="48"/>
      <c r="O25" s="152" t="s">
        <v>3</v>
      </c>
      <c r="P25" s="153" t="s">
        <v>4</v>
      </c>
      <c r="Q25" s="153" t="s">
        <v>5</v>
      </c>
      <c r="R25" s="154" t="s">
        <v>6</v>
      </c>
      <c r="S25" s="7"/>
    </row>
    <row r="26">
      <c r="A26" s="97" t="s">
        <v>51</v>
      </c>
      <c r="B26" s="98"/>
      <c r="C26" s="99"/>
      <c r="D26" s="180"/>
      <c r="E26" s="181"/>
      <c r="F26" s="98">
        <f>R28</f>
        <v>0</v>
      </c>
      <c r="G26" s="100">
        <f>IF(F26=0,0,F26/F30)</f>
        <v>0</v>
      </c>
      <c r="H26" s="179">
        <f>IF(G26=0,0,"of TIC")</f>
        <v>0</v>
      </c>
      <c r="I26" s="29"/>
      <c r="N26" s="48"/>
      <c r="O26" s="137" t="s">
        <v>138</v>
      </c>
      <c r="P26" s="138" t="s">
        <v>139</v>
      </c>
      <c r="Q26" s="138" t="s">
        <v>140</v>
      </c>
      <c r="R26" s="139" t="s">
        <v>141</v>
      </c>
      <c r="S26" s="7"/>
    </row>
    <row r="27">
      <c r="A27" s="59" t="s">
        <v>52</v>
      </c>
      <c r="B27" s="60">
        <f>B24</f>
        <v>0</v>
      </c>
      <c r="C27" s="80"/>
      <c r="D27" s="70"/>
      <c r="E27" s="101"/>
      <c r="F27" s="60">
        <f>F26+F25+F24+F23+F22</f>
        <v>0</v>
      </c>
      <c r="G27" s="71">
        <f>IFERROR(F27/F30,0)</f>
        <v>0</v>
      </c>
      <c r="H27" s="167">
        <f>IF(G27=0,0,"of TIC")</f>
        <v>0</v>
      </c>
      <c r="I27" s="29"/>
      <c r="N27" s="48"/>
      <c r="O27" s="32"/>
      <c r="P27" s="33"/>
      <c r="Q27" s="34"/>
      <c r="R27" s="35"/>
      <c r="S27" s="7"/>
    </row>
    <row r="28">
      <c r="A28" s="103"/>
      <c r="B28" s="104" t="s">
        <v>53</v>
      </c>
      <c r="C28" s="105"/>
      <c r="D28" s="182"/>
      <c r="E28" s="182"/>
      <c r="F28" s="182"/>
      <c r="G28" s="106"/>
      <c r="H28" s="183"/>
      <c r="I28" s="5"/>
      <c r="N28" s="48"/>
      <c r="O28" s="88"/>
      <c r="P28" s="38" t="s">
        <v>47</v>
      </c>
      <c r="Q28" s="184">
        <f>SUM(Q25:Q27)</f>
        <v>0</v>
      </c>
      <c r="R28" s="148">
        <f>SUM(R25:R27)</f>
        <v>0</v>
      </c>
      <c r="S28" s="7"/>
    </row>
    <row r="29">
      <c r="A29" s="107"/>
      <c r="B29" s="108"/>
      <c r="C29" s="109"/>
      <c r="D29" s="185"/>
      <c r="E29" s="185"/>
      <c r="F29" s="185"/>
      <c r="G29" s="110"/>
      <c r="H29" s="186"/>
      <c r="I29" s="5"/>
      <c r="N29" s="48"/>
      <c r="S29" s="7"/>
    </row>
    <row r="30">
      <c r="A30" s="59" t="s">
        <v>54</v>
      </c>
      <c r="B30" s="111"/>
      <c r="C30" s="112"/>
      <c r="D30" s="70"/>
      <c r="E30" s="70"/>
      <c r="F30" s="60">
        <f>F18+F27</f>
        <v>0</v>
      </c>
      <c r="G30" s="71">
        <f>IFERROR(F30/F11,0)</f>
        <v>0</v>
      </c>
      <c r="H30" s="167" t="s">
        <v>23</v>
      </c>
      <c r="I30" s="23"/>
      <c r="N30" s="48"/>
      <c r="S30" s="7"/>
      <c r="T30" s="94"/>
    </row>
    <row r="31">
      <c r="A31" s="107"/>
      <c r="B31" s="108"/>
      <c r="C31" s="109"/>
      <c r="D31" s="108"/>
      <c r="E31" s="185"/>
      <c r="F31" s="113" t="s">
        <v>55</v>
      </c>
      <c r="G31" s="114"/>
      <c r="H31" s="187"/>
      <c r="I31" s="95"/>
      <c r="N31" s="96"/>
      <c r="S31" s="7"/>
      <c r="T31" s="94"/>
    </row>
    <row r="32">
      <c r="I32" s="95"/>
      <c r="N32" s="6"/>
      <c r="S32" s="7"/>
    </row>
    <row r="33">
      <c r="I33" s="102"/>
      <c r="N33" s="53"/>
      <c r="S33" s="7"/>
    </row>
    <row r="34">
      <c r="I34" s="95"/>
      <c r="N34" s="48"/>
      <c r="S34" s="7"/>
      <c r="X34" s="5"/>
    </row>
    <row r="35">
      <c r="A35" s="3"/>
      <c r="I35" s="95"/>
      <c r="N35" s="48"/>
      <c r="S35" s="7"/>
      <c r="X35" s="5"/>
    </row>
    <row r="36">
      <c r="I36" s="95"/>
      <c r="N36" s="48"/>
      <c r="S36" s="7"/>
      <c r="X36" s="5"/>
    </row>
    <row r="37">
      <c r="N37" s="48"/>
      <c r="S37" s="7"/>
    </row>
    <row r="38">
      <c r="N38" s="75"/>
      <c r="S38" s="7"/>
    </row>
    <row r="39">
      <c r="I39" s="5"/>
      <c r="N39" s="75"/>
      <c r="S39" s="7"/>
    </row>
    <row r="40">
      <c r="N40" s="6"/>
      <c r="S40" s="7"/>
    </row>
    <row r="41">
      <c r="N41" s="30"/>
      <c r="S41" s="7"/>
    </row>
    <row r="42">
      <c r="N42" s="6"/>
      <c r="S42" s="7"/>
    </row>
  </sheetData>
  <mergeCells>
    <mergeCell ref="J4:M4"/>
    <mergeCell ref="O4:R4"/>
    <mergeCell ref="G8:H8"/>
    <mergeCell ref="A1:H1"/>
    <mergeCell ref="J1:M1"/>
    <mergeCell ref="O1:R1"/>
    <mergeCell ref="T1:W1"/>
    <mergeCell ref="A3:H3"/>
    <mergeCell ref="J3:M3"/>
    <mergeCell ref="O3:R3"/>
    <mergeCell ref="T3:W3"/>
    <mergeCell ref="A2:H2"/>
    <mergeCell ref="J2:M2"/>
    <mergeCell ref="O2:R2"/>
    <mergeCell ref="T2:W2"/>
  </mergeCells>
  <printOptions horizontalCentered="1"/>
  <pageMargins left="0.18" right="0.2" top="0.83" bottom="0.75" header="0.5" footer="0.5"/>
  <pageSetup scale="85" orientation="portrait" horizontalDpi="300" verticalDpi="300" r:id="flId1"/>
  <headerFooter alignWithMargins="0">
    <oddFooter>&amp;L&amp;8Page &amp;P of &amp;N&amp;R&amp;8Report Printed At
&amp;T &amp;D</oddFooter>
  </headerFooter>
  <colBreaks count="5" manualBreakCount="5">
    <brk man="1" id="9" max="1048575"/>
    <brk man="1" id="14" max="1048575"/>
    <brk man="1" id="19" max="1048575"/>
    <brk man="1" id="24" max="1048575"/>
    <brk man="1" id="34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21"/>
  <sheetViews>
    <sheetView topLeftCell="A1" workbookViewId="0">
      <selection activeCell="C12" sqref="C12"/>
    </sheetView>
  </sheetViews>
  <sheetFormatPr defaultColWidth="9.140625" defaultRowHeight="15"/>
  <cols>
    <col min="1" max="1" width="33.5703125" style="118" bestFit="1" customWidth="1"/>
    <col min="2" max="2" width="45.7109375" style="118" customWidth="1"/>
    <col min="3" max="3" width="23.7109375" style="118" customWidth="1"/>
    <col min="4" max="4" width="35.5703125" style="118" bestFit="1" customWidth="1"/>
    <col min="5" max="7" width="2.7109375" style="118" customWidth="1"/>
    <col min="8" max="8" width="40" style="118" bestFit="1" customWidth="1"/>
    <col min="9" max="9" width="10.85546875" style="118" bestFit="1" customWidth="1"/>
    <col min="10" max="12" width="2.7109375" style="118" customWidth="1"/>
    <col min="13" max="13" width="13.85546875" style="118" customWidth="1"/>
    <col min="14" max="14" width="10.5703125" style="118" bestFit="1" customWidth="1"/>
    <col min="15" max="16384" width="9.140625" style="118"/>
  </cols>
  <sheetData>
    <row r="3">
      <c r="A3" s="117" t="s">
        <v>56</v>
      </c>
    </row>
    <row r="4">
      <c r="A4" s="117" t="s">
        <v>57</v>
      </c>
    </row>
    <row r="5">
      <c r="A5" s="117" t="s">
        <v>58</v>
      </c>
    </row>
    <row r="8">
      <c r="A8" s="119" t="s">
        <v>59</v>
      </c>
      <c r="B8" s="119"/>
      <c r="C8" s="119"/>
      <c r="D8" s="119"/>
      <c r="H8" s="119" t="s">
        <v>60</v>
      </c>
      <c r="I8" s="119"/>
      <c r="M8" s="119" t="s">
        <v>61</v>
      </c>
      <c r="N8" s="119"/>
    </row>
    <row r="9">
      <c r="A9" s="120" t="s">
        <v>62</v>
      </c>
      <c r="B9" s="120" t="s">
        <v>63</v>
      </c>
      <c r="C9" s="120" t="s">
        <v>64</v>
      </c>
      <c r="D9" s="120" t="s">
        <v>65</v>
      </c>
      <c r="H9" s="120" t="s">
        <v>66</v>
      </c>
      <c r="I9" s="120" t="s">
        <v>67</v>
      </c>
      <c r="M9" s="120" t="s">
        <v>68</v>
      </c>
      <c r="N9" s="120" t="s">
        <v>69</v>
      </c>
    </row>
    <row r="10">
      <c r="A10" t="s">
        <v>152</v>
      </c>
      <c r="B10" t="s">
        <v>153</v>
      </c>
      <c r="C10"/>
      <c r="D10" t="s">
        <v>82</v>
      </c>
      <c r="H10" s="121" t="s">
        <v>70</v>
      </c>
      <c r="I10" s="122">
        <v>1234.56</v>
      </c>
    </row>
    <row r="11">
      <c r="A11" t="s">
        <v>152</v>
      </c>
      <c r="B11" t="s">
        <v>153</v>
      </c>
      <c r="C11"/>
      <c r="D11" t="s">
        <v>82</v>
      </c>
      <c r="H11" s="121" t="s">
        <v>71</v>
      </c>
      <c r="I11" s="123" t="s">
        <v>72</v>
      </c>
    </row>
    <row r="12">
      <c r="A12" t="s">
        <v>152</v>
      </c>
      <c r="B12" t="s">
        <v>153</v>
      </c>
      <c r="C12"/>
      <c r="D12" t="s">
        <v>82</v>
      </c>
      <c r="H12" s="121" t="s">
        <v>73</v>
      </c>
      <c r="I12" s="123" t="s">
        <v>72</v>
      </c>
    </row>
    <row r="13">
      <c r="A13" s="121" t="s">
        <v>92</v>
      </c>
      <c r="B13" s="191" t="s">
        <v>93</v>
      </c>
      <c r="D13" s="121" t="s">
        <v>83</v>
      </c>
      <c r="H13" s="121" t="s">
        <v>74</v>
      </c>
      <c r="I13" s="122">
        <v>1234.56</v>
      </c>
    </row>
    <row r="14">
      <c r="A14" s="121" t="s">
        <v>94</v>
      </c>
      <c r="B14" s="118" t="s">
        <v>95</v>
      </c>
      <c r="D14" s="121" t="s">
        <v>83</v>
      </c>
      <c r="H14" s="121" t="s">
        <v>84</v>
      </c>
      <c r="I14" s="189"/>
    </row>
    <row r="15">
      <c r="A15" s="118" t="s">
        <v>96</v>
      </c>
      <c r="B15" s="118" t="s">
        <v>97</v>
      </c>
      <c r="D15" s="121" t="s">
        <v>83</v>
      </c>
      <c r="G15" s="121"/>
      <c r="H15" s="121" t="s">
        <v>85</v>
      </c>
      <c r="I15" s="190"/>
    </row>
    <row r="16">
      <c r="A16" s="118" t="s">
        <v>98</v>
      </c>
      <c r="B16" s="118" t="s">
        <v>99</v>
      </c>
      <c r="D16" s="121" t="s">
        <v>83</v>
      </c>
    </row>
    <row r="17">
      <c r="A17" s="118" t="s">
        <v>100</v>
      </c>
      <c r="B17" s="118" t="s">
        <v>101</v>
      </c>
      <c r="D17" s="121" t="s">
        <v>83</v>
      </c>
    </row>
    <row r="18">
      <c r="A18" s="118" t="s">
        <v>102</v>
      </c>
      <c r="B18" s="118" t="s">
        <v>103</v>
      </c>
      <c r="D18" s="121" t="s">
        <v>83</v>
      </c>
    </row>
    <row r="19">
      <c r="A19" s="118" t="s">
        <v>104</v>
      </c>
      <c r="B19" s="118" t="s">
        <v>105</v>
      </c>
      <c r="D19" s="121" t="s">
        <v>83</v>
      </c>
    </row>
    <row r="20">
      <c r="A20" s="118" t="s">
        <v>106</v>
      </c>
      <c r="B20" s="118" t="s">
        <v>107</v>
      </c>
    </row>
    <row r="21">
      <c r="A21" s="118" t="s">
        <v>108</v>
      </c>
      <c r="B21" s="118" t="s">
        <v>109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 Cost Sumry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2023-09-29T17:02:06Z</dcterms:created>
  <dcterms:modified xsi:type="dcterms:W3CDTF">2023-09-29T17:02:06Z</dcterms:modified>
</cp:coreProperties>
</file>