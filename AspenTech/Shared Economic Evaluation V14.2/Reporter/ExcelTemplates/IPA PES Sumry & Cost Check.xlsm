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activeTab="1" xWindow="0" yWindow="0" windowWidth="28800" windowHeight="11910"/>
  </bookViews>
  <sheets>
    <sheet name="IPA Detail Cost" sheetId="2" r:id="flId1"/>
    <sheet name="IPA PES Sumry &amp; Cost Check" sheetId="1" r:id="flId2"/>
    <sheet name="&lt;#Config&gt;" sheetId="3" r:id="flId3"/>
  </sheets>
  <externalReferences>
    <externalReference r:id="flId8"/>
    <externalReference r:id="flId9"/>
    <externalReference r:id="flId10"/>
  </externalReferences>
  <definedNames>
    <definedName name="_0_IPA_PESSummary">'IPA PES Sumry &amp; Cost Check'!$F$4</definedName>
    <definedName name="ccceh" localSheetId="2">'[1]IPA Detail Cost'!$J$62</definedName>
    <definedName name="ccceh">'IPA Detail Cost'!$J$62</definedName>
    <definedName name="cccel" localSheetId="2">'[1]IPA Detail Cost'!$K$62</definedName>
    <definedName name="cccel">'IPA Detail Cost'!$K$62</definedName>
    <definedName name="cccem" localSheetId="2">'[1]IPA Detail Cost'!$L$62</definedName>
    <definedName name="cccem">'IPA Detail Cost'!$L$62</definedName>
    <definedName name="cccet" localSheetId="2">'[1]IPA Detail Cost'!$M$62</definedName>
    <definedName name="cccet">'IPA Detail Cost'!$M$62</definedName>
    <definedName name="cccmh" localSheetId="2">'[1]IPA Detail Cost'!$J$61</definedName>
    <definedName name="cccmh">'IPA Detail Cost'!$J$61</definedName>
    <definedName name="cccml" localSheetId="2">'[1]IPA Detail Cost'!$K$61</definedName>
    <definedName name="cccml">'IPA Detail Cost'!$K$61</definedName>
    <definedName name="cccmm" localSheetId="2">'[1]IPA Detail Cost'!$L$61</definedName>
    <definedName name="cccmm">'IPA Detail Cost'!$L$61</definedName>
    <definedName name="cccmt" localSheetId="2">'[1]IPA Detail Cost'!$M$61</definedName>
    <definedName name="cccmt">'IPA Detail Cost'!$M$61</definedName>
    <definedName name="cctfh" localSheetId="2">'[1]IPA Detail Cost'!$J$63</definedName>
    <definedName name="cctfh">'IPA Detail Cost'!$J$63</definedName>
    <definedName name="cctfl" localSheetId="2">'[1]IPA Detail Cost'!$K$63</definedName>
    <definedName name="cctfl">'IPA Detail Cost'!$K$63</definedName>
    <definedName name="cctfm" localSheetId="2">'[1]IPA Detail Cost'!$L$63</definedName>
    <definedName name="cctfm">'IPA Detail Cost'!$L$63</definedName>
    <definedName name="cctft" localSheetId="2">'[1]IPA Detail Cost'!$M$63</definedName>
    <definedName name="cctft">'IPA Detail Cost'!$M$63</definedName>
    <definedName name="cctth" localSheetId="2">'[1]IPA Detail Cost'!$J$64</definedName>
    <definedName name="cctth">'IPA Detail Cost'!$J$64</definedName>
    <definedName name="ccttt" localSheetId="2">'[1]IPA Detail Cost'!$M$64</definedName>
    <definedName name="ccttt">'IPA Detail Cost'!$M$64</definedName>
    <definedName name="coceh" localSheetId="2">'[1]IPA Detail Cost'!$F$62</definedName>
    <definedName name="coceh">'IPA Detail Cost'!$F$62</definedName>
    <definedName name="cocel" localSheetId="2">'[1]IPA Detail Cost'!$G$62</definedName>
    <definedName name="cocel">'IPA Detail Cost'!$G$62</definedName>
    <definedName name="cocem" localSheetId="2">'[1]IPA Detail Cost'!$H$62</definedName>
    <definedName name="cocem">'IPA Detail Cost'!$H$62</definedName>
    <definedName name="cocet" localSheetId="2">'[1]IPA Detail Cost'!$I$62</definedName>
    <definedName name="cocet">'IPA Detail Cost'!$I$62</definedName>
    <definedName name="cocmh" localSheetId="2">'[1]IPA Detail Cost'!$F$61</definedName>
    <definedName name="cocmh">'IPA Detail Cost'!$F$61</definedName>
    <definedName name="cocml" localSheetId="2">'[1]IPA Detail Cost'!$G$61</definedName>
    <definedName name="cocml">'IPA Detail Cost'!$G$61</definedName>
    <definedName name="cocmm" localSheetId="2">'[1]IPA Detail Cost'!$H$61</definedName>
    <definedName name="cocmm">'IPA Detail Cost'!$H$61</definedName>
    <definedName name="cocmt" localSheetId="2">'[1]IPA Detail Cost'!$I$61</definedName>
    <definedName name="cocmt">'IPA Detail Cost'!$I$61</definedName>
    <definedName name="cotfh" localSheetId="2">'[1]IPA Detail Cost'!$F$63</definedName>
    <definedName name="cotfh">'IPA Detail Cost'!$F$63</definedName>
    <definedName name="cotfl" localSheetId="2">'[1]IPA Detail Cost'!$G$63</definedName>
    <definedName name="cotfl">'IPA Detail Cost'!$G$63</definedName>
    <definedName name="cotfm" localSheetId="2">'[1]IPA Detail Cost'!$H$63</definedName>
    <definedName name="cotfm">'IPA Detail Cost'!$H$63</definedName>
    <definedName name="cotft" localSheetId="2">'[1]IPA Detail Cost'!$I$63</definedName>
    <definedName name="cotft">'IPA Detail Cost'!$I$63</definedName>
    <definedName name="cotth" localSheetId="2">'[1]IPA Detail Cost'!$F$64</definedName>
    <definedName name="cotth">'IPA Detail Cost'!$F$64</definedName>
    <definedName name="cottt" localSheetId="2">'[1]IPA Detail Cost'!$I$64</definedName>
    <definedName name="cottt">'IPA Detail Cost'!$I$64</definedName>
    <definedName name="ctth" localSheetId="2">'[1]IPA Detail Cost'!$J$118</definedName>
    <definedName name="ctth">'IPA Detail Cost'!$J$118</definedName>
    <definedName name="dctot" localSheetId="2">'[1]IPA Detail Cost'!$M$128</definedName>
    <definedName name="dctot">'IPA Detail Cost'!$M$128</definedName>
    <definedName name="detsum" localSheetId="1">'IPA PES Sumry &amp; Cost Check'!$K$7</definedName>
    <definedName name="ecaph" localSheetId="2">'[1]IPA Detail Cost'!$J$49</definedName>
    <definedName name="ecaph">'IPA Detail Cost'!$J$49</definedName>
    <definedName name="ecapl" localSheetId="2">'[1]IPA Detail Cost'!$K$49</definedName>
    <definedName name="ecapl">'IPA Detail Cost'!$K$49</definedName>
    <definedName name="eccih" localSheetId="2">'[1]IPA Detail Cost'!$J$47</definedName>
    <definedName name="eccih">'IPA Detail Cost'!$J$47</definedName>
    <definedName name="eccil" localSheetId="2">'[1]IPA Detail Cost'!$K$47</definedName>
    <definedName name="eccil">'IPA Detail Cost'!$K$47</definedName>
    <definedName name="ecelh" localSheetId="2">'[1]IPA Detail Cost'!$J$54</definedName>
    <definedName name="ecelh">'IPA Detail Cost'!$J$54</definedName>
    <definedName name="ecell" localSheetId="2">'[1]IPA Detail Cost'!$K$54</definedName>
    <definedName name="ecell">'IPA Detail Cost'!$K$54</definedName>
    <definedName name="ecmeh" localSheetId="2">'[1]IPA Detail Cost'!$J$51</definedName>
    <definedName name="ecmeh">'IPA Detail Cost'!$J$51</definedName>
    <definedName name="ecmel" localSheetId="2">'[1]IPA Detail Cost'!$K$51</definedName>
    <definedName name="ecmel">'IPA Detail Cost'!$K$51</definedName>
    <definedName name="ecmih" localSheetId="2">'[1]IPA Detail Cost'!$J$56</definedName>
    <definedName name="ecmih">'IPA Detail Cost'!$J$56</definedName>
    <definedName name="ecmil" localSheetId="2">'[1]IPA Detail Cost'!$K$56</definedName>
    <definedName name="ecmil">'IPA Detail Cost'!$K$56</definedName>
    <definedName name="ecmim" localSheetId="2">'[1]IPA Detail Cost'!$L$56</definedName>
    <definedName name="ecmim">'IPA Detail Cost'!$L$56</definedName>
    <definedName name="ecmit" localSheetId="2">'[1]IPA Detail Cost'!$M$56</definedName>
    <definedName name="ecmit">'IPA Detail Cost'!$M$56</definedName>
    <definedName name="ecpch" localSheetId="2">'[1]IPA Detail Cost'!$J$53</definedName>
    <definedName name="ecpch">'IPA Detail Cost'!$J$53</definedName>
    <definedName name="ecpcl" localSheetId="2">'[1]IPA Detail Cost'!$K$53</definedName>
    <definedName name="ecpcl">'IPA Detail Cost'!$K$53</definedName>
    <definedName name="ecpih" localSheetId="2">'[1]IPA Detail Cost'!$J$50</definedName>
    <definedName name="ecpih">'IPA Detail Cost'!$J$50</definedName>
    <definedName name="ecpil" localSheetId="2">'[1]IPA Detail Cost'!$K$50</definedName>
    <definedName name="ecpil">'IPA Detail Cost'!$K$50</definedName>
    <definedName name="ecpmh" localSheetId="2">'[1]IPA Detail Cost'!$J$52</definedName>
    <definedName name="ecpmh">'IPA Detail Cost'!$J$52</definedName>
    <definedName name="ecpml" localSheetId="2">'[1]IPA Detail Cost'!$K$52</definedName>
    <definedName name="ecpml">'IPA Detail Cost'!$K$52</definedName>
    <definedName name="ecprh" localSheetId="2">'[1]IPA Detail Cost'!$J$55</definedName>
    <definedName name="ecprh">'IPA Detail Cost'!$J$55</definedName>
    <definedName name="ecprl" localSheetId="2">'[1]IPA Detail Cost'!$K$55</definedName>
    <definedName name="ecprl">'IPA Detail Cost'!$K$55</definedName>
    <definedName name="ecsth" localSheetId="2">'[1]IPA Detail Cost'!$J$48</definedName>
    <definedName name="ecsth">'IPA Detail Cost'!$J$48</definedName>
    <definedName name="ecstl" localSheetId="2">'[1]IPA Detail Cost'!$K$48</definedName>
    <definedName name="ecstl">'IPA Detail Cost'!$K$48</definedName>
    <definedName name="ectth" localSheetId="2">'[1]IPA Detail Cost'!$J$57</definedName>
    <definedName name="ectth">'IPA Detail Cost'!$J$57</definedName>
    <definedName name="ecttt" localSheetId="2">'[1]IPA Detail Cost'!$M$57</definedName>
    <definedName name="ecttt">'IPA Detail Cost'!$M$57</definedName>
    <definedName name="eoaph" localSheetId="2">'[1]IPA Detail Cost'!$F$49</definedName>
    <definedName name="eoaph">'IPA Detail Cost'!$F$49</definedName>
    <definedName name="eoapl" localSheetId="2">'[1]IPA Detail Cost'!$G$49</definedName>
    <definedName name="eoapl">'IPA Detail Cost'!$G$49</definedName>
    <definedName name="eocih" localSheetId="2">'[1]IPA Detail Cost'!$F$47</definedName>
    <definedName name="eocih">'IPA Detail Cost'!$F$47</definedName>
    <definedName name="eocil" localSheetId="2">'[1]IPA Detail Cost'!$G$47</definedName>
    <definedName name="eocil">'IPA Detail Cost'!$G$47</definedName>
    <definedName name="eoelh" localSheetId="2">'[1]IPA Detail Cost'!$F$54</definedName>
    <definedName name="eoelh">'IPA Detail Cost'!$F$54</definedName>
    <definedName name="eoell" localSheetId="2">'[1]IPA Detail Cost'!$G$54</definedName>
    <definedName name="eoell">'IPA Detail Cost'!$G$54</definedName>
    <definedName name="eomeh" localSheetId="2">'[1]IPA Detail Cost'!$F$51</definedName>
    <definedName name="eomeh">'IPA Detail Cost'!$F$51</definedName>
    <definedName name="eomel" localSheetId="2">'[1]IPA Detail Cost'!$G$51</definedName>
    <definedName name="eomel">'IPA Detail Cost'!$G$51</definedName>
    <definedName name="eomih" localSheetId="2">'[1]IPA Detail Cost'!$F$56</definedName>
    <definedName name="eomih">'IPA Detail Cost'!$F$56</definedName>
    <definedName name="eomil" localSheetId="2">'[1]IPA Detail Cost'!$G$56</definedName>
    <definedName name="eomil">'IPA Detail Cost'!$G$56</definedName>
    <definedName name="eomim" localSheetId="2">'[1]IPA Detail Cost'!$H$56</definedName>
    <definedName name="eomim">'IPA Detail Cost'!$H$56</definedName>
    <definedName name="eomit" localSheetId="2">'[1]IPA Detail Cost'!$I$56</definedName>
    <definedName name="eomit">'IPA Detail Cost'!$I$56</definedName>
    <definedName name="eopch" localSheetId="2">'[1]IPA Detail Cost'!$F$53</definedName>
    <definedName name="eopch">'IPA Detail Cost'!$F$53</definedName>
    <definedName name="eopcl" localSheetId="2">'[1]IPA Detail Cost'!$G$53</definedName>
    <definedName name="eopcl">'IPA Detail Cost'!$G$53</definedName>
    <definedName name="eopih" localSheetId="2">'[1]IPA Detail Cost'!$F$50</definedName>
    <definedName name="eopih">'IPA Detail Cost'!$F$50</definedName>
    <definedName name="eopil" localSheetId="2">'[1]IPA Detail Cost'!$G$50</definedName>
    <definedName name="eopil">'IPA Detail Cost'!$G$50</definedName>
    <definedName name="eopmh" localSheetId="2">'[1]IPA Detail Cost'!$F$52</definedName>
    <definedName name="eopmh">'IPA Detail Cost'!$F$52</definedName>
    <definedName name="eopml" localSheetId="2">'[1]IPA Detail Cost'!$G$52</definedName>
    <definedName name="eopml">'IPA Detail Cost'!$G$52</definedName>
    <definedName name="eoprh" localSheetId="2">'[1]IPA Detail Cost'!$F$55</definedName>
    <definedName name="eoprh">'IPA Detail Cost'!$F$55</definedName>
    <definedName name="eoprl" localSheetId="2">'[1]IPA Detail Cost'!$G$55</definedName>
    <definedName name="eoprl">'IPA Detail Cost'!$G$55</definedName>
    <definedName name="eosth" localSheetId="2">'[1]IPA Detail Cost'!$F$48</definedName>
    <definedName name="eosth">'IPA Detail Cost'!$F$48</definedName>
    <definedName name="eostl" localSheetId="2">'[1]IPA Detail Cost'!$G$48</definedName>
    <definedName name="eostl">'IPA Detail Cost'!$G$48</definedName>
    <definedName name="eotth" localSheetId="2">'[1]IPA Detail Cost'!$F$57</definedName>
    <definedName name="eotth">'IPA Detail Cost'!$F$57</definedName>
    <definedName name="eottt" localSheetId="2">'[1]IPA Detail Cost'!$I$57</definedName>
    <definedName name="eottt">'IPA Detail Cost'!$I$57</definedName>
    <definedName name="icblh" localSheetId="2">'[1]IPA Detail Cost'!$J$76</definedName>
    <definedName name="icblh">'IPA Detail Cost'!$J$76</definedName>
    <definedName name="icbll" localSheetId="2">'[1]IPA Detail Cost'!$K$76</definedName>
    <definedName name="icbll">'IPA Detail Cost'!$K$76</definedName>
    <definedName name="icblm" localSheetId="2">'[1]IPA Detail Cost'!$L$76</definedName>
    <definedName name="icblm">'IPA Detail Cost'!$L$76</definedName>
    <definedName name="icblt" localSheetId="2">'[1]IPA Detail Cost'!$M$76</definedName>
    <definedName name="icblt">'IPA Detail Cost'!$M$76</definedName>
    <definedName name="iccoh" localSheetId="2">'[1]IPA Detail Cost'!$J$74</definedName>
    <definedName name="iccoh">'IPA Detail Cost'!$J$74</definedName>
    <definedName name="iccol" localSheetId="2">'[1]IPA Detail Cost'!$K$74</definedName>
    <definedName name="iccol">'IPA Detail Cost'!$K$74</definedName>
    <definedName name="iccom" localSheetId="2">'[1]IPA Detail Cost'!$L$74</definedName>
    <definedName name="iccom">'IPA Detail Cost'!$L$74</definedName>
    <definedName name="iccot" localSheetId="2">'[1]IPA Detail Cost'!$M$74</definedName>
    <definedName name="iccot">'IPA Detail Cost'!$M$74</definedName>
    <definedName name="iccsh" localSheetId="2">'[1]IPA Detail Cost'!$J$73</definedName>
    <definedName name="iccsh">'IPA Detail Cost'!$J$73</definedName>
    <definedName name="iccsl" localSheetId="2">'[1]IPA Detail Cost'!$K$73</definedName>
    <definedName name="iccsl">'IPA Detail Cost'!$K$73</definedName>
    <definedName name="iccsm" localSheetId="2">'[1]IPA Detail Cost'!$L$73</definedName>
    <definedName name="iccsm">'IPA Detail Cost'!$L$73</definedName>
    <definedName name="iccst" localSheetId="2">'[1]IPA Detail Cost'!$M$73</definedName>
    <definedName name="iccst">'IPA Detail Cost'!$M$73</definedName>
    <definedName name="icefm" localSheetId="2">'[1]IPA Detail Cost'!$L$79</definedName>
    <definedName name="icefm">'IPA Detail Cost'!$L$79</definedName>
    <definedName name="icelh" localSheetId="2">'[1]IPA Detail Cost'!$J$77</definedName>
    <definedName name="icelh">'IPA Detail Cost'!$J$77</definedName>
    <definedName name="icell" localSheetId="2">'[1]IPA Detail Cost'!$K$77</definedName>
    <definedName name="icell">'IPA Detail Cost'!$K$77</definedName>
    <definedName name="icemm" localSheetId="2">'[1]IPA Detail Cost'!$L$78</definedName>
    <definedName name="icemm">'IPA Detail Cost'!$L$78</definedName>
    <definedName name="iceom" localSheetId="2">'[1]IPA Detail Cost'!$L$80</definedName>
    <definedName name="iceom">'IPA Detail Cost'!$L$80</definedName>
    <definedName name="icett" localSheetId="2">'[1]IPA Detail Cost'!$M$81</definedName>
    <definedName name="icett">'IPA Detail Cost'!$M$81</definedName>
    <definedName name="iclbm" localSheetId="2">'[1]IPA Detail Cost'!$L$86</definedName>
    <definedName name="iclbm">'IPA Detail Cost'!$L$86</definedName>
    <definedName name="iclem" localSheetId="2">'[1]IPA Detail Cost'!$L$85</definedName>
    <definedName name="iclem">'IPA Detail Cost'!$L$85</definedName>
    <definedName name="icllh" localSheetId="2">'[1]IPA Detail Cost'!$J$84</definedName>
    <definedName name="icllh">'IPA Detail Cost'!$J$84</definedName>
    <definedName name="iclll" localSheetId="2">'[1]IPA Detail Cost'!$K$84</definedName>
    <definedName name="iclll">'IPA Detail Cost'!$K$84</definedName>
    <definedName name="icltt" localSheetId="2">'[1]IPA Detail Cost'!$M$87</definedName>
    <definedName name="icltt">'IPA Detail Cost'!$M$87</definedName>
    <definedName name="icpah" localSheetId="2">'[1]IPA Detail Cost'!$J$83</definedName>
    <definedName name="icpah">'IPA Detail Cost'!$J$83</definedName>
    <definedName name="icpal" localSheetId="2">'[1]IPA Detail Cost'!$K$83</definedName>
    <definedName name="icpal">'IPA Detail Cost'!$K$83</definedName>
    <definedName name="icpam" localSheetId="2">'[1]IPA Detail Cost'!$L$83</definedName>
    <definedName name="icpam">'IPA Detail Cost'!$L$83</definedName>
    <definedName name="icpat" localSheetId="2">'[1]IPA Detail Cost'!$M$83</definedName>
    <definedName name="icpat">'IPA Detail Cost'!$M$83</definedName>
    <definedName name="icpbm" localSheetId="2">'[1]IPA Detail Cost'!$L$90</definedName>
    <definedName name="icpbm">'IPA Detail Cost'!$L$90</definedName>
    <definedName name="icpem" localSheetId="2">'[1]IPA Detail Cost'!$L$89</definedName>
    <definedName name="icpem">'IPA Detail Cost'!$L$89</definedName>
    <definedName name="icpfh" localSheetId="2">'[1]IPA Detail Cost'!$J$92</definedName>
    <definedName name="icpfh">'IPA Detail Cost'!$J$92</definedName>
    <definedName name="icpfl" localSheetId="2">'[1]IPA Detail Cost'!$K$92</definedName>
    <definedName name="icpfl">'IPA Detail Cost'!$K$92</definedName>
    <definedName name="icpfm" localSheetId="2">'[1]IPA Detail Cost'!$L$92</definedName>
    <definedName name="icpfm">'IPA Detail Cost'!$L$92</definedName>
    <definedName name="icpft" localSheetId="2">'[1]IPA Detail Cost'!$M$92</definedName>
    <definedName name="icpft">'IPA Detail Cost'!$M$92</definedName>
    <definedName name="icpih" localSheetId="2">'[1]IPA Detail Cost'!$J$82</definedName>
    <definedName name="icpih">'IPA Detail Cost'!$J$82</definedName>
    <definedName name="icpil" localSheetId="2">'[1]IPA Detail Cost'!$K$82</definedName>
    <definedName name="icpil">'IPA Detail Cost'!$K$82</definedName>
    <definedName name="icpim" localSheetId="2">'[1]IPA Detail Cost'!$L$82</definedName>
    <definedName name="icpim">'IPA Detail Cost'!$L$82</definedName>
    <definedName name="icpit" localSheetId="2">'[1]IPA Detail Cost'!$M$82</definedName>
    <definedName name="icpit">'IPA Detail Cost'!$M$82</definedName>
    <definedName name="icplh" localSheetId="2">'[1]IPA Detail Cost'!$J$88</definedName>
    <definedName name="icplh">'IPA Detail Cost'!$J$88</definedName>
    <definedName name="icpll" localSheetId="2">'[1]IPA Detail Cost'!$K$88</definedName>
    <definedName name="icpll">'IPA Detail Cost'!$K$88</definedName>
    <definedName name="icplt" localSheetId="2">'[1]IPA Detail Cost'!$M$91</definedName>
    <definedName name="icplt">'IPA Detail Cost'!$M$91</definedName>
    <definedName name="icsth" localSheetId="2">'[1]IPA Detail Cost'!$J$75</definedName>
    <definedName name="icsth">'IPA Detail Cost'!$J$75</definedName>
    <definedName name="icstl" localSheetId="2">'[1]IPA Detail Cost'!$K$75</definedName>
    <definedName name="icstl">'IPA Detail Cost'!$K$75</definedName>
    <definedName name="icstm" localSheetId="2">'[1]IPA Detail Cost'!$L$75</definedName>
    <definedName name="icstm">'IPA Detail Cost'!$L$75</definedName>
    <definedName name="icstt" localSheetId="2">'[1]IPA Detail Cost'!$M$75</definedName>
    <definedName name="icstt">'IPA Detail Cost'!$M$75</definedName>
    <definedName name="ictth" localSheetId="2">'[1]IPA Detail Cost'!$J$93</definedName>
    <definedName name="ictth" xml:space="preserve">'[2]IPA Detail  Cost'!$J$93</definedName>
    <definedName name="icttl" localSheetId="2">'[1]IPA Detail Cost'!$K$93</definedName>
    <definedName name="icttl">'IPA Detail Cost'!$K$93</definedName>
    <definedName name="icttm" localSheetId="2">'[1]IPA Detail Cost'!$L$93</definedName>
    <definedName name="icttm">'IPA Detail Cost'!$L$93</definedName>
    <definedName name="icttt" localSheetId="2">'[1]IPA Detail Cost'!$M$93</definedName>
    <definedName name="icttt">'IPA Detail Cost'!$M$93</definedName>
    <definedName name="ioblh" localSheetId="2">'[1]IPA Detail Cost'!$F$76</definedName>
    <definedName name="ioblh">'IPA Detail Cost'!$F$76</definedName>
    <definedName name="iobll" localSheetId="2">'[1]IPA Detail Cost'!$G$76</definedName>
    <definedName name="iobll">'IPA Detail Cost'!$G$76</definedName>
    <definedName name="ioblm" localSheetId="2">'[1]IPA Detail Cost'!$H$76</definedName>
    <definedName name="ioblm">'IPA Detail Cost'!$H$76</definedName>
    <definedName name="ioblt" localSheetId="2">'[1]IPA Detail Cost'!$I$76</definedName>
    <definedName name="ioblt">'IPA Detail Cost'!$I$76</definedName>
    <definedName name="iocoh" localSheetId="2">'[1]IPA Detail Cost'!$F$74</definedName>
    <definedName name="iocoh">'IPA Detail Cost'!$F$74</definedName>
    <definedName name="iocol" localSheetId="2">'[1]IPA Detail Cost'!$G$74</definedName>
    <definedName name="iocol">'IPA Detail Cost'!$G$74</definedName>
    <definedName name="iocom" localSheetId="2">'[1]IPA Detail Cost'!$H$74</definedName>
    <definedName name="iocom">'IPA Detail Cost'!$H$74</definedName>
    <definedName name="iocot" localSheetId="2">'[1]IPA Detail Cost'!$I$74</definedName>
    <definedName name="iocot">'IPA Detail Cost'!$I$74</definedName>
    <definedName name="iocsh" localSheetId="2">'[1]IPA Detail Cost'!$F$73</definedName>
    <definedName name="iocsh">'IPA Detail Cost'!$F$73</definedName>
    <definedName name="iocsl" localSheetId="2">'[1]IPA Detail Cost'!$G$73</definedName>
    <definedName name="iocsl">'IPA Detail Cost'!$G$73</definedName>
    <definedName name="iocsm" localSheetId="2">'[1]IPA Detail Cost'!$H$73</definedName>
    <definedName name="iocsm">'IPA Detail Cost'!$H$73</definedName>
    <definedName name="iocst" localSheetId="2">'[1]IPA Detail Cost'!$I$73</definedName>
    <definedName name="iocst">'IPA Detail Cost'!$I$73</definedName>
    <definedName name="ioefm" localSheetId="2">'[1]IPA Detail Cost'!$H$79</definedName>
    <definedName name="ioefm">'IPA Detail Cost'!$H$79</definedName>
    <definedName name="ioelh" localSheetId="2">'[1]IPA Detail Cost'!$F$77</definedName>
    <definedName name="ioelh">'IPA Detail Cost'!$F$77</definedName>
    <definedName name="ioell" localSheetId="2">'[1]IPA Detail Cost'!$G$77</definedName>
    <definedName name="ioell">'IPA Detail Cost'!$G$77</definedName>
    <definedName name="ioemm" localSheetId="2">'[1]IPA Detail Cost'!$H$78</definedName>
    <definedName name="ioemm">'IPA Detail Cost'!$H$78</definedName>
    <definedName name="ioeom" localSheetId="2">'[1]IPA Detail Cost'!$H$80</definedName>
    <definedName name="ioeom">'IPA Detail Cost'!$H$80</definedName>
    <definedName name="ioett" localSheetId="2">'[1]IPA Detail Cost'!$I$81</definedName>
    <definedName name="ioett">'IPA Detail Cost'!$I$81</definedName>
    <definedName name="iolbm" localSheetId="2">'[1]IPA Detail Cost'!$H$86</definedName>
    <definedName name="iolbm">'IPA Detail Cost'!$H$86</definedName>
    <definedName name="iolem" localSheetId="2">'[1]IPA Detail Cost'!$H$85</definedName>
    <definedName name="iolem">'IPA Detail Cost'!$H$85</definedName>
    <definedName name="iollh" localSheetId="2">'[1]IPA Detail Cost'!$F$84</definedName>
    <definedName name="iollh">'IPA Detail Cost'!$F$84</definedName>
    <definedName name="iolll" localSheetId="2">'[1]IPA Detail Cost'!$G$84</definedName>
    <definedName name="iolll">'IPA Detail Cost'!$G$84</definedName>
    <definedName name="ioltt" localSheetId="2">'[1]IPA Detail Cost'!$I$87</definedName>
    <definedName name="ioltt">'IPA Detail Cost'!$I$87</definedName>
    <definedName name="iopah" localSheetId="2">'[1]IPA Detail Cost'!$F$83</definedName>
    <definedName name="iopah">'IPA Detail Cost'!$F$83</definedName>
    <definedName name="iopal" localSheetId="2">'[1]IPA Detail Cost'!$G$83</definedName>
    <definedName name="iopal">'IPA Detail Cost'!$G$83</definedName>
    <definedName name="iopam" localSheetId="2">'[1]IPA Detail Cost'!$H$83</definedName>
    <definedName name="iopam">'IPA Detail Cost'!$H$83</definedName>
    <definedName name="iopat" localSheetId="2">'[1]IPA Detail Cost'!$I$83</definedName>
    <definedName name="iopat">'IPA Detail Cost'!$I$83</definedName>
    <definedName name="iopbm" localSheetId="2">'[1]IPA Detail Cost'!$H$90</definedName>
    <definedName name="iopbm">'IPA Detail Cost'!$H$90</definedName>
    <definedName name="iopem" localSheetId="2">'[1]IPA Detail Cost'!$H$89</definedName>
    <definedName name="iopem">'IPA Detail Cost'!$H$89</definedName>
    <definedName name="iopfh" localSheetId="2">'[1]IPA Detail Cost'!$F$92</definedName>
    <definedName name="iopfh">'IPA Detail Cost'!$F$92</definedName>
    <definedName name="iopfl" localSheetId="2">'[1]IPA Detail Cost'!$G$92</definedName>
    <definedName name="iopfl">'IPA Detail Cost'!$G$92</definedName>
    <definedName name="iopfm" localSheetId="2">'[1]IPA Detail Cost'!$H$92</definedName>
    <definedName name="iopfm">'IPA Detail Cost'!$H$92</definedName>
    <definedName name="iopft" localSheetId="2">'[1]IPA Detail Cost'!$I$92</definedName>
    <definedName name="iopft">'IPA Detail Cost'!$I$92</definedName>
    <definedName name="iopih" localSheetId="2">'[1]IPA Detail Cost'!$F$82</definedName>
    <definedName name="iopih">'IPA Detail Cost'!$F$82</definedName>
    <definedName name="iopil" localSheetId="2">'[1]IPA Detail Cost'!$G$82</definedName>
    <definedName name="iopil">'IPA Detail Cost'!$G$82</definedName>
    <definedName name="iopim" localSheetId="2">'[1]IPA Detail Cost'!$H$82</definedName>
    <definedName name="iopim">'IPA Detail Cost'!$H$82</definedName>
    <definedName name="iopit" localSheetId="2">'[1]IPA Detail Cost'!$I$82</definedName>
    <definedName name="iopit">'IPA Detail Cost'!$I$82</definedName>
    <definedName name="ioplh" localSheetId="2">'[1]IPA Detail Cost'!$F$88</definedName>
    <definedName name="ioplh">'IPA Detail Cost'!$F$88</definedName>
    <definedName name="iopll" localSheetId="2">'[1]IPA Detail Cost'!$G$88</definedName>
    <definedName name="iopll">'IPA Detail Cost'!$G$88</definedName>
    <definedName name="ioplt" localSheetId="2">'[1]IPA Detail Cost'!$I$91</definedName>
    <definedName name="ioplt">'IPA Detail Cost'!$I$91</definedName>
    <definedName name="iosth" localSheetId="2">'[1]IPA Detail Cost'!$F$75</definedName>
    <definedName name="iosth">'IPA Detail Cost'!$F$75</definedName>
    <definedName name="iostl" localSheetId="2">'[1]IPA Detail Cost'!$G$75</definedName>
    <definedName name="iostl">'IPA Detail Cost'!$G$75</definedName>
    <definedName name="iostm" localSheetId="2">'[1]IPA Detail Cost'!$H$75</definedName>
    <definedName name="iostm">'IPA Detail Cost'!$H$75</definedName>
    <definedName name="iostt" localSheetId="2">'[1]IPA Detail Cost'!$I$75</definedName>
    <definedName name="iostt">'IPA Detail Cost'!$I$75</definedName>
    <definedName name="iotth" localSheetId="2">'[1]IPA Detail Cost'!$F$93</definedName>
    <definedName name="iotth">'IPA Detail Cost'!$F$93</definedName>
    <definedName name="iottl" localSheetId="2">'[1]IPA Detail Cost'!$G$93</definedName>
    <definedName name="iottl">'IPA Detail Cost'!$G$93</definedName>
    <definedName name="iottm" localSheetId="2">'[1]IPA Detail Cost'!$H$93</definedName>
    <definedName name="iottm">'IPA Detail Cost'!$H$93</definedName>
    <definedName name="iottt" localSheetId="2">'[1]IPA Detail Cost'!$I$93</definedName>
    <definedName name="iottt">'IPA Detail Cost'!$I$93</definedName>
    <definedName name="mccsh" localSheetId="2">'[1]IPA Detail Cost'!$J$40</definedName>
    <definedName name="mccsh">'IPA Detail Cost'!$J$40</definedName>
    <definedName name="mccsl" localSheetId="2">'[1]IPA Detail Cost'!$K$40</definedName>
    <definedName name="mccsl">'IPA Detail Cost'!$K$40</definedName>
    <definedName name="mcmsh" localSheetId="2">'[1]IPA Detail Cost'!$J$42</definedName>
    <definedName name="mcmsh">'IPA Detail Cost'!$J$42</definedName>
    <definedName name="mcmsl" localSheetId="2">'[1]IPA Detail Cost'!$K$42</definedName>
    <definedName name="mcmsl">'IPA Detail Cost'!$K$42</definedName>
    <definedName name="mcmst" localSheetId="2">'[1]IPA Detail Cost'!$M$42</definedName>
    <definedName name="mcmst">'IPA Detail Cost'!$M$42</definedName>
    <definedName name="mcpch" localSheetId="2">'[1]IPA Detail Cost'!$J$41</definedName>
    <definedName name="mcpch">'IPA Detail Cost'!$J$41</definedName>
    <definedName name="mcpcl" localSheetId="2">'[1]IPA Detail Cost'!$K$41</definedName>
    <definedName name="mcpcl">'IPA Detail Cost'!$K$41</definedName>
    <definedName name="mcpmh" localSheetId="2">'[1]IPA Detail Cost'!$J$39</definedName>
    <definedName name="mcpmh">'IPA Detail Cost'!$J$39</definedName>
    <definedName name="mcpml" localSheetId="2">'[1]IPA Detail Cost'!$K$39</definedName>
    <definedName name="mcpml">'IPA Detail Cost'!$K$39</definedName>
    <definedName name="mctth" localSheetId="2">'[1]IPA Detail Cost'!$J$43</definedName>
    <definedName name="mctth">'IPA Detail Cost'!$J$43</definedName>
    <definedName name="mcttt" localSheetId="2">'[1]IPA Detail Cost'!$M$43</definedName>
    <definedName name="mcttt">'IPA Detail Cost'!$M$43</definedName>
    <definedName name="mocsh" localSheetId="2">'[1]IPA Detail Cost'!$F$40</definedName>
    <definedName name="mocsh">'IPA Detail Cost'!$F$40</definedName>
    <definedName name="mocsl" localSheetId="2">'[1]IPA Detail Cost'!$G$40</definedName>
    <definedName name="mocsl">'IPA Detail Cost'!$G$40</definedName>
    <definedName name="momsh" localSheetId="2">'[1]IPA Detail Cost'!$F$42</definedName>
    <definedName name="momsh">'IPA Detail Cost'!$F$42</definedName>
    <definedName name="momsl" localSheetId="2">'[1]IPA Detail Cost'!$G$42</definedName>
    <definedName name="momsl">'IPA Detail Cost'!$G$42</definedName>
    <definedName name="momst" localSheetId="2">'[1]IPA Detail Cost'!$I$42</definedName>
    <definedName name="momst">'IPA Detail Cost'!$I$42</definedName>
    <definedName name="mopch" localSheetId="2">'[1]IPA Detail Cost'!$F$41</definedName>
    <definedName name="mopch">'IPA Detail Cost'!$F$41</definedName>
    <definedName name="mopcl" localSheetId="2">'[1]IPA Detail Cost'!$G$41</definedName>
    <definedName name="mopcl">'IPA Detail Cost'!$G$41</definedName>
    <definedName name="mopmh" localSheetId="2">'[1]IPA Detail Cost'!$F$39</definedName>
    <definedName name="mopmh">'IPA Detail Cost'!$F$39</definedName>
    <definedName name="mopml" localSheetId="2">'[1]IPA Detail Cost'!$G$39</definedName>
    <definedName name="mopml">'IPA Detail Cost'!$G$39</definedName>
    <definedName name="motth" localSheetId="2">'[1]IPA Detail Cost'!$F$43</definedName>
    <definedName name="motth">'IPA Detail Cost'!$F$43</definedName>
    <definedName name="mottt" localSheetId="2">'[1]IPA Detail Cost'!$I$43</definedName>
    <definedName name="mottt">'IPA Detail Cost'!$I$43</definedName>
    <definedName name="ocblh" localSheetId="2">'[1]IPA Detail Cost'!$J$99</definedName>
    <definedName name="ocblh">'IPA Detail Cost'!$J$99</definedName>
    <definedName name="ocbll" localSheetId="2">'[1]IPA Detail Cost'!$K$99</definedName>
    <definedName name="ocbll">'IPA Detail Cost'!$K$99</definedName>
    <definedName name="ocblm" localSheetId="2">'[1]IPA Detail Cost'!$L$99</definedName>
    <definedName name="ocblm">'IPA Detail Cost'!$L$99</definedName>
    <definedName name="ocblt" localSheetId="2">'[1]IPA Detail Cost'!$M$99</definedName>
    <definedName name="ocblt">'IPA Detail Cost'!$M$99</definedName>
    <definedName name="occoh" localSheetId="2">'[1]IPA Detail Cost'!$J$97</definedName>
    <definedName name="occoh">'IPA Detail Cost'!$J$97</definedName>
    <definedName name="occol" localSheetId="2">'[1]IPA Detail Cost'!$K$97</definedName>
    <definedName name="occol">'IPA Detail Cost'!$K$97</definedName>
    <definedName name="occom" localSheetId="2">'[1]IPA Detail Cost'!$L$97</definedName>
    <definedName name="occom">'IPA Detail Cost'!$L$97</definedName>
    <definedName name="occot" localSheetId="2">'[1]IPA Detail Cost'!$M$97</definedName>
    <definedName name="occot">'IPA Detail Cost'!$M$97</definedName>
    <definedName name="occsh" localSheetId="2">'[1]IPA Detail Cost'!$J$96</definedName>
    <definedName name="occsh">'IPA Detail Cost'!$J$96</definedName>
    <definedName name="occsl" localSheetId="2">'[1]IPA Detail Cost'!$K$96</definedName>
    <definedName name="occsl">'IPA Detail Cost'!$K$96</definedName>
    <definedName name="occsm" localSheetId="2">'[1]IPA Detail Cost'!$L$96</definedName>
    <definedName name="occsm">'IPA Detail Cost'!$L$96</definedName>
    <definedName name="occst" localSheetId="2">'[1]IPA Detail Cost'!$M$96</definedName>
    <definedName name="occst">'IPA Detail Cost'!$M$96</definedName>
    <definedName name="ocefm" localSheetId="2">'[1]IPA Detail Cost'!$L$102</definedName>
    <definedName name="ocefm">'IPA Detail Cost'!$L$102</definedName>
    <definedName name="ocelh" localSheetId="2">'[1]IPA Detail Cost'!$J$100</definedName>
    <definedName name="ocelh">'IPA Detail Cost'!$J$100</definedName>
    <definedName name="ocell" localSheetId="2">'[1]IPA Detail Cost'!$K$100</definedName>
    <definedName name="ocell">'IPA Detail Cost'!$K$100</definedName>
    <definedName name="ocemm" localSheetId="2">'[1]IPA Detail Cost'!$L$101</definedName>
    <definedName name="ocemm">'IPA Detail Cost'!$L$101</definedName>
    <definedName name="oceom" localSheetId="2">'[1]IPA Detail Cost'!$L$103</definedName>
    <definedName name="oceom">'IPA Detail Cost'!$L$103</definedName>
    <definedName name="ocett" localSheetId="2">'[1]IPA Detail Cost'!$M$104</definedName>
    <definedName name="ocett">'IPA Detail Cost'!$M$104</definedName>
    <definedName name="oclbm" localSheetId="2">'[1]IPA Detail Cost'!$L$109</definedName>
    <definedName name="oclbm">'IPA Detail Cost'!$L$109</definedName>
    <definedName name="oclem" localSheetId="2">'[1]IPA Detail Cost'!$L$108</definedName>
    <definedName name="oclem">'IPA Detail Cost'!$L$108</definedName>
    <definedName name="ocllh" localSheetId="2">'[1]IPA Detail Cost'!$J$107</definedName>
    <definedName name="ocllh">'IPA Detail Cost'!$J$107</definedName>
    <definedName name="oclll" localSheetId="2">'[1]IPA Detail Cost'!$K$107</definedName>
    <definedName name="oclll">'IPA Detail Cost'!$K$107</definedName>
    <definedName name="ocltt" localSheetId="2">'[1]IPA Detail Cost'!$M$110</definedName>
    <definedName name="ocltt">'IPA Detail Cost'!$M$110</definedName>
    <definedName name="ocpah" localSheetId="2">'[1]IPA Detail Cost'!$J$106</definedName>
    <definedName name="ocpah">'IPA Detail Cost'!$J$106</definedName>
    <definedName name="ocpal" localSheetId="2">'[1]IPA Detail Cost'!$K$106</definedName>
    <definedName name="ocpal">'IPA Detail Cost'!$K$106</definedName>
    <definedName name="ocpam" localSheetId="2">'[1]IPA Detail Cost'!$L$106</definedName>
    <definedName name="ocpam">'IPA Detail Cost'!$L$106</definedName>
    <definedName name="ocpat" localSheetId="2">'[1]IPA Detail Cost'!$M$106</definedName>
    <definedName name="ocpat">'IPA Detail Cost'!$M$106</definedName>
    <definedName name="ocpbm" localSheetId="2">'[1]IPA Detail Cost'!$L$113</definedName>
    <definedName name="ocpbm">'IPA Detail Cost'!$L$113</definedName>
    <definedName name="ocpem" localSheetId="2">'[1]IPA Detail Cost'!$L$112</definedName>
    <definedName name="ocpem">'IPA Detail Cost'!$L$112</definedName>
    <definedName name="ocpfh" localSheetId="2">'[1]IPA Detail Cost'!$J$115</definedName>
    <definedName name="ocpfh">'IPA Detail Cost'!$J$115</definedName>
    <definedName name="ocpfl" localSheetId="2">'[1]IPA Detail Cost'!$K$115</definedName>
    <definedName name="ocpfl">'IPA Detail Cost'!$K$115</definedName>
    <definedName name="ocpfm" localSheetId="2">'[1]IPA Detail Cost'!$L$115</definedName>
    <definedName name="ocpfm">'IPA Detail Cost'!$L$115</definedName>
    <definedName name="ocpft" localSheetId="2">'[1]IPA Detail Cost'!$M$115</definedName>
    <definedName name="ocpft">'IPA Detail Cost'!$M$115</definedName>
    <definedName name="ocpih" localSheetId="2">'[1]IPA Detail Cost'!$J$105</definedName>
    <definedName name="ocpih">'IPA Detail Cost'!$J$105</definedName>
    <definedName name="ocpil" localSheetId="2">'[1]IPA Detail Cost'!$K$105</definedName>
    <definedName name="ocpil">'IPA Detail Cost'!$K$105</definedName>
    <definedName name="ocpim" localSheetId="2">'[1]IPA Detail Cost'!$L$105</definedName>
    <definedName name="ocpim">'IPA Detail Cost'!$L$105</definedName>
    <definedName name="ocpit" localSheetId="2">'[1]IPA Detail Cost'!$M$105</definedName>
    <definedName name="ocpit">'IPA Detail Cost'!$M$105</definedName>
    <definedName name="ocplh" localSheetId="2">'[1]IPA Detail Cost'!$J$111</definedName>
    <definedName name="ocplh">'IPA Detail Cost'!$J$111</definedName>
    <definedName name="ocpll" localSheetId="2">'[1]IPA Detail Cost'!$K$111</definedName>
    <definedName name="ocpll">'IPA Detail Cost'!$K$111</definedName>
    <definedName name="ocplt" localSheetId="2">'[1]IPA Detail Cost'!$M$114</definedName>
    <definedName name="ocplt">'IPA Detail Cost'!$M$114</definedName>
    <definedName name="ocsth" localSheetId="2">'[1]IPA Detail Cost'!$J$98</definedName>
    <definedName name="ocsth">'IPA Detail Cost'!$J$98</definedName>
    <definedName name="ocstl" localSheetId="2">'[1]IPA Detail Cost'!$K$98</definedName>
    <definedName name="ocstl">'IPA Detail Cost'!$K$98</definedName>
    <definedName name="ocstm" localSheetId="2">'[1]IPA Detail Cost'!$L$98</definedName>
    <definedName name="ocstm">'IPA Detail Cost'!$L$98</definedName>
    <definedName name="ocstt" localSheetId="2">'[1]IPA Detail Cost'!$M$98</definedName>
    <definedName name="ocstt">'IPA Detail Cost'!$M$98</definedName>
    <definedName name="octth" localSheetId="2">'[1]IPA Detail Cost'!$J$116</definedName>
    <definedName name="octth">'IPA Detail Cost'!$J$116</definedName>
    <definedName name="octtl" localSheetId="2">'[1]IPA Detail Cost'!$K$116</definedName>
    <definedName name="octtl">'IPA Detail Cost'!$K$116</definedName>
    <definedName name="octtm" localSheetId="2">'[1]IPA Detail Cost'!$L$116</definedName>
    <definedName name="octtm">'IPA Detail Cost'!$L$116</definedName>
    <definedName name="octtt" localSheetId="2">'[1]IPA Detail Cost'!$M$116</definedName>
    <definedName name="octtt">'IPA Detail Cost'!$M$116</definedName>
    <definedName name="ooblh" localSheetId="2">'[1]IPA Detail Cost'!$F$99</definedName>
    <definedName name="ooblh">'IPA Detail Cost'!$F$99</definedName>
    <definedName name="oobll" localSheetId="2">'[1]IPA Detail Cost'!$G$99</definedName>
    <definedName name="oobll">'IPA Detail Cost'!$G$99</definedName>
    <definedName name="ooblm" localSheetId="2">'[1]IPA Detail Cost'!$H$99</definedName>
    <definedName name="ooblm">'IPA Detail Cost'!$H$99</definedName>
    <definedName name="ooblt" localSheetId="2">'[1]IPA Detail Cost'!$I$99</definedName>
    <definedName name="ooblt">'IPA Detail Cost'!$I$99</definedName>
    <definedName name="oocoh" localSheetId="2">'[1]IPA Detail Cost'!$F$97</definedName>
    <definedName name="oocoh">'IPA Detail Cost'!$F$97</definedName>
    <definedName name="oocol" localSheetId="2">'[1]IPA Detail Cost'!$G$97</definedName>
    <definedName name="oocol">'IPA Detail Cost'!$G$97</definedName>
    <definedName name="oocom" localSheetId="2">'[1]IPA Detail Cost'!$H$97</definedName>
    <definedName name="oocom">'IPA Detail Cost'!$H$97</definedName>
    <definedName name="oocot" localSheetId="2">'[1]IPA Detail Cost'!$I$97</definedName>
    <definedName name="oocot">'IPA Detail Cost'!$I$97</definedName>
    <definedName name="oocsh" localSheetId="2">'[1]IPA Detail Cost'!$F$96</definedName>
    <definedName name="oocsh">'IPA Detail Cost'!$F$96</definedName>
    <definedName name="oocsl" localSheetId="2">'[1]IPA Detail Cost'!$G$96</definedName>
    <definedName name="oocsl">'IPA Detail Cost'!$G$96</definedName>
    <definedName name="oocsm" localSheetId="2">'[1]IPA Detail Cost'!$H$96</definedName>
    <definedName name="oocsm">'IPA Detail Cost'!$H$96</definedName>
    <definedName name="oocst" localSheetId="2">'[1]IPA Detail Cost'!$I$96</definedName>
    <definedName name="oocst">'IPA Detail Cost'!$I$96</definedName>
    <definedName name="ooefm" localSheetId="2">'[1]IPA Detail Cost'!$H$102</definedName>
    <definedName name="ooefm">'IPA Detail Cost'!$H$102</definedName>
    <definedName name="ooelh" localSheetId="2">'[1]IPA Detail Cost'!$F$100</definedName>
    <definedName name="ooelh">'IPA Detail Cost'!$F$100</definedName>
    <definedName name="ooell" localSheetId="2">'[1]IPA Detail Cost'!$G$100</definedName>
    <definedName name="ooell">'IPA Detail Cost'!$G$100</definedName>
    <definedName name="ooemm" localSheetId="2">'[1]IPA Detail Cost'!$H$101</definedName>
    <definedName name="ooemm">'IPA Detail Cost'!$H$101</definedName>
    <definedName name="ooeom" localSheetId="2">'[1]IPA Detail Cost'!$H$103</definedName>
    <definedName name="ooeom">'IPA Detail Cost'!$H$103</definedName>
    <definedName name="ooett" localSheetId="2">'[1]IPA Detail Cost'!$I$104</definedName>
    <definedName name="ooett">'IPA Detail Cost'!$I$104</definedName>
    <definedName name="oolbm" localSheetId="2">'[1]IPA Detail Cost'!$H$109</definedName>
    <definedName name="oolbm">'IPA Detail Cost'!$H$109</definedName>
    <definedName name="oolem" localSheetId="2">'[1]IPA Detail Cost'!$H$108</definedName>
    <definedName name="oolem">'IPA Detail Cost'!$H$108</definedName>
    <definedName name="oollh" localSheetId="2">'[1]IPA Detail Cost'!$F$107</definedName>
    <definedName name="oollh">'IPA Detail Cost'!$F$107</definedName>
    <definedName name="oolll" localSheetId="2">'[1]IPA Detail Cost'!$G$107</definedName>
    <definedName name="oolll">'IPA Detail Cost'!$G$107</definedName>
    <definedName name="ooltt" localSheetId="2">'[1]IPA Detail Cost'!$I$110</definedName>
    <definedName name="ooltt">'IPA Detail Cost'!$I$110</definedName>
    <definedName name="oopah" localSheetId="2">'[1]IPA Detail Cost'!$F$106</definedName>
    <definedName name="oopah">'IPA Detail Cost'!$F$106</definedName>
    <definedName name="oopal" localSheetId="2">'[1]IPA Detail Cost'!$G$106</definedName>
    <definedName name="oopal">'IPA Detail Cost'!$G$106</definedName>
    <definedName name="oopam" localSheetId="2">'[1]IPA Detail Cost'!$H$106</definedName>
    <definedName name="oopam">'IPA Detail Cost'!$H$106</definedName>
    <definedName name="oopat" localSheetId="2">'[1]IPA Detail Cost'!$I$106</definedName>
    <definedName name="oopat">'IPA Detail Cost'!$I$106</definedName>
    <definedName name="oopbm" localSheetId="2">'[1]IPA Detail Cost'!$H$113</definedName>
    <definedName name="oopbm">'IPA Detail Cost'!$H$113</definedName>
    <definedName name="oopem" localSheetId="2">'[1]IPA Detail Cost'!$H$112</definedName>
    <definedName name="oopem">'IPA Detail Cost'!$H$112</definedName>
    <definedName name="oopfh" localSheetId="2">'[1]IPA Detail Cost'!$F$115</definedName>
    <definedName name="oopfh">'IPA Detail Cost'!$F$115</definedName>
    <definedName name="oopfl" localSheetId="2">'[1]IPA Detail Cost'!$G$115</definedName>
    <definedName name="oopfl">'IPA Detail Cost'!$G$115</definedName>
    <definedName name="oopfm" localSheetId="2">'[1]IPA Detail Cost'!$H$115</definedName>
    <definedName name="oopfm">'IPA Detail Cost'!$H$115</definedName>
    <definedName name="oopft" localSheetId="2">'[1]IPA Detail Cost'!$I$115</definedName>
    <definedName name="oopft">'IPA Detail Cost'!$I$115</definedName>
    <definedName name="oopih" localSheetId="2">'[1]IPA Detail Cost'!$F$105</definedName>
    <definedName name="oopih">'IPA Detail Cost'!$F$105</definedName>
    <definedName name="oopil" localSheetId="2">'[1]IPA Detail Cost'!$G$105</definedName>
    <definedName name="oopil">'IPA Detail Cost'!$G$105</definedName>
    <definedName name="oopim" localSheetId="2">'[1]IPA Detail Cost'!$H$105</definedName>
    <definedName name="oopim">'IPA Detail Cost'!$H$105</definedName>
    <definedName name="oopit" localSheetId="2">'[1]IPA Detail Cost'!$I$105</definedName>
    <definedName name="oopit">'IPA Detail Cost'!$I$105</definedName>
    <definedName name="ooplh" localSheetId="2">'[1]IPA Detail Cost'!$F$111</definedName>
    <definedName name="ooplh">'IPA Detail Cost'!$F$111</definedName>
    <definedName name="oopll" localSheetId="2">'[1]IPA Detail Cost'!$G$111</definedName>
    <definedName name="oopll">'IPA Detail Cost'!$G$111</definedName>
    <definedName name="ooplt" localSheetId="2">'[1]IPA Detail Cost'!$I$114</definedName>
    <definedName name="ooplt">'IPA Detail Cost'!$I$114</definedName>
    <definedName name="oosth" localSheetId="2">'[1]IPA Detail Cost'!$F$98</definedName>
    <definedName name="oosth">'IPA Detail Cost'!$F$98</definedName>
    <definedName name="oostl" localSheetId="2">'[1]IPA Detail Cost'!$G$98</definedName>
    <definedName name="oostl">'IPA Detail Cost'!$G$98</definedName>
    <definedName name="oostm" localSheetId="2">'[1]IPA Detail Cost'!$H$98</definedName>
    <definedName name="oostm">'IPA Detail Cost'!$H$98</definedName>
    <definedName name="oostt" localSheetId="2">'[1]IPA Detail Cost'!$I$98</definedName>
    <definedName name="oostt">'IPA Detail Cost'!$I$98</definedName>
    <definedName name="ootth" localSheetId="2">'[1]IPA Detail Cost'!$F$116</definedName>
    <definedName name="ootth">'IPA Detail Cost'!$F$116</definedName>
    <definedName name="oottl" localSheetId="2">'[1]IPA Detail Cost'!$G$116</definedName>
    <definedName name="oottl">'IPA Detail Cost'!$G$116</definedName>
    <definedName name="oottm" localSheetId="2">'[1]IPA Detail Cost'!$H$116</definedName>
    <definedName name="oottm">'IPA Detail Cost'!$H$116</definedName>
    <definedName name="oottt" localSheetId="2">'[1]IPA Detail Cost'!$I$116</definedName>
    <definedName name="oottt">'IPA Detail Cost'!$I$116</definedName>
    <definedName name="otth" localSheetId="2">'[1]IPA Detail Cost'!$F$118</definedName>
    <definedName name="otth">'IPA Detail Cost'!$F$118</definedName>
    <definedName name="pctexp" localSheetId="2">'[1]IPA Detail Cost'!$J$13</definedName>
    <definedName name="pctexp">'IPA Detail Cost'!$J$13</definedName>
    <definedName name="_xlnm.Print_Area" localSheetId="1">'IPA PES Sumry &amp; Cost Check'!$C$2:$H$20</definedName>
    <definedName name="qibl" localSheetId="2">'[1]IPA Detail Cost'!$F$169</definedName>
    <definedName name="qibl">'IPA Detail Cost'!$F$169</definedName>
    <definedName name="qico" localSheetId="2">'[1]IPA Detail Cost'!$F$167</definedName>
    <definedName name="qico">'IPA Detail Cost'!$F$167</definedName>
    <definedName name="qielc" localSheetId="2">'[1]IPA Detail Cost'!$G$159</definedName>
    <definedName name="qielc">'IPA Detail Cost'!$G$159</definedName>
    <definedName name="qiell" localSheetId="2">'[1]IPA Detail Cost'!$F$174</definedName>
    <definedName name="qiell">'IPA Detail Cost'!$F$174</definedName>
    <definedName name="qiewn" localSheetId="2">'[1]IPA Detail Cost'!$G$150</definedName>
    <definedName name="qiewn">'IPA Detail Cost'!$G$150</definedName>
    <definedName name="qiini" localSheetId="2">'[1]IPA Detail Cost'!$G$160</definedName>
    <definedName name="qiini">'IPA Detail Cost'!$G$160</definedName>
    <definedName name="qiinn" localSheetId="2">'[1]IPA Detail Cost'!$G$161</definedName>
    <definedName name="qiinn">'[3]IPA Detail Detail Cost'!$G$161</definedName>
    <definedName name="qipa" localSheetId="2">'[1]IPA Detail Cost'!$F$173</definedName>
    <definedName name="qipa">'IPA Detail Cost'!$F$173</definedName>
    <definedName name="qipil" localSheetId="2">'[1]IPA Detail Cost'!$F$170</definedName>
    <definedName name="qipil">'IPA Detail Cost'!$F$170</definedName>
    <definedName name="qipiw" localSheetId="2">'[1]IPA Detail Cost'!$F$171</definedName>
    <definedName name="qipiw">'IPA Detail Cost'!$F$171</definedName>
    <definedName name="qist" localSheetId="2">'[1]IPA Detail Cost'!$F$168</definedName>
    <definedName name="qist">'IPA Detail Cost'!$F$168</definedName>
    <definedName name="qobl" localSheetId="2">'[1]IPA Detail Cost'!$G$169</definedName>
    <definedName name="qobl">'IPA Detail Cost'!$G$169</definedName>
    <definedName name="qoco" localSheetId="2">'[1]IPA Detail Cost'!$G$167</definedName>
    <definedName name="qoco" xml:space="preserve">'[2]IPA Detail  Cost'!$G$167</definedName>
    <definedName name="qoelc" localSheetId="2">'[1]IPA Detail Cost'!$H$159</definedName>
    <definedName name="qoelc">'IPA Detail Cost'!$H$159</definedName>
    <definedName name="qoell" localSheetId="2">'[1]IPA Detail Cost'!$G$174</definedName>
    <definedName name="qoell">'IPA Detail Cost'!$G$174</definedName>
    <definedName name="qoewa" localSheetId="2">'[1]IPA Detail Cost'!$H$151</definedName>
    <definedName name="qoewa">'IPA Detail Cost'!$H$151</definedName>
    <definedName name="qoewn" localSheetId="2">'[1]IPA Detail Cost'!$H$150</definedName>
    <definedName name="qoewn">'IPA Detail Cost'!$H$150</definedName>
    <definedName name="qoini" localSheetId="2">'[1]IPA Detail Cost'!$H$160</definedName>
    <definedName name="qoini">'IPA Detail Cost'!$H$160</definedName>
    <definedName name="qoinn" localSheetId="2">'[1]IPA Detail Cost'!$H$161</definedName>
    <definedName name="qoinn">'IPA Detail Cost'!$H$161</definedName>
    <definedName name="qopa" localSheetId="2">'[1]IPA Detail Cost'!$G$173</definedName>
    <definedName name="qopa">'IPA Detail Cost'!$G$173</definedName>
    <definedName name="qopil" localSheetId="2">'[1]IPA Detail Cost'!$G$170</definedName>
    <definedName name="qopil">'IPA Detail Cost'!$G$170</definedName>
    <definedName name="qopiw" localSheetId="2">'[1]IPA Detail Cost'!$G$171</definedName>
    <definedName name="qopiw">'IPA Detail Cost'!$G$171</definedName>
    <definedName name="qost" localSheetId="2">'[1]IPA Detail Cost'!$G$168</definedName>
    <definedName name="qost">'IPA Detail Cost'!$G$168</definedName>
    <definedName name="spec" localSheetId="2">'[1]IPA Detail Cost'!$M$136</definedName>
    <definedName name="spec">'IPA Detail Cost'!$M$136</definedName>
    <definedName name="tstp" localSheetId="2">'[1]IPA Detail Cost'!$M$138</definedName>
    <definedName name="tstp">'IPA Detail Cost'!$M$138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<sst xmlns="http://schemas.openxmlformats.org/spreadsheetml/2006/main" count="202" uniqueCount="135">
  <si>
    <t>DETAIL ACCOUNTS MAPPED TO THE PES COST SUMMARY ACCOUNTS</t>
  </si>
  <si>
    <t>Cost Categories</t>
  </si>
  <si>
    <t>ISBL</t>
  </si>
  <si>
    <t>OSBL</t>
  </si>
  <si>
    <t>TOTAL</t>
  </si>
  <si>
    <t>Project Definition</t>
  </si>
  <si>
    <t>allocated by the % in detail</t>
  </si>
  <si>
    <t>Detailed Engineering</t>
  </si>
  <si>
    <t>Project Management</t>
  </si>
  <si>
    <t>post-authorization</t>
  </si>
  <si>
    <t>Equipment</t>
  </si>
  <si>
    <t>Bulk Materials</t>
  </si>
  <si>
    <t>Construction Management</t>
  </si>
  <si>
    <t>only includes CM costs</t>
  </si>
  <si>
    <t>Construction Labor</t>
  </si>
  <si>
    <t>Other Construction Related Costs</t>
  </si>
  <si>
    <t>Lump Sum Contracts</t>
  </si>
  <si>
    <t>these are allocated to the disciplines in detail sheet</t>
  </si>
  <si>
    <t>Contingency</t>
  </si>
  <si>
    <t>Escalation</t>
  </si>
  <si>
    <t>Total Design and Construction</t>
  </si>
  <si>
    <t>Special</t>
  </si>
  <si>
    <t>Start-up</t>
  </si>
  <si>
    <t>Project Total</t>
  </si>
  <si>
    <r>
      <t xml:space="preserve">COST DATA ENTRY CHECK: </t>
    </r>
    <r>
      <rPr>
        <i/>
        <sz val="10"/>
        <color auto="1"/>
        <rFont val="Helvetica"/>
        <family val="2"/>
      </rPr>
      <t>(notes below do not necessarily indicate an error - they highlight entries to confirm)</t>
    </r>
  </si>
  <si>
    <t>General:</t>
  </si>
  <si>
    <t>Metric</t>
  </si>
  <si>
    <t>Caution Notes</t>
  </si>
  <si>
    <t>% of Total Design and Construction:</t>
  </si>
  <si>
    <t>Construction Mgmt</t>
  </si>
  <si>
    <t xml:space="preserve">Other Construction </t>
  </si>
  <si>
    <t>Total</t>
  </si>
  <si>
    <t>All-in Labor Rates (costs/hour):</t>
  </si>
  <si>
    <t>rate comments apply only to U.S. projects</t>
  </si>
  <si>
    <t>PM (owner)</t>
  </si>
  <si>
    <t>PM (contractor)</t>
  </si>
  <si>
    <t>Engineering (owner)</t>
  </si>
  <si>
    <t>Engineering (contr.)</t>
  </si>
  <si>
    <t>Construction (owner)</t>
  </si>
  <si>
    <t>Construction (contr.)</t>
  </si>
  <si>
    <t>Other Metrics:</t>
  </si>
  <si>
    <t>Constr. Labor/Bulks</t>
  </si>
  <si>
    <t>Electrical Eqmt/Bulks</t>
  </si>
  <si>
    <t>Control Eqmt/Bulks</t>
  </si>
  <si>
    <t>Special Costs/Total</t>
  </si>
  <si>
    <t>Material Unit Costs:</t>
  </si>
  <si>
    <t>material unit cost comments only apply if costs are in U.S. dollars</t>
  </si>
  <si>
    <t>$/Yard of Concrete</t>
  </si>
  <si>
    <t>$/Ton of Steel</t>
  </si>
  <si>
    <t>$/Foot of Pipe</t>
  </si>
  <si>
    <t>$/Instrument</t>
  </si>
  <si>
    <t>Comment Look-up tables</t>
  </si>
  <si>
    <t>Percent of Total Replies:</t>
  </si>
  <si>
    <t>Notes:</t>
  </si>
  <si>
    <t xml:space="preserve">There should be cost in this account. Must enter a percent in cell J13 of front sheet </t>
  </si>
  <si>
    <t>low? (is the percent of PM and engineering effort spent prior to authorization correct?)</t>
  </si>
  <si>
    <t>no comment</t>
  </si>
  <si>
    <t>high? (is the percent of PM and engineering effort spent prior to authorization correct?)</t>
  </si>
  <si>
    <t>There should typically be cost in this account</t>
  </si>
  <si>
    <t>low? (are owner's engineering costs included?)</t>
  </si>
  <si>
    <t>high? (is the percent spent prior to authorization correct? Were PM costs mistakenly charged to engineering?)</t>
  </si>
  <si>
    <t>Was there any costs for overall construction supervision and/or CM on this project?</t>
  </si>
  <si>
    <t>low? (was anyone dedicated to overall supervision and management of construction work?)</t>
  </si>
  <si>
    <t>high? (first-line craft supervision, most indirects, overhead, and profit should be in all-in construction labor)</t>
  </si>
  <si>
    <t>Review</t>
  </si>
  <si>
    <t>low? (are owners PM costs included?)</t>
  </si>
  <si>
    <t>Cost (Millions)</t>
  </si>
  <si>
    <t>Estimated</t>
  </si>
  <si>
    <t>Actual</t>
  </si>
  <si>
    <t>high? (does some of this cost really belong in engineering or CM accounts?)</t>
  </si>
  <si>
    <t>Was there equipment material costs for this project?</t>
  </si>
  <si>
    <t>low for projects that include the installation of new equipment?</t>
  </si>
  <si>
    <t>Major Equipment</t>
  </si>
  <si>
    <t>high? (except for highly modular, discrete mfg, and similar projects)</t>
  </si>
  <si>
    <t>low? (except for highly modular, discrete mfg, and similar projects)</t>
  </si>
  <si>
    <t>Other Construction-Related</t>
  </si>
  <si>
    <t>high? (except for revamp projects with little or no equipment)</t>
  </si>
  <si>
    <t>Lump-Sum Contracts</t>
  </si>
  <si>
    <t xml:space="preserve">low? (except for highly modular, discrete mfg, or lots of contingency. Include all-in labor costs) </t>
  </si>
  <si>
    <t>high? (except for labor intensive revamp, civil, etc.)</t>
  </si>
  <si>
    <t>Was there any CM provided equipment rental (I.e. cranes, etc)</t>
  </si>
  <si>
    <t>Startup</t>
  </si>
  <si>
    <t>low? (was there any major construction equipment rental, temporary utilities, etc.?)</t>
  </si>
  <si>
    <t>high? (most field indirects should be included in contruction labor costs unless provided by CM)</t>
  </si>
  <si>
    <t>Is there any contingency estimated for this project?</t>
  </si>
  <si>
    <t xml:space="preserve">low? </t>
  </si>
  <si>
    <t xml:space="preserve">high? </t>
  </si>
  <si>
    <t>Is there any escalation estimated for this project?</t>
  </si>
  <si>
    <t>low?</t>
  </si>
  <si>
    <t>high?</t>
  </si>
  <si>
    <t>Labor Rate Replies:</t>
  </si>
  <si>
    <t>Are there any owner PM hours and costs for this project?</t>
  </si>
  <si>
    <t>low? (are hours too high?)</t>
  </si>
  <si>
    <t>high? (are hours too low?)</t>
  </si>
  <si>
    <t>Are there any contractor PM hours and costs for this project?</t>
  </si>
  <si>
    <t>Are there any owner engineering hours and costs for this project?</t>
  </si>
  <si>
    <t>Are there any contractor engineering hours and costs for this project?</t>
  </si>
  <si>
    <t>Are there any owner construction hours and costs for this project?</t>
  </si>
  <si>
    <t>low? (are hours too high? based on "all-in" labor costs including craft supervision and indirects?)</t>
  </si>
  <si>
    <t>Are there any contractor construction hours and costs for this project?</t>
  </si>
  <si>
    <t>Other Metrics</t>
  </si>
  <si>
    <t>Are there any construction labor or bulk material costs?</t>
  </si>
  <si>
    <t>low? ("all-in" labor costs entered? are lump sum costs allocated between labor and material)</t>
  </si>
  <si>
    <t>high? (were all lump sum costs allocated between labor and material)</t>
  </si>
  <si>
    <t>Is there any electrical hardware (transformers, MCCs, switchgear, etc.)</t>
  </si>
  <si>
    <t>low? (elec. equipment and bulks allocated correctly?)</t>
  </si>
  <si>
    <t>high? (elec. equipment and bulks allocated correctly)</t>
  </si>
  <si>
    <t>Is there any control hardware (DCS hardware, PLCs, control stations, etc.)</t>
  </si>
  <si>
    <t>low? (control equipment and bulks allocated correctly?)</t>
  </si>
  <si>
    <t>high? (instruments and control valves should be in bulks)</t>
  </si>
  <si>
    <t>high? (please check definitions to make sure all these costs should really be "below-the-line")</t>
  </si>
  <si>
    <t>Unit Costs</t>
  </si>
  <si>
    <t>can you estimate the concrete material quantity (if applicable)?</t>
  </si>
  <si>
    <t>can you estimate the structural steel material quantity (if applicable)?</t>
  </si>
  <si>
    <t>can you estimate the length of piping (if applicable)?</t>
  </si>
  <si>
    <t>can you estimate the number of instruments (if applicable)?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</si>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</sst>
</file>

<file path=xl/styles.xml><?xml version="1.0" encoding="utf-8"?>
<styleSheet xmlns="http://schemas.openxmlformats.org/spreadsheetml/2006/main">
  <numFmts count="5">
    <numFmt numFmtId="8" formatCode="&quot;$&quot;#,##0.00_);[Red]\(&quot;$&quot;#,##0.00\)"/>
    <numFmt numFmtId="164" formatCode="&quot;$&quot;#,##0.000"/>
    <numFmt numFmtId="165" formatCode="&quot;$&quot;#,##0"/>
    <numFmt numFmtId="166" formatCode="0.0%"/>
    <numFmt numFmtId="167" formatCode="#,##0.0000"/>
  </numFmts>
  <fonts count="14">
    <font>
      <sz val="10"/>
      <color auto="1"/>
      <name val="MS Sans Serif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auto="1"/>
      <name val="Helvetica"/>
      <family val="2"/>
    </font>
    <font>
      <b/>
      <sz val="10"/>
      <color auto="1"/>
      <name val="Helvetica"/>
      <family val="2"/>
    </font>
    <font>
      <b/>
      <sz val="10"/>
      <color auto="1"/>
      <name val="Helvetica"/>
    </font>
    <font>
      <i/>
      <sz val="10"/>
      <color auto="1"/>
      <name val="Helvetica"/>
      <family val="2"/>
    </font>
    <font>
      <sz val="10"/>
      <color indexed="10"/>
      <name val="Helvetica"/>
      <family val="2"/>
    </font>
    <font>
      <sz val="10"/>
      <color auto="1"/>
      <name val="MS Sans Serif"/>
      <family val="2"/>
    </font>
    <font>
      <sz val="10"/>
      <color indexed="9"/>
      <name val="MS Sans Serif"/>
      <family val="2"/>
    </font>
    <font>
      <sz val="10"/>
      <color auto="1"/>
      <name val="Helvetica"/>
    </font>
    <font>
      <b/>
      <sz val="16"/>
      <color auto="1"/>
      <name val="Helvetica"/>
    </font>
    <font>
      <sz val="10"/>
      <color indexed="12"/>
      <name val="Helvetica"/>
    </font>
    <font>
      <sz val="11"/>
      <color auto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22"/>
        <bgColor auto="1"/>
      </patternFill>
    </fill>
    <fill>
      <patternFill patternType="solid">
        <fgColor indexed="27"/>
        <bgColor auto="1"/>
      </patternFill>
    </fill>
    <fill>
      <patternFill patternType="solid">
        <fgColor indexed="26"/>
        <bgColor auto="1"/>
      </patternFill>
    </fill>
    <fill>
      <patternFill patternType="solid">
        <fgColor indexed="9"/>
        <bgColor auto="1"/>
      </patternFill>
    </fill>
  </fills>
  <borders count="61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double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thin">
        <color auto="1"/>
      </left>
      <right/>
      <top style="double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double">
        <color auto="1"/>
      </top>
      <bottom style="double">
        <color auto="1"/>
      </bottom>
      <diagonal/>
    </border>
    <border>
      <left style="medium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 style="thin">
        <color auto="1"/>
      </left>
      <right/>
      <top style="double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medium">
        <color auto="1"/>
      </right>
      <top/>
      <bottom style="double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double">
        <color auto="1"/>
      </right>
      <top style="medium">
        <color auto="1"/>
      </top>
      <bottom/>
      <diagonal/>
    </border>
    <border>
      <left style="double">
        <color auto="1"/>
      </left>
      <right/>
      <top style="medium">
        <color auto="1"/>
      </top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double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double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/>
      <top style="double">
        <color auto="1"/>
      </top>
      <bottom style="medium">
        <color auto="1"/>
      </bottom>
      <diagonal/>
    </border>
    <border>
      <left/>
      <right/>
      <top style="double">
        <color auto="1"/>
      </top>
      <bottom style="medium">
        <color auto="1"/>
      </bottom>
      <diagonal/>
    </border>
    <border>
      <left/>
      <right style="double">
        <color auto="1"/>
      </right>
      <top style="double">
        <color auto="1"/>
      </top>
      <bottom style="medium">
        <color auto="1"/>
      </bottom>
      <diagonal/>
    </border>
    <border>
      <left style="double">
        <color auto="1"/>
      </left>
      <right/>
      <top style="double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double">
        <color auto="1"/>
      </top>
      <bottom style="medium">
        <color auto="1"/>
      </bottom>
      <diagonal/>
    </border>
  </borders>
  <cellStyleXfs count="14">
    <xf fontId="0" numFmtId="0" fillId="0" borderId="0"/>
    <xf applyFont="0" applyFill="0" applyBorder="0" applyAlignment="0" applyProtection="0" fontId="8" numFmtId="8" fillId="0" borderId="0"/>
    <xf applyFont="0" applyFill="0" applyBorder="0" applyAlignment="0" applyProtection="0" fontId="8" numFmtId="9" fillId="0" borderId="0"/>
    <xf applyBorder="0" fontId="5" numFmtId="0" fillId="6" borderId="36">
      <alignment horizontal="center" wrapText="1"/>
    </xf>
    <xf applyBorder="0" fontId="10" numFmtId="0" fillId="7" borderId="0">
      <alignment wrapText="1"/>
      <protection locked="0"/>
    </xf>
    <xf applyBorder="0" fontId="11" numFmtId="0" fillId="8" borderId="0">
      <alignment horizontal="center"/>
    </xf>
    <xf applyBorder="0" fontId="5" numFmtId="0" fillId="8" borderId="0">
      <alignment horizontal="left"/>
    </xf>
    <xf applyBorder="0" fontId="10" numFmtId="0" fillId="8" borderId="0">
      <alignment horizontal="center"/>
    </xf>
    <xf applyBorder="0" fontId="12" numFmtId="0" fillId="8" borderId="0">
      <alignment horizontal="left"/>
    </xf>
    <xf applyBorder="0" fontId="10" numFmtId="167" fillId="8" borderId="50">
      <alignment horizontal="right"/>
    </xf>
    <xf applyNumberFormat="0" applyBorder="0" applyAlignment="0" applyProtection="0" fontId="1" numFmtId="0" fillId="2" borderId="0"/>
    <xf fontId="1" numFmtId="0" fillId="0" borderId="0"/>
    <xf applyNumberFormat="0" applyBorder="0" applyAlignment="0" applyProtection="0" fontId="1" numFmtId="0" fillId="4" borderId="0"/>
    <xf applyNumberFormat="0" applyBorder="0" applyAlignment="0" applyProtection="0" fontId="2" numFmtId="0" fillId="3" borderId="0"/>
  </cellStyleXfs>
  <cellXfs count="114">
    <xf fontId="0" numFmtId="0" fillId="0" borderId="0" xfId="0"/>
    <xf applyFont="1" applyBorder="1" fontId="3" numFmtId="0" fillId="0" borderId="0" xfId="0"/>
    <xf applyFont="1" applyBorder="1" applyAlignment="1" fontId="4" numFmtId="0" fillId="0" borderId="1" xfId="0">
      <alignment horizontal="centerContinuous"/>
    </xf>
    <xf applyFont="1" applyBorder="1" applyAlignment="1" fontId="3" numFmtId="0" fillId="0" borderId="2" xfId="0">
      <alignment horizontal="centerContinuous"/>
    </xf>
    <xf applyFont="1" applyBorder="1" applyAlignment="1" fontId="3" numFmtId="0" fillId="0" borderId="3" xfId="0">
      <alignment horizontal="centerContinuous"/>
    </xf>
    <xf applyFont="1" applyBorder="1" fontId="5" numFmtId="0" fillId="0" borderId="4" xfId="0"/>
    <xf applyFont="1" applyBorder="1" fontId="5" numFmtId="0" fillId="0" borderId="5" xfId="0"/>
    <xf applyFont="1" applyBorder="1" applyAlignment="1" fontId="5" numFmtId="0" fillId="0" borderId="6" xfId="0">
      <alignment horizontal="center"/>
    </xf>
    <xf applyFont="1" applyBorder="1" applyAlignment="1" fontId="5" numFmtId="0" fillId="0" borderId="7" xfId="0">
      <alignment horizontal="center"/>
    </xf>
    <xf applyFont="1" applyBorder="1" fontId="3" numFmtId="0" fillId="0" borderId="8" xfId="0"/>
    <xf applyFont="1" applyBorder="1" fontId="3" numFmtId="0" fillId="0" borderId="9" xfId="0"/>
    <xf applyNumberFormat="1" applyFont="1" applyFill="1" applyBorder="1" fontId="3" numFmtId="164" fillId="5" borderId="10" xfId="0"/>
    <xf applyNumberFormat="1" applyFont="1" applyBorder="1" fontId="3" numFmtId="164" fillId="0" borderId="11" xfId="0"/>
    <xf applyFont="1" applyBorder="1" fontId="3" numFmtId="0" fillId="0" borderId="12" xfId="0"/>
    <xf applyFont="1" applyBorder="1" fontId="3" numFmtId="0" fillId="0" borderId="13" xfId="0"/>
    <xf applyNumberFormat="1" applyFont="1" applyFill="1" applyBorder="1" fontId="3" numFmtId="164" fillId="5" borderId="14" xfId="0"/>
    <xf applyNumberFormat="1" applyFont="1" applyBorder="1" fontId="3" numFmtId="164" fillId="0" borderId="15" xfId="0"/>
    <xf applyNumberFormat="1" applyFont="1" applyBorder="1" fontId="3" numFmtId="164" fillId="0" borderId="14" xfId="0"/>
    <xf applyFont="1" applyBorder="1" fontId="3" numFmtId="0" fillId="0" borderId="16" xfId="0"/>
    <xf applyFont="1" applyBorder="1" fontId="3" numFmtId="0" fillId="0" borderId="17" xfId="0"/>
    <xf applyNumberFormat="1" applyFont="1" applyFill="1" applyBorder="1" fontId="3" numFmtId="164" fillId="5" borderId="18" xfId="0"/>
    <xf applyNumberFormat="1" applyFont="1" applyBorder="1" fontId="3" numFmtId="164" fillId="0" borderId="19" xfId="0"/>
    <xf applyNumberFormat="1" applyFont="1" applyFill="1" applyBorder="1" fontId="3" numFmtId="164" fillId="5" borderId="15" xfId="0"/>
    <xf applyFont="1" applyBorder="1" fontId="5" numFmtId="0" fillId="0" borderId="20" xfId="0"/>
    <xf applyFont="1" applyBorder="1" fontId="3" numFmtId="0" fillId="0" borderId="21" xfId="0"/>
    <xf applyNumberFormat="1" applyFont="1" applyFill="1" applyBorder="1" fontId="3" numFmtId="164" fillId="5" borderId="22" xfId="0"/>
    <xf applyNumberFormat="1" applyFont="1" applyBorder="1" fontId="3" numFmtId="164" fillId="0" borderId="23" xfId="0"/>
    <xf applyFont="1" applyBorder="1" fontId="3" numFmtId="0" fillId="0" borderId="24" xfId="0"/>
    <xf applyFont="1" applyBorder="1" fontId="3" numFmtId="0" fillId="0" borderId="25" xfId="0"/>
    <xf applyNumberFormat="1" applyFont="1" applyFill="1" applyBorder="1" fontId="3" numFmtId="164" fillId="5" borderId="26" xfId="0"/>
    <xf applyNumberFormat="1" applyFont="1" applyBorder="1" fontId="3" numFmtId="164" fillId="0" borderId="27" xfId="0"/>
    <xf applyFont="1" applyBorder="1" fontId="3" numFmtId="0" fillId="0" borderId="28" xfId="0"/>
    <xf applyFont="1" applyBorder="1" fontId="3" numFmtId="0" fillId="0" borderId="29" xfId="0"/>
    <xf applyNumberFormat="1" applyFont="1" applyFill="1" applyBorder="1" fontId="3" numFmtId="164" fillId="5" borderId="30" xfId="0"/>
    <xf applyNumberFormat="1" applyFont="1" applyBorder="1" fontId="3" numFmtId="164" fillId="0" borderId="31" xfId="0"/>
    <xf applyFont="1" applyBorder="1" fontId="5" numFmtId="0" fillId="0" borderId="32" xfId="0"/>
    <xf applyFont="1" applyBorder="1" fontId="3" numFmtId="0" fillId="0" borderId="33" xfId="0"/>
    <xf applyNumberFormat="1" applyFont="1" applyFill="1" applyBorder="1" fontId="3" numFmtId="164" fillId="5" borderId="34" xfId="0"/>
    <xf applyNumberFormat="1" applyFont="1" applyBorder="1" fontId="3" numFmtId="164" fillId="0" borderId="35" xfId="0"/>
    <xf applyNumberFormat="1" applyFont="1" applyBorder="1" fontId="3" numFmtId="165" fillId="0" borderId="0" xfId="0"/>
    <xf applyNumberFormat="1" applyFont="1" applyBorder="1" fontId="3" numFmtId="10" fillId="0" borderId="0" xfId="0"/>
    <xf applyFont="1" applyBorder="1" fontId="4" numFmtId="0" fillId="0" borderId="9" xfId="0"/>
    <xf applyFont="1" applyBorder="1" fontId="4" numFmtId="0" fillId="0" borderId="0" xfId="0"/>
    <xf applyFont="1" applyBorder="1" fontId="7" numFmtId="0" fillId="0" borderId="0" xfId="0"/>
    <xf applyFont="1" applyBorder="1" fontId="4" numFmtId="0" fillId="0" borderId="10" xfId="0"/>
    <xf applyFont="1" applyBorder="1" fontId="3" numFmtId="0" fillId="0" borderId="36" xfId="0"/>
    <xf applyNumberFormat="1" applyFont="1" applyBorder="1" fontId="3" numFmtId="166" fillId="0" borderId="0" xfId="2"/>
    <xf applyFont="1" applyBorder="1" fontId="7" numFmtId="0" fillId="0" borderId="36" xfId="0"/>
    <xf applyNumberFormat="1" applyFont="1" applyBorder="1" fontId="3" numFmtId="9" fillId="0" borderId="37" xfId="2"/>
    <xf applyFont="1" applyBorder="1" fontId="4" numFmtId="0" fillId="0" borderId="17" xfId="0"/>
    <xf applyFont="1" applyBorder="1" fontId="6" numFmtId="0" fillId="0" borderId="18" xfId="0"/>
    <xf applyFont="1" applyBorder="1" fontId="3" numFmtId="8" fillId="0" borderId="0" xfId="1"/>
    <xf applyFont="1" applyBorder="1" fontId="7" numFmtId="0" fillId="0" borderId="18" xfId="0"/>
    <xf applyNumberFormat="1" applyFont="1" applyBorder="1" fontId="3" numFmtId="2" fillId="0" borderId="0" xfId="0"/>
    <xf applyNumberFormat="1" applyFont="1" applyBorder="1" applyAlignment="1" fontId="3" numFmtId="2" fillId="0" borderId="0" xfId="0">
      <alignment horizontal="right"/>
    </xf>
    <xf applyFont="1" applyBorder="1" fontId="9" numFmtId="0" fillId="0" borderId="0" xfId="0"/>
    <xf applyAlignment="1" fontId="11" numFmtId="0" fillId="8" borderId="0" xfId="5">
      <alignment horizontal="center" wrapText="1"/>
    </xf>
    <xf applyFont="1" applyBorder="1" applyAlignment="1" fontId="5" numFmtId="0" fillId="6" borderId="48" xfId="3">
      <alignment horizontal="center" wrapText="1"/>
    </xf>
    <xf applyFont="1" applyBorder="1" applyAlignment="1" fontId="5" numFmtId="0" fillId="6" borderId="7" xfId="3">
      <alignment horizontal="center" wrapText="1"/>
    </xf>
    <xf applyNumberFormat="1" applyFill="1" applyBorder="1" applyAlignment="1" fontId="10" numFmtId="164" fillId="0" borderId="51" xfId="9">
      <alignment horizontal="right" wrapText="1"/>
    </xf>
    <xf applyNumberFormat="1" applyBorder="1" applyAlignment="1" fontId="10" numFmtId="164" fillId="8" borderId="27" xfId="9">
      <alignment horizontal="right" wrapText="1"/>
    </xf>
    <xf applyNumberFormat="1" applyBorder="1" applyAlignment="1" fontId="10" numFmtId="164" fillId="8" borderId="52" xfId="9">
      <alignment horizontal="right" wrapText="1"/>
    </xf>
    <xf applyNumberFormat="1" applyBorder="1" applyAlignment="1" fontId="10" numFmtId="164" fillId="8" borderId="15" xfId="9">
      <alignment horizontal="right" wrapText="1"/>
    </xf>
    <xf applyFont="1" applyFill="1" applyBorder="1" applyAlignment="1" fontId="10" numFmtId="167" fillId="5" borderId="15" xfId="9">
      <alignment horizontal="right" wrapText="1"/>
    </xf>
    <xf applyNumberFormat="1" applyBorder="1" applyAlignment="1" fontId="10" numFmtId="164" fillId="8" borderId="48" xfId="9">
      <alignment horizontal="right" wrapText="1"/>
    </xf>
    <xf applyFont="1" applyFill="1" applyBorder="1" applyAlignment="1" fontId="10" numFmtId="167" fillId="5" borderId="7" xfId="9">
      <alignment horizontal="right" wrapText="1"/>
    </xf>
    <xf applyNumberFormat="1" applyBorder="1" applyAlignment="1" fontId="10" numFmtId="164" fillId="8" borderId="23" xfId="9">
      <alignment horizontal="right" wrapText="1"/>
    </xf>
    <xf applyNumberFormat="1" applyBorder="1" applyAlignment="1" fontId="10" numFmtId="164" fillId="8" borderId="51" xfId="9">
      <alignment horizontal="right" wrapText="1"/>
    </xf>
    <xf applyNumberFormat="1" applyBorder="1" applyAlignment="1" fontId="10" numFmtId="164" fillId="8" borderId="7" xfId="9">
      <alignment horizontal="right" wrapText="1"/>
    </xf>
    <xf applyNumberFormat="1" applyBorder="1" applyAlignment="1" fontId="10" numFmtId="164" fillId="8" borderId="59" xfId="9">
      <alignment horizontal="right" wrapText="1"/>
    </xf>
    <xf applyNumberFormat="1" applyBorder="1" applyAlignment="1" fontId="10" numFmtId="164" fillId="8" borderId="60" xfId="9">
      <alignment horizontal="right" wrapText="1"/>
    </xf>
    <xf fontId="1" numFmtId="0" fillId="2" borderId="0" xfId="10"/>
    <xf fontId="1" numFmtId="0" fillId="0" borderId="0" xfId="11"/>
    <xf fontId="1" numFmtId="0" fillId="4" borderId="0" xfId="12"/>
    <xf fontId="2" numFmtId="0" fillId="3" borderId="0" xfId="13"/>
    <xf applyFont="1" fontId="1" numFmtId="0" fillId="0" borderId="0" xfId="11"/>
    <xf applyNumberFormat="1" applyFont="1" applyAlignment="1" fontId="13" numFmtId="3" fillId="0" borderId="0" xfId="11">
      <alignment horizontal="right"/>
    </xf>
    <xf applyAlignment="1" fontId="1" numFmtId="0" fillId="0" borderId="0" xfId="11">
      <alignment horizontal="left"/>
    </xf>
    <xf applyBorder="1" applyAlignment="1" fontId="12" numFmtId="0" fillId="8" borderId="4" xfId="8">
      <alignment horizontal="left" wrapText="1"/>
    </xf>
    <xf applyBorder="1" applyAlignment="1" fontId="12" numFmtId="0" fillId="8" borderId="5" xfId="8">
      <alignment horizontal="left" wrapText="1"/>
    </xf>
    <xf applyBorder="1" applyAlignment="1" fontId="12" numFmtId="0" fillId="8" borderId="53" xfId="8">
      <alignment horizontal="left" wrapText="1"/>
    </xf>
    <xf applyBorder="1" applyAlignment="1" fontId="5" numFmtId="0" fillId="8" borderId="56" xfId="6">
      <alignment horizontal="left" wrapText="1"/>
    </xf>
    <xf applyBorder="1" applyAlignment="1" fontId="5" numFmtId="0" fillId="8" borderId="57" xfId="6">
      <alignment horizontal="left" wrapText="1"/>
    </xf>
    <xf applyBorder="1" applyAlignment="1" fontId="5" numFmtId="0" fillId="8" borderId="58" xfId="6">
      <alignment horizontal="left" wrapText="1"/>
    </xf>
    <xf applyBorder="1" applyAlignment="1" fontId="12" numFmtId="0" fillId="8" borderId="12" xfId="8">
      <alignment horizontal="left" wrapText="1"/>
    </xf>
    <xf applyBorder="1" applyAlignment="1" fontId="12" numFmtId="0" fillId="8" borderId="13" xfId="8">
      <alignment horizontal="left" wrapText="1"/>
    </xf>
    <xf applyBorder="1" applyAlignment="1" fontId="12" numFmtId="0" fillId="8" borderId="49" xfId="8">
      <alignment horizontal="left" wrapText="1"/>
    </xf>
    <xf applyBorder="1" applyAlignment="1" fontId="5" numFmtId="0" fillId="8" borderId="20" xfId="6">
      <alignment horizontal="left" wrapText="1"/>
    </xf>
    <xf applyBorder="1" applyAlignment="1" fontId="5" numFmtId="0" fillId="8" borderId="21" xfId="6">
      <alignment horizontal="left" wrapText="1"/>
    </xf>
    <xf applyBorder="1" applyAlignment="1" fontId="5" numFmtId="0" fillId="8" borderId="54" xfId="6">
      <alignment horizontal="left" wrapText="1"/>
    </xf>
    <xf applyBorder="1" applyAlignment="1" fontId="12" numFmtId="0" fillId="8" borderId="24" xfId="8">
      <alignment horizontal="left" wrapText="1"/>
    </xf>
    <xf applyBorder="1" applyAlignment="1" fontId="12" numFmtId="0" fillId="8" borderId="25" xfId="8">
      <alignment horizontal="left" wrapText="1"/>
    </xf>
    <xf applyBorder="1" applyAlignment="1" fontId="12" numFmtId="0" fillId="8" borderId="55" xfId="8">
      <alignment horizontal="left" wrapText="1"/>
    </xf>
    <xf applyBorder="1" applyAlignment="1" fontId="5" numFmtId="0" fillId="6" borderId="38" xfId="3">
      <alignment horizontal="center" wrapText="1"/>
    </xf>
    <xf applyBorder="1" applyAlignment="1" fontId="5" numFmtId="0" fillId="6" borderId="39" xfId="3">
      <alignment horizontal="center" wrapText="1"/>
    </xf>
    <xf applyBorder="1" applyAlignment="1" fontId="5" numFmtId="0" fillId="6" borderId="40" xfId="3">
      <alignment horizontal="center" wrapText="1"/>
    </xf>
    <xf applyBorder="1" applyAlignment="1" fontId="10" numFmtId="0" fillId="7" borderId="16" xfId="4">
      <alignment wrapText="1"/>
      <protection locked="0"/>
    </xf>
    <xf applyBorder="1" applyAlignment="1" fontId="10" numFmtId="0" fillId="7" borderId="17" xfId="4">
      <alignment wrapText="1"/>
      <protection locked="0"/>
    </xf>
    <xf applyBorder="1" applyAlignment="1" fontId="10" numFmtId="0" fillId="7" borderId="41" xfId="4">
      <alignment wrapText="1"/>
      <protection locked="0"/>
    </xf>
    <xf applyBorder="1" applyAlignment="1" fontId="10" numFmtId="0" fillId="7" borderId="42" xfId="4">
      <alignment wrapText="1"/>
      <protection locked="0"/>
    </xf>
    <xf applyBorder="1" applyAlignment="1" fontId="10" numFmtId="0" fillId="7" borderId="0" xfId="4">
      <alignment wrapText="1"/>
      <protection locked="0"/>
    </xf>
    <xf applyBorder="1" applyAlignment="1" fontId="10" numFmtId="0" fillId="7" borderId="43" xfId="4">
      <alignment wrapText="1"/>
      <protection locked="0"/>
    </xf>
    <xf applyBorder="1" applyAlignment="1" fontId="10" numFmtId="0" fillId="7" borderId="32" xfId="4">
      <alignment wrapText="1"/>
      <protection locked="0"/>
    </xf>
    <xf applyBorder="1" applyAlignment="1" fontId="10" numFmtId="0" fillId="7" borderId="33" xfId="4">
      <alignment wrapText="1"/>
      <protection locked="0"/>
    </xf>
    <xf applyBorder="1" applyAlignment="1" fontId="10" numFmtId="0" fillId="7" borderId="44" xfId="4">
      <alignment wrapText="1"/>
      <protection locked="0"/>
    </xf>
    <xf applyFont="1" applyBorder="1" applyAlignment="1" fontId="11" numFmtId="0" fillId="8" borderId="33" xfId="5">
      <alignment horizontal="center" wrapText="1"/>
    </xf>
    <xf applyBorder="1" applyAlignment="1" fontId="5" numFmtId="0" fillId="8" borderId="1" xfId="6">
      <alignment horizontal="left" wrapText="1"/>
    </xf>
    <xf applyBorder="1" applyAlignment="1" fontId="5" numFmtId="0" fillId="8" borderId="2" xfId="6">
      <alignment horizontal="left" wrapText="1"/>
    </xf>
    <xf applyBorder="1" applyAlignment="1" fontId="5" numFmtId="0" fillId="8" borderId="45" xfId="6">
      <alignment horizontal="left" wrapText="1"/>
    </xf>
    <xf applyBorder="1" applyAlignment="1" fontId="5" numFmtId="0" fillId="8" borderId="8" xfId="6">
      <alignment horizontal="left" wrapText="1"/>
    </xf>
    <xf applyBorder="1" applyAlignment="1" fontId="5" numFmtId="0" fillId="8" borderId="9" xfId="6">
      <alignment horizontal="left" wrapText="1"/>
    </xf>
    <xf applyBorder="1" applyAlignment="1" fontId="5" numFmtId="0" fillId="8" borderId="47" xfId="6">
      <alignment horizontal="left" wrapText="1"/>
    </xf>
    <xf applyFont="1" applyBorder="1" applyAlignment="1" fontId="10" numFmtId="0" fillId="8" borderId="46" xfId="7">
      <alignment horizontal="center" wrapText="1"/>
    </xf>
    <xf applyBorder="1" applyAlignment="1" fontId="0" numFmtId="0" fillId="0" borderId="40" xfId="0">
      <alignment horizontal="center" wrapText="1"/>
    </xf>
  </cellXfs>
  <cellStyles count="14">
    <cellStyle name="20% - Accent5 2" xfId="12"/>
    <cellStyle name="60% - Accent1 2" xfId="10"/>
    <cellStyle name="Accent5 2" xfId="13"/>
    <cellStyle name="Currency" xfId="1" builtinId="4"/>
    <cellStyle name="Currency4White10RightRegLocked" xfId="9"/>
    <cellStyle name="LtBlueCenterBold10LockedWrapped" xfId="3"/>
    <cellStyle name="Normal" xfId="0" builtinId="0"/>
    <cellStyle name="Normal 2 2" xfId="11"/>
    <cellStyle name="PaleYellowWhiteLeftReg10WrappedInput" xfId="4"/>
    <cellStyle name="Percent" xfId="2" builtinId="5"/>
    <cellStyle name="WhiteCenterBold16Locked" xfId="5"/>
    <cellStyle name="WhiteCenterReg10Locked" xfId="7"/>
    <cellStyle name="WhiteLeftBold10Locked" xfId="6"/>
    <cellStyle name="WhiteLeftReg10LockedBlueText" xfId="8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4" Type="http://schemas.openxmlformats.org/officeDocument/2006/relationships/sharedStrings" Target="sharedStrings.xml" /><Relationship Id="flId6" Type="http://schemas.openxmlformats.org/officeDocument/2006/relationships/theme" Target="theme/theme1.xml" /><Relationship Id="flId5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Relationship Id="flId3" Type="http://schemas.openxmlformats.org/officeDocument/2006/relationships/worksheet" Target="worksheets/sheet3.xml" /><Relationship Id="flId8" Type="http://schemas.openxmlformats.org/officeDocument/2006/relationships/externalLink" Target="externalLinks/externalLink2.xml" /><Relationship Id="flId9" Type="http://schemas.openxmlformats.org/officeDocument/2006/relationships/externalLink" Target="externalLinks/externalLink3.xml" /><Relationship Id="flId10" Type="http://schemas.openxmlformats.org/officeDocument/2006/relationships/externalLink" Target="externalLinks/externalLink4.xml" /></Relationships>
</file>

<file path=xl/externalLinks/_rels/externalLink2.xml.rels>&#65279;<?xml version="1.0" encoding="utf-8" standalone="yes"?><Relationships xmlns="http://schemas.openxmlformats.org/package/2006/relationships"><Relationship Id="flId1" Type="http://schemas.openxmlformats.org/officeDocument/2006/relationships/externalLinkPath" Target="IPA%20Detail%20Cost.xlsm" TargetMode="External" /></Relationships>
</file>

<file path=xl/externalLinks/_rels/externalLink3.xml.rels>&#65279;<?xml version="1.0" encoding="utf-8" standalone="yes"?><Relationships xmlns="http://schemas.openxmlformats.org/package/2006/relationships"><Relationship Id="flId1" Type="http://schemas.openxmlformats.org/officeDocument/2006/relationships/externalLinkPath" Target="IPA%20Detail%20%20Cost" TargetMode="External" /></Relationships>
</file>

<file path=xl/externalLinks/_rels/externalLink4.xml.rels>&#65279;<?xml version="1.0" encoding="utf-8" standalone="yes"?><Relationships xmlns="http://schemas.openxmlformats.org/package/2006/relationships"><Relationship Id="flId1" Type="http://schemas.openxmlformats.org/officeDocument/2006/relationships/externalLinkPath" Target="IPA%20Detail%20Detail%20Cost" TargetMode="External" /></Relationships>
</file>

<file path=xl/externalLinks/externalLink2.xml><?xml version="1.0" encoding="utf-8"?>
<externalLink xmlns="http://schemas.openxmlformats.org/spreadsheetml/2006/main">
  <externalBook xmlns:r="http://schemas.openxmlformats.org/officeDocument/2006/relationships" r:id="flId1">
    <sheetNames>
      <sheetName val="IPA Detail Cost"/>
      <sheetName val="IPA Metrics"/>
      <sheetName val="&lt;#Config&gt;"/>
    </sheetNames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flId1">
    <sheetNames>
      <sheetName val="IPA Detail  Cost"/>
    </sheetNames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flId1">
    <sheetNames>
      <sheetName val="IPA Detail Detail Cost"/>
    </sheetNames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_rels/sheet3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3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"/>
  <sheetViews>
    <sheetView topLeftCell="A60" workbookViewId="0">
      <selection activeCell="E7" sqref="E7"/>
    </sheetView>
  </sheetViews>
  <sheetFormatPr defaultColWidth="9.140625" defaultRowHeight="12.75"/>
  <sheetData/>
  <pageMargins left="0.7" right="0.7" top="0.75" bottom="0.75" header="0.3" footer="0.3"/>
  <pageSetup usePrinterDefaults="0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3"/>
  <dimension ref="A1:M157"/>
  <sheetViews>
    <sheetView showGridLines="0" tabSelected="1" topLeftCell="A22" workbookViewId="0">
      <selection activeCell="D23" sqref="D23"/>
    </sheetView>
  </sheetViews>
  <sheetFormatPr defaultColWidth="9.140625" defaultRowHeight="12.75"/>
  <cols>
    <col min="1" max="2" width="9.140625" style="1"/>
    <col min="3" max="3" width="15.85546875" style="1" customWidth="1"/>
    <col min="4" max="8" width="17.7109375" style="1" customWidth="1"/>
    <col min="9" max="16384" width="9.140625" style="1"/>
  </cols>
  <sheetData>
    <row r="1" ht="13.5" thickBot="1"/>
    <row r="2">
      <c r="C2" s="2" t="s">
        <v>0</v>
      </c>
      <c r="D2" s="3"/>
      <c r="E2" s="3"/>
      <c r="F2" s="3"/>
      <c r="G2" s="3"/>
      <c r="H2" s="4"/>
    </row>
    <row r="3" ht="13.5" thickBot="1">
      <c r="C3" s="5" t="s">
        <v>1</v>
      </c>
      <c r="D3" s="6"/>
      <c r="E3" s="6"/>
      <c r="F3" s="7" t="s">
        <v>2</v>
      </c>
      <c r="G3" s="7" t="s">
        <v>3</v>
      </c>
      <c r="H3" s="8" t="s">
        <v>4</v>
      </c>
    </row>
    <row r="4" ht="13.5" thickTop="1">
      <c r="C4" s="9" t="s">
        <v>5</v>
      </c>
      <c r="D4" s="10"/>
      <c r="E4" s="10"/>
      <c r="F4" s="11" t="s">
        <v>6</v>
      </c>
      <c r="G4" s="11"/>
      <c r="H4" s="12">
        <f>('IPA Detail Cost'!I$57+'IPA Detail Cost'!M$57+'IPA Detail Cost'!I43+'IPA Detail Cost'!M43)*'IPA Detail Cost'!J13</f>
        <v>0</v>
      </c>
    </row>
    <row r="5">
      <c r="C5" s="13" t="s">
        <v>7</v>
      </c>
      <c r="D5" s="14"/>
      <c r="E5" s="14"/>
      <c r="F5" s="15" t="s">
        <v>6</v>
      </c>
      <c r="G5" s="15"/>
      <c r="H5" s="16">
        <f>('IPA Detail Cost'!I$57+'IPA Detail Cost'!M$57)*(1-'IPA Detail Cost'!J13)</f>
        <v>0</v>
      </c>
    </row>
    <row r="6">
      <c r="C6" s="13" t="s">
        <v>8</v>
      </c>
      <c r="D6" s="14"/>
      <c r="E6" s="14"/>
      <c r="F6" s="15" t="s">
        <v>9</v>
      </c>
      <c r="G6" s="15"/>
      <c r="H6" s="16">
        <f>('IPA Detail Cost'!I43+'IPA Detail Cost'!M43)*(1-'IPA Detail Cost'!J13)</f>
        <v>0</v>
      </c>
    </row>
    <row r="7">
      <c r="C7" s="13" t="s">
        <v>10</v>
      </c>
      <c r="D7" s="14"/>
      <c r="E7" s="14"/>
      <c r="F7" s="17">
        <f>ioemm+ioefm+icemm+icefm+iolem+iclem+iopem+icpem</f>
        <v>0</v>
      </c>
      <c r="G7" s="17">
        <f>ooemm+ooefm+ocemm+ocefm+oolem+oclem+oopem+ocpem</f>
        <v>0</v>
      </c>
      <c r="H7" s="16">
        <f>F7+G7</f>
        <v>0</v>
      </c>
    </row>
    <row r="8">
      <c r="C8" s="13" t="s">
        <v>11</v>
      </c>
      <c r="D8" s="14"/>
      <c r="E8" s="14"/>
      <c r="F8" s="17">
        <f>'IPA Detail Cost'!H93+'IPA Detail Cost'!L93-F7</f>
        <v>0</v>
      </c>
      <c r="G8" s="17">
        <f>'IPA Detail Cost'!H116+'IPA Detail Cost'!L116-G7</f>
        <v>0</v>
      </c>
      <c r="H8" s="16">
        <f>F8+G8</f>
        <v>0</v>
      </c>
    </row>
    <row r="9">
      <c r="C9" s="13" t="s">
        <v>12</v>
      </c>
      <c r="D9" s="14"/>
      <c r="E9" s="14"/>
      <c r="F9" s="15" t="s">
        <v>13</v>
      </c>
      <c r="G9" s="15"/>
      <c r="H9" s="16">
        <f>'IPA Detail Cost'!I61+'IPA Detail Cost'!M61</f>
        <v>0</v>
      </c>
    </row>
    <row r="10">
      <c r="C10" s="13" t="s">
        <v>14</v>
      </c>
      <c r="D10" s="14"/>
      <c r="E10" s="14"/>
      <c r="F10" s="17">
        <f>'IPA Detail Cost'!G93+'IPA Detail Cost'!K93</f>
        <v>0</v>
      </c>
      <c r="G10" s="17">
        <f>'IPA Detail Cost'!G116+'IPA Detail Cost'!K116</f>
        <v>0</v>
      </c>
      <c r="H10" s="16">
        <f>F10+G10</f>
        <v>0</v>
      </c>
    </row>
    <row r="11">
      <c r="C11" s="18" t="s">
        <v>15</v>
      </c>
      <c r="D11" s="19"/>
      <c r="E11" s="19"/>
      <c r="F11" s="20"/>
      <c r="G11" s="20"/>
      <c r="H11" s="21">
        <f>'IPA Detail Cost'!I64+'IPA Detail Cost'!M64-'IPA Detail Cost'!I61-'IPA Detail Cost'!M61</f>
        <v>0</v>
      </c>
    </row>
    <row r="12">
      <c r="C12" s="13" t="s">
        <v>16</v>
      </c>
      <c r="D12" s="14"/>
      <c r="E12" s="14"/>
      <c r="F12" s="15" t="s">
        <v>17</v>
      </c>
      <c r="G12" s="15"/>
      <c r="H12" s="22"/>
    </row>
    <row r="13">
      <c r="C13" s="18" t="s">
        <v>18</v>
      </c>
      <c r="D13" s="19"/>
      <c r="E13" s="19"/>
      <c r="F13" s="20"/>
      <c r="G13" s="20"/>
      <c r="H13" s="21">
        <f>'IPA Detail Cost'!M124</f>
        <v>0</v>
      </c>
    </row>
    <row r="14" ht="13.5" thickBot="1">
      <c r="C14" s="18" t="s">
        <v>19</v>
      </c>
      <c r="D14" s="19"/>
      <c r="E14" s="19"/>
      <c r="F14" s="20"/>
      <c r="G14" s="20"/>
      <c r="H14" s="21">
        <f>'IPA Detail Cost'!M126</f>
        <v>0</v>
      </c>
    </row>
    <row r="15" ht="14.25" thickTop="1" thickBot="1">
      <c r="C15" s="23" t="s">
        <v>20</v>
      </c>
      <c r="D15" s="24"/>
      <c r="E15" s="24"/>
      <c r="F15" s="25"/>
      <c r="G15" s="25"/>
      <c r="H15" s="26">
        <f>SUM(H4:H14)</f>
        <v>0</v>
      </c>
    </row>
    <row r="16" ht="13.5" thickTop="1">
      <c r="C16" s="27" t="s">
        <v>21</v>
      </c>
      <c r="D16" s="28"/>
      <c r="E16" s="28"/>
      <c r="F16" s="29"/>
      <c r="G16" s="29"/>
      <c r="H16" s="30">
        <f>'IPA Detail Cost'!I136+'IPA Detail Cost'!M136</f>
        <v>0</v>
      </c>
    </row>
    <row r="17" ht="13.5" thickBot="1">
      <c r="C17" s="31" t="s">
        <v>22</v>
      </c>
      <c r="D17" s="32"/>
      <c r="E17" s="32"/>
      <c r="F17" s="33"/>
      <c r="G17" s="33"/>
      <c r="H17" s="34">
        <f>'IPA Detail Cost'!I138+'IPA Detail Cost'!M138</f>
        <v>0</v>
      </c>
    </row>
    <row r="18" ht="14.25" thickTop="1" thickBot="1">
      <c r="C18" s="35" t="s">
        <v>23</v>
      </c>
      <c r="D18" s="36"/>
      <c r="E18" s="36"/>
      <c r="F18" s="37"/>
      <c r="G18" s="37"/>
      <c r="H18" s="38">
        <f>SUM(H15:H17)</f>
        <v>0</v>
      </c>
    </row>
    <row r="19">
      <c r="F19" s="39"/>
      <c r="G19" s="39"/>
      <c r="H19" s="39"/>
    </row>
    <row r="20">
      <c r="H20" s="40"/>
    </row>
    <row r="22">
      <c r="C22" s="41" t="s">
        <v>24</v>
      </c>
      <c r="D22" s="10"/>
      <c r="E22" s="10"/>
      <c r="F22" s="10"/>
      <c r="G22" s="10"/>
      <c r="H22" s="10"/>
      <c r="I22" s="10"/>
      <c r="J22" s="10"/>
    </row>
    <row r="23">
      <c r="C23" s="42" t="s">
        <v>25</v>
      </c>
      <c r="D23" s="43" t="str">
        <f>IF('IPA Detail Cost'!J13=0,"Must enter a percent in cell J13 of front sheet","")</f>
        <v>Must enter a percent in cell J13 of front sheet</v>
      </c>
    </row>
    <row r="24">
      <c r="C24" s="43"/>
    </row>
    <row r="25">
      <c r="C25" s="41" t="s">
        <v>26</v>
      </c>
      <c r="D25" s="10"/>
      <c r="E25" s="10"/>
      <c r="F25" s="44" t="s">
        <v>27</v>
      </c>
      <c r="G25" s="10"/>
      <c r="H25" s="10"/>
      <c r="I25" s="10"/>
      <c r="J25" s="10"/>
    </row>
    <row r="26">
      <c r="C26" s="42" t="s">
        <v>28</v>
      </c>
      <c r="F26" s="45"/>
    </row>
    <row r="27">
      <c r="C27" s="1" t="s">
        <v>5</v>
      </c>
      <c r="E27" s="46">
        <f>IF(H$15=0,0,H4/H$15)</f>
        <v>0</v>
      </c>
      <c r="F27" s="47" t="str">
        <f>VLOOKUP(E27,A58:B61,2)</f>
        <v xml:space="preserve">There should be cost in this account. Must enter a percent in cell J13 of front sheet </v>
      </c>
    </row>
    <row r="28">
      <c r="C28" s="1" t="s">
        <v>7</v>
      </c>
      <c r="E28" s="46">
        <f>IF(H$15=0,0,H5/H$15)</f>
        <v>0</v>
      </c>
      <c r="F28" s="47" t="str">
        <f>VLOOKUP(E28,A62:B65,2)</f>
        <v>There should typically be cost in this account</v>
      </c>
    </row>
    <row r="29">
      <c r="C29" s="1" t="s">
        <v>8</v>
      </c>
      <c r="E29" s="46">
        <f>IF(H$15=0,0,H6/H$15)</f>
        <v>0</v>
      </c>
      <c r="F29" s="47" t="str">
        <f>VLOOKUP(E29,A70:B73,2)</f>
        <v>There should typically be cost in this account</v>
      </c>
    </row>
    <row r="30">
      <c r="C30" s="1" t="s">
        <v>10</v>
      </c>
      <c r="E30" s="46">
        <f>IF(H$15=0,0,H7/H$15)</f>
        <v>0</v>
      </c>
      <c r="F30" s="47" t="str">
        <f>VLOOKUP(E30,A74:B77,2)</f>
        <v>Was there equipment material costs for this project?</v>
      </c>
    </row>
    <row r="31">
      <c r="C31" s="1" t="s">
        <v>11</v>
      </c>
      <c r="E31" s="46">
        <f>IF(H$15=0,0,H8/H$15)</f>
        <v>0</v>
      </c>
      <c r="F31" s="47" t="str">
        <f>VLOOKUP(E31,A78:B81,2)</f>
        <v>There should typically be cost in this account</v>
      </c>
    </row>
    <row r="32">
      <c r="C32" s="1" t="s">
        <v>29</v>
      </c>
      <c r="E32" s="46">
        <f>IF(H$15=0,0,H9/H$15)</f>
        <v>0</v>
      </c>
      <c r="F32" s="47" t="str">
        <f>VLOOKUP(E32,A66:B69,2)</f>
        <v>Was there any costs for overall construction supervision and/or CM on this project?</v>
      </c>
    </row>
    <row r="33">
      <c r="C33" s="1" t="s">
        <v>14</v>
      </c>
      <c r="E33" s="46">
        <f>IF(H$15=0,0,H10/H$15)</f>
        <v>0</v>
      </c>
      <c r="F33" s="47" t="str">
        <f>VLOOKUP(E33,A82:B85,2)</f>
        <v>There should typically be cost in this account</v>
      </c>
    </row>
    <row r="34">
      <c r="C34" s="1" t="s">
        <v>30</v>
      </c>
      <c r="E34" s="46">
        <f>IF(H$15=0,0,H11/H$15)</f>
        <v>0</v>
      </c>
      <c r="F34" s="47" t="str">
        <f>VLOOKUP(E34,A86:B89,2)</f>
        <v>Was there any CM provided equipment rental (I.e. cranes, etc)</v>
      </c>
    </row>
    <row r="35">
      <c r="C35" s="1" t="s">
        <v>18</v>
      </c>
      <c r="E35" s="46">
        <f>IF(H$15=0,0,H13/H$15)</f>
        <v>0</v>
      </c>
      <c r="F35" s="47" t="str">
        <f>IF('IPA Detail Cost'!D5=1,VLOOKUP(E35,A90:B93,2),IF(H13=0,"no comment","should be zero for actual costs"))</f>
        <v>no comment</v>
      </c>
    </row>
    <row r="36" ht="13.5" thickBot="1">
      <c r="C36" s="1" t="s">
        <v>19</v>
      </c>
      <c r="E36" s="46">
        <f>IF(H$15=0,0,H14/H$15)</f>
        <v>0</v>
      </c>
      <c r="F36" s="47" t="str">
        <f>IF('IPA Detail Cost'!D5=1,VLOOKUP(E36,A94:B97,2),IF(H14=0,"no comment","should be zero for actual costs"))</f>
        <v>no comment</v>
      </c>
    </row>
    <row r="37" ht="13.5" thickTop="1">
      <c r="C37" s="1" t="s">
        <v>31</v>
      </c>
      <c r="E37" s="48">
        <f>ROUND(SUM(E27:E36),0)</f>
        <v>0</v>
      </c>
      <c r="F37" s="47"/>
    </row>
    <row r="38">
      <c r="C38" s="49" t="s">
        <v>32</v>
      </c>
      <c r="D38" s="19"/>
      <c r="E38" s="19"/>
      <c r="F38" s="50" t="s">
        <v>33</v>
      </c>
      <c r="G38" s="19"/>
      <c r="H38" s="19"/>
      <c r="I38" s="19"/>
      <c r="J38" s="19"/>
    </row>
    <row r="39">
      <c r="C39" s="1" t="s">
        <v>34</v>
      </c>
      <c r="E39" s="51">
        <f>IF('IPA Detail Cost'!F43=0,0,'IPA Detail Cost'!G43*1000000/'IPA Detail Cost'!F43)</f>
        <v>0</v>
      </c>
      <c r="F39" s="47" t="str">
        <f>IF(ISBLANK('IPA Detail Cost'!D$32),VLOOKUP(E39,A99:B102,2),'IPA Detail Cost'!D$32)</f>
        <v>Are there any owner PM hours and costs for this project?</v>
      </c>
    </row>
    <row r="40">
      <c r="C40" s="1" t="s">
        <v>35</v>
      </c>
      <c r="E40" s="51">
        <f>IF('IPA Detail Cost'!J43=0,0,'IPA Detail Cost'!K43*1000000/'IPA Detail Cost'!J43)</f>
        <v>0</v>
      </c>
      <c r="F40" s="47" t="str">
        <f>IF(ISBLANK('IPA Detail Cost'!D$32),VLOOKUP(E40,A103:B106,2),'IPA Detail Cost'!D$32)</f>
        <v>Are there any contractor PM hours and costs for this project?</v>
      </c>
    </row>
    <row r="41">
      <c r="C41" s="1" t="s">
        <v>36</v>
      </c>
      <c r="E41" s="51">
        <f>IF('IPA Detail Cost'!F57=0,0,'IPA Detail Cost'!G57*1000000/'IPA Detail Cost'!F57)</f>
        <v>0</v>
      </c>
      <c r="F41" s="47" t="str">
        <f>IF(ISBLANK('IPA Detail Cost'!D$32),VLOOKUP(E41,A107:B110,2),'IPA Detail Cost'!D$32)</f>
        <v>Are there any owner engineering hours and costs for this project?</v>
      </c>
    </row>
    <row r="42">
      <c r="C42" s="1" t="s">
        <v>37</v>
      </c>
      <c r="E42" s="51">
        <f>IF('IPA Detail Cost'!J57=0,0,'IPA Detail Cost'!K57*1000000/'IPA Detail Cost'!J57)</f>
        <v>0</v>
      </c>
      <c r="F42" s="47" t="str">
        <f>IF(ISBLANK('IPA Detail Cost'!D$32),VLOOKUP(E42,A111:B114,2),'IPA Detail Cost'!D$32)</f>
        <v>Are there any contractor engineering hours and costs for this project?</v>
      </c>
    </row>
    <row r="43">
      <c r="C43" s="1" t="s">
        <v>38</v>
      </c>
      <c r="E43" s="51">
        <f>IF('IPA Detail Cost'!F118=0,0,'IPA Detail Cost'!G118*1000000/'IPA Detail Cost'!F118)</f>
        <v>0</v>
      </c>
      <c r="F43" s="47" t="str">
        <f>IF(ISBLANK('IPA Detail Cost'!D$32),VLOOKUP(E43,A115:B118,2),'IPA Detail Cost'!D$32)</f>
        <v>Are there any owner construction hours and costs for this project?</v>
      </c>
    </row>
    <row r="44">
      <c r="C44" s="1" t="s">
        <v>39</v>
      </c>
      <c r="E44" s="51">
        <f>IF('IPA Detail Cost'!J118=0,0,'IPA Detail Cost'!K118*1000000/'IPA Detail Cost'!J118)</f>
        <v>0</v>
      </c>
      <c r="F44" s="47" t="str">
        <f>IF(ISBLANK('IPA Detail Cost'!D$32),VLOOKUP(E44,A119:B122,2),'IPA Detail Cost'!D$32)</f>
        <v>Are there any contractor construction hours and costs for this project?</v>
      </c>
    </row>
    <row r="45">
      <c r="C45" s="49" t="s">
        <v>40</v>
      </c>
      <c r="D45" s="19"/>
      <c r="E45" s="19"/>
      <c r="F45" s="52"/>
      <c r="G45" s="19"/>
      <c r="H45" s="19"/>
      <c r="I45" s="19"/>
      <c r="J45" s="19"/>
    </row>
    <row r="46">
      <c r="C46" s="1" t="s">
        <v>41</v>
      </c>
      <c r="E46" s="53">
        <f>IF(H8=0,0,H10/H8)</f>
        <v>0</v>
      </c>
      <c r="F46" s="47" t="str">
        <f>VLOOKUP(E46,A124:B127,2)</f>
        <v>Are there any construction labor or bulk material costs?</v>
      </c>
    </row>
    <row r="47">
      <c r="C47" s="1" t="s">
        <v>42</v>
      </c>
      <c r="E47" s="54">
        <f>IF(M47=0,0,('IPA Detail Cost'!H85+'IPA Detail Cost'!L85+'IPA Detail Cost'!H108+'IPA Detail Cost'!L108)/('IPA Detail Cost'!H86+'IPA Detail Cost'!L86+'IPA Detail Cost'!H109+'IPA Detail Cost'!L109))</f>
        <v>0</v>
      </c>
      <c r="F47" s="47" t="str">
        <f>IF(M47=0,"are there any electrical bulks (conduit, wire, etc.)?",VLOOKUP(E47,A128:B131,2))</f>
        <v>are there any electrical bulks (conduit, wire, etc.)?</v>
      </c>
      <c r="M47" s="53">
        <f>('IPA Detail Cost'!H86+'IPA Detail Cost'!L86+'IPA Detail Cost'!H109+'IPA Detail Cost'!L109)</f>
        <v>0</v>
      </c>
    </row>
    <row r="48">
      <c r="C48" s="1" t="s">
        <v>43</v>
      </c>
      <c r="E48" s="54">
        <f>IF(M48=0,0,('IPA Detail Cost'!H89+'IPA Detail Cost'!L89+'IPA Detail Cost'!H112+'IPA Detail Cost'!L112)/('IPA Detail Cost'!H90+'IPA Detail Cost'!L90+'IPA Detail Cost'!H113+'IPA Detail Cost'!L113))</f>
        <v>0</v>
      </c>
      <c r="F48" s="47" t="str">
        <f>IF(M48=0,"are there any control bulks (instruments, control valves, etc.)?",VLOOKUP(E48,A132:B135,2))</f>
        <v>are there any control bulks (instruments, control valves, etc.)?</v>
      </c>
      <c r="M48" s="53">
        <f>('IPA Detail Cost'!H90+'IPA Detail Cost'!L90+'IPA Detail Cost'!H113+'IPA Detail Cost'!L113)</f>
        <v>0</v>
      </c>
    </row>
    <row r="49">
      <c r="C49" s="1" t="s">
        <v>44</v>
      </c>
      <c r="E49" s="54">
        <f>IF(H15=0,0,H16/H15)</f>
        <v>0</v>
      </c>
      <c r="F49" s="47" t="str">
        <f>VLOOKUP(E49,A136:B139,2)</f>
        <v>no comment</v>
      </c>
      <c r="M49" s="53"/>
    </row>
    <row r="50">
      <c r="C50" s="49" t="s">
        <v>45</v>
      </c>
      <c r="D50" s="19"/>
      <c r="E50" s="19"/>
      <c r="F50" s="50" t="s">
        <v>46</v>
      </c>
      <c r="G50" s="19"/>
      <c r="H50" s="19"/>
      <c r="I50" s="19"/>
      <c r="J50" s="19"/>
    </row>
    <row r="51">
      <c r="C51" s="1" t="s">
        <v>47</v>
      </c>
      <c r="E51" s="51">
        <f>IF(('IPA Detail Cost'!F167+'IPA Detail Cost'!G167)=0,0,('IPA Detail Cost'!H74+'IPA Detail Cost'!L74+'IPA Detail Cost'!H97+'IPA Detail Cost'!L97)*1000000/('IPA Detail Cost'!F167+'IPA Detail Cost'!G167))</f>
        <v>0</v>
      </c>
      <c r="F51" s="47" t="str">
        <f>IF(ISBLANK('IPA Detail Cost'!D32),VLOOKUP(E51,A141:B144,2),'IPA Detail Cost'!D32)</f>
        <v>can you estimate the concrete material quantity (if applicable)?</v>
      </c>
    </row>
    <row r="52">
      <c r="C52" s="1" t="s">
        <v>48</v>
      </c>
      <c r="E52" s="51">
        <f>IF(('IPA Detail Cost'!F168+'IPA Detail Cost'!G168)=0,0,('IPA Detail Cost'!H75+'IPA Detail Cost'!L75+'IPA Detail Cost'!H98+'IPA Detail Cost'!L98)*1000000/('IPA Detail Cost'!F168+'IPA Detail Cost'!G168))</f>
        <v>0</v>
      </c>
      <c r="F52" s="47" t="str">
        <f>IF(ISBLANK('IPA Detail Cost'!D32),VLOOKUP(E52,A145:B148,2),'IPA Detail Cost'!D32)</f>
        <v>can you estimate the structural steel material quantity (if applicable)?</v>
      </c>
    </row>
    <row r="53">
      <c r="C53" s="1" t="s">
        <v>49</v>
      </c>
      <c r="E53" s="51">
        <f>IF(('IPA Detail Cost'!F170+'IPA Detail Cost'!G170)=0,0,('IPA Detail Cost'!H82+'IPA Detail Cost'!L82+'IPA Detail Cost'!H105+'IPA Detail Cost'!L105)*1000000/('IPA Detail Cost'!F170+'IPA Detail Cost'!G170))</f>
        <v>0</v>
      </c>
      <c r="F53" s="47" t="str">
        <f>IF(ISBLANK('IPA Detail Cost'!D32),VLOOKUP(E53,A149:B152,2),'IPA Detail Cost'!D32)</f>
        <v>can you estimate the length of piping (if applicable)?</v>
      </c>
    </row>
    <row r="54">
      <c r="C54" s="1" t="s">
        <v>50</v>
      </c>
      <c r="E54" s="51">
        <f>IF(('IPA Detail Cost'!G161+'IPA Detail Cost'!H161)=0,0,('IPA Detail Cost'!H90+'IPA Detail Cost'!L90+'IPA Detail Cost'!H113+'IPA Detail Cost'!L113)*1000000/('IPA Detail Cost'!G161+'IPA Detail Cost'!H161))</f>
        <v>0</v>
      </c>
      <c r="F54" s="47" t="str">
        <f>IF(ISBLANK('IPA Detail Cost'!D32),VLOOKUP(E54,A153:B156,2),'IPA Detail Cost'!D32)</f>
        <v>can you estimate the number of instruments (if applicable)?</v>
      </c>
    </row>
    <row r="56" ht="13.5" thickBot="1">
      <c r="A56" s="55" t="s">
        <v>51</v>
      </c>
      <c r="B56" s="55"/>
      <c r="C56" s="55"/>
      <c r="D56" s="55"/>
      <c r="E56" s="55"/>
      <c r="F56" s="55"/>
      <c r="G56" s="55"/>
      <c r="H56" s="55"/>
      <c r="I56" s="55"/>
    </row>
    <row r="57">
      <c r="A57" s="55" t="s">
        <v>52</v>
      </c>
      <c r="B57" s="55"/>
      <c r="C57" s="93" t="s">
        <v>53</v>
      </c>
      <c r="D57" s="94"/>
      <c r="E57" s="94"/>
      <c r="F57" s="94"/>
      <c r="G57" s="94"/>
      <c r="H57" s="94"/>
      <c r="I57" s="94"/>
      <c r="J57" s="94"/>
      <c r="K57" s="95"/>
    </row>
    <row r="58">
      <c r="A58" s="55">
        <v>0</v>
      </c>
      <c r="B58" s="55" t="s">
        <v>54</v>
      </c>
      <c r="C58" s="96"/>
      <c r="D58" s="97"/>
      <c r="E58" s="97"/>
      <c r="F58" s="97"/>
      <c r="G58" s="97"/>
      <c r="H58" s="97"/>
      <c r="I58" s="97"/>
      <c r="J58" s="97"/>
      <c r="K58" s="98"/>
    </row>
    <row r="59">
      <c r="A59" s="55">
        <v>1E-05</v>
      </c>
      <c r="B59" s="55" t="s">
        <v>55</v>
      </c>
      <c r="C59" s="99"/>
      <c r="D59" s="100"/>
      <c r="E59" s="100"/>
      <c r="F59" s="100"/>
      <c r="G59" s="100"/>
      <c r="H59" s="100"/>
      <c r="I59" s="100"/>
      <c r="J59" s="100"/>
      <c r="K59" s="101"/>
    </row>
    <row r="60">
      <c r="A60" s="55">
        <v>0.01</v>
      </c>
      <c r="B60" s="55" t="s">
        <v>56</v>
      </c>
      <c r="C60" s="99"/>
      <c r="D60" s="100"/>
      <c r="E60" s="100"/>
      <c r="F60" s="100"/>
      <c r="G60" s="100"/>
      <c r="H60" s="100"/>
      <c r="I60" s="100"/>
      <c r="J60" s="100"/>
      <c r="K60" s="101"/>
    </row>
    <row r="61">
      <c r="A61" s="55">
        <v>0.08</v>
      </c>
      <c r="B61" s="55" t="s">
        <v>57</v>
      </c>
      <c r="C61" s="99"/>
      <c r="D61" s="100"/>
      <c r="E61" s="100"/>
      <c r="F61" s="100"/>
      <c r="G61" s="100"/>
      <c r="H61" s="100"/>
      <c r="I61" s="100"/>
      <c r="J61" s="100"/>
      <c r="K61" s="101"/>
    </row>
    <row r="62">
      <c r="A62" s="55">
        <v>0</v>
      </c>
      <c r="B62" s="55" t="s">
        <v>58</v>
      </c>
      <c r="C62" s="99"/>
      <c r="D62" s="100"/>
      <c r="E62" s="100"/>
      <c r="F62" s="100"/>
      <c r="G62" s="100"/>
      <c r="H62" s="100"/>
      <c r="I62" s="100"/>
      <c r="J62" s="100"/>
      <c r="K62" s="101"/>
    </row>
    <row r="63">
      <c r="A63" s="55">
        <v>1E-05</v>
      </c>
      <c r="B63" s="55" t="s">
        <v>59</v>
      </c>
      <c r="C63" s="99"/>
      <c r="D63" s="100"/>
      <c r="E63" s="100"/>
      <c r="F63" s="100"/>
      <c r="G63" s="100"/>
      <c r="H63" s="100"/>
      <c r="I63" s="100"/>
      <c r="J63" s="100"/>
      <c r="K63" s="101"/>
    </row>
    <row r="64">
      <c r="A64" s="55">
        <v>0.06</v>
      </c>
      <c r="B64" s="55" t="s">
        <v>56</v>
      </c>
      <c r="C64" s="99"/>
      <c r="D64" s="100"/>
      <c r="E64" s="100"/>
      <c r="F64" s="100"/>
      <c r="G64" s="100"/>
      <c r="H64" s="100"/>
      <c r="I64" s="100"/>
      <c r="J64" s="100"/>
      <c r="K64" s="101"/>
    </row>
    <row r="65">
      <c r="A65" s="55">
        <v>0.26</v>
      </c>
      <c r="B65" s="55" t="s">
        <v>60</v>
      </c>
      <c r="C65" s="99"/>
      <c r="D65" s="100"/>
      <c r="E65" s="100"/>
      <c r="F65" s="100"/>
      <c r="G65" s="100"/>
      <c r="H65" s="100"/>
      <c r="I65" s="100"/>
      <c r="J65" s="100"/>
      <c r="K65" s="101"/>
    </row>
    <row r="66">
      <c r="A66" s="55">
        <v>0</v>
      </c>
      <c r="B66" s="55" t="s">
        <v>61</v>
      </c>
      <c r="C66" s="99"/>
      <c r="D66" s="100"/>
      <c r="E66" s="100"/>
      <c r="F66" s="100"/>
      <c r="G66" s="100"/>
      <c r="H66" s="100"/>
      <c r="I66" s="100"/>
      <c r="J66" s="100"/>
      <c r="K66" s="101"/>
    </row>
    <row r="67">
      <c r="A67" s="55">
        <v>1E-05</v>
      </c>
      <c r="B67" s="55" t="s">
        <v>62</v>
      </c>
      <c r="C67" s="99"/>
      <c r="D67" s="100"/>
      <c r="E67" s="100"/>
      <c r="F67" s="100"/>
      <c r="G67" s="100"/>
      <c r="H67" s="100"/>
      <c r="I67" s="100"/>
      <c r="J67" s="100"/>
      <c r="K67" s="101"/>
    </row>
    <row r="68" ht="13.5" thickBot="1">
      <c r="A68" s="55">
        <v>0.005</v>
      </c>
      <c r="B68" s="55" t="s">
        <v>56</v>
      </c>
      <c r="C68" s="102"/>
      <c r="D68" s="103"/>
      <c r="E68" s="103"/>
      <c r="F68" s="103"/>
      <c r="G68" s="103"/>
      <c r="H68" s="103"/>
      <c r="I68" s="103"/>
      <c r="J68" s="103"/>
      <c r="K68" s="104"/>
    </row>
    <row r="69">
      <c r="A69" s="55">
        <v>0.07</v>
      </c>
      <c r="B69" s="55" t="s">
        <v>63</v>
      </c>
    </row>
    <row r="70" ht="21" thickBot="1">
      <c r="A70" s="55">
        <v>0</v>
      </c>
      <c r="B70" s="55" t="s">
        <v>58</v>
      </c>
      <c r="C70" s="56"/>
      <c r="D70" s="56"/>
      <c r="E70" s="105" t="s">
        <v>64</v>
      </c>
      <c r="F70" s="105"/>
      <c r="G70" s="105"/>
      <c r="H70" s="56"/>
      <c r="I70" s="56"/>
    </row>
    <row r="71" ht="12.75" customHeight="1">
      <c r="A71" s="55">
        <v>1E-05</v>
      </c>
      <c r="B71" s="55" t="s">
        <v>65</v>
      </c>
      <c r="C71" s="106" t="s">
        <v>1</v>
      </c>
      <c r="D71" s="107"/>
      <c r="E71" s="108"/>
      <c r="F71" s="112" t="s">
        <v>66</v>
      </c>
      <c r="G71" s="113"/>
    </row>
    <row r="72" ht="13.5" thickBot="1">
      <c r="A72" s="55">
        <v>0.01</v>
      </c>
      <c r="B72" s="55" t="s">
        <v>56</v>
      </c>
      <c r="C72" s="109"/>
      <c r="D72" s="110"/>
      <c r="E72" s="111"/>
      <c r="F72" s="57" t="s">
        <v>67</v>
      </c>
      <c r="G72" s="58" t="s">
        <v>68</v>
      </c>
    </row>
    <row r="73" ht="13.5" customHeight="1" thickTop="1">
      <c r="A73" s="55">
        <v>0.1</v>
      </c>
      <c r="B73" s="55" t="s">
        <v>69</v>
      </c>
      <c r="C73" s="84" t="s">
        <v>5</v>
      </c>
      <c r="D73" s="85"/>
      <c r="E73" s="86"/>
      <c r="F73" s="59">
        <f>H4</f>
        <v>0</v>
      </c>
      <c r="G73" s="60"/>
    </row>
    <row r="74" ht="12.75" customHeight="1">
      <c r="A74" s="55">
        <v>0</v>
      </c>
      <c r="B74" s="55" t="s">
        <v>70</v>
      </c>
      <c r="C74" s="84" t="s">
        <v>7</v>
      </c>
      <c r="D74" s="85"/>
      <c r="E74" s="86"/>
      <c r="F74" s="61">
        <f>H5</f>
        <v>0</v>
      </c>
      <c r="G74" s="62"/>
    </row>
    <row r="75" ht="12.75" customHeight="1">
      <c r="A75" s="55">
        <v>1E-05</v>
      </c>
      <c r="B75" s="55" t="s">
        <v>71</v>
      </c>
      <c r="C75" s="84" t="s">
        <v>8</v>
      </c>
      <c r="D75" s="85"/>
      <c r="E75" s="86"/>
      <c r="F75" s="61">
        <f>H6</f>
        <v>0</v>
      </c>
      <c r="G75" s="62"/>
    </row>
    <row r="76" ht="12.75" customHeight="1">
      <c r="A76" s="55">
        <v>0.09</v>
      </c>
      <c r="B76" s="55" t="s">
        <v>56</v>
      </c>
      <c r="C76" s="84" t="s">
        <v>72</v>
      </c>
      <c r="D76" s="85"/>
      <c r="E76" s="86"/>
      <c r="F76" s="61">
        <f>H7</f>
        <v>0</v>
      </c>
      <c r="G76" s="62"/>
    </row>
    <row r="77" ht="12.75" customHeight="1">
      <c r="A77" s="55">
        <v>0.6</v>
      </c>
      <c r="B77" s="55" t="s">
        <v>73</v>
      </c>
      <c r="C77" s="84" t="s">
        <v>11</v>
      </c>
      <c r="D77" s="85"/>
      <c r="E77" s="86"/>
      <c r="F77" s="61">
        <f>H8</f>
        <v>0</v>
      </c>
      <c r="G77" s="62"/>
    </row>
    <row r="78" ht="12.75" customHeight="1">
      <c r="A78" s="55">
        <v>0</v>
      </c>
      <c r="B78" s="55" t="s">
        <v>58</v>
      </c>
      <c r="C78" s="84" t="s">
        <v>12</v>
      </c>
      <c r="D78" s="85"/>
      <c r="E78" s="86"/>
      <c r="F78" s="61">
        <f>H9</f>
        <v>0</v>
      </c>
      <c r="G78" s="62"/>
    </row>
    <row r="79" ht="12.75" customHeight="1">
      <c r="A79" s="55">
        <v>1E-05</v>
      </c>
      <c r="B79" s="55" t="s">
        <v>74</v>
      </c>
      <c r="C79" s="84" t="s">
        <v>14</v>
      </c>
      <c r="D79" s="85"/>
      <c r="E79" s="86"/>
      <c r="F79" s="61">
        <f>H10</f>
        <v>0</v>
      </c>
      <c r="G79" s="62"/>
    </row>
    <row r="80" ht="12.75" customHeight="1">
      <c r="A80" s="55">
        <v>0.06</v>
      </c>
      <c r="B80" s="55" t="s">
        <v>56</v>
      </c>
      <c r="C80" s="84" t="s">
        <v>75</v>
      </c>
      <c r="D80" s="85"/>
      <c r="E80" s="86"/>
      <c r="F80" s="61">
        <f>H11</f>
        <v>0</v>
      </c>
      <c r="G80" s="62"/>
    </row>
    <row r="81" ht="12.75" customHeight="1">
      <c r="A81" s="55">
        <v>0.35</v>
      </c>
      <c r="B81" s="55" t="s">
        <v>76</v>
      </c>
      <c r="C81" s="84" t="s">
        <v>77</v>
      </c>
      <c r="D81" s="85"/>
      <c r="E81" s="86"/>
      <c r="F81" s="61">
        <f>H12</f>
        <v>0</v>
      </c>
      <c r="G81" s="62"/>
    </row>
    <row r="82" ht="12.75" customHeight="1">
      <c r="A82" s="55">
        <v>0</v>
      </c>
      <c r="B82" s="55" t="s">
        <v>58</v>
      </c>
      <c r="C82" s="84" t="s">
        <v>18</v>
      </c>
      <c r="D82" s="85"/>
      <c r="E82" s="86"/>
      <c r="F82" s="61">
        <f>H13</f>
        <v>0</v>
      </c>
      <c r="G82" s="63"/>
    </row>
    <row r="83" ht="13.5" customHeight="1" thickBot="1">
      <c r="A83" s="55">
        <v>1E-05</v>
      </c>
      <c r="B83" s="55" t="s">
        <v>78</v>
      </c>
      <c r="C83" s="78" t="s">
        <v>19</v>
      </c>
      <c r="D83" s="79"/>
      <c r="E83" s="80"/>
      <c r="F83" s="64">
        <f>H14</f>
        <v>0</v>
      </c>
      <c r="G83" s="65"/>
    </row>
    <row r="84" ht="14.25" customHeight="1" thickTop="1" thickBot="1">
      <c r="A84" s="55">
        <v>0.09</v>
      </c>
      <c r="B84" s="55" t="s">
        <v>56</v>
      </c>
      <c r="C84" s="87" t="s">
        <v>20</v>
      </c>
      <c r="D84" s="88"/>
      <c r="E84" s="89"/>
      <c r="F84" s="64">
        <f>SUM(F73:F83)</f>
        <v>0</v>
      </c>
      <c r="G84" s="66"/>
    </row>
    <row r="85" ht="13.5" thickTop="1">
      <c r="A85" s="55">
        <v>0.5</v>
      </c>
      <c r="B85" s="55" t="s">
        <v>79</v>
      </c>
      <c r="C85" s="90" t="s">
        <v>21</v>
      </c>
      <c r="D85" s="91"/>
      <c r="E85" s="92"/>
      <c r="F85" s="67">
        <f>H16</f>
        <v>0</v>
      </c>
      <c r="G85" s="60"/>
    </row>
    <row r="86" ht="13.5" thickBot="1">
      <c r="A86" s="55">
        <v>0</v>
      </c>
      <c r="B86" s="55" t="s">
        <v>80</v>
      </c>
      <c r="C86" s="78" t="s">
        <v>81</v>
      </c>
      <c r="D86" s="79"/>
      <c r="E86" s="80"/>
      <c r="F86" s="64">
        <f>H17</f>
        <v>0</v>
      </c>
      <c r="G86" s="68"/>
    </row>
    <row r="87" ht="14.25" customHeight="1" thickTop="1" thickBot="1">
      <c r="A87" s="55">
        <v>1E-05</v>
      </c>
      <c r="B87" s="55" t="s">
        <v>82</v>
      </c>
      <c r="C87" s="81" t="s">
        <v>23</v>
      </c>
      <c r="D87" s="82"/>
      <c r="E87" s="83"/>
      <c r="F87" s="69">
        <f>SUM(F84:F86)</f>
        <v>0</v>
      </c>
      <c r="G87" s="70"/>
    </row>
    <row r="88">
      <c r="A88" s="55">
        <v>0.004</v>
      </c>
      <c r="B88" s="55" t="s">
        <v>56</v>
      </c>
      <c r="C88" s="55"/>
      <c r="D88" s="55"/>
      <c r="E88" s="55"/>
      <c r="F88" s="55"/>
      <c r="G88" s="55"/>
      <c r="H88" s="55"/>
      <c r="I88" s="55"/>
    </row>
    <row r="89">
      <c r="A89" s="55">
        <v>0.15</v>
      </c>
      <c r="B89" s="55" t="s">
        <v>83</v>
      </c>
      <c r="C89" s="55"/>
      <c r="D89" s="55"/>
      <c r="E89" s="55"/>
      <c r="F89" s="55"/>
      <c r="G89" s="55"/>
      <c r="H89" s="55"/>
      <c r="I89" s="55"/>
    </row>
    <row r="90">
      <c r="A90" s="55">
        <v>0</v>
      </c>
      <c r="B90" s="55" t="s">
        <v>84</v>
      </c>
      <c r="C90" s="55"/>
      <c r="D90" s="55"/>
      <c r="E90" s="55"/>
      <c r="F90" s="55"/>
      <c r="G90" s="55"/>
      <c r="H90" s="55"/>
      <c r="I90" s="55"/>
    </row>
    <row r="91">
      <c r="A91" s="55">
        <v>1E-05</v>
      </c>
      <c r="B91" s="55" t="s">
        <v>85</v>
      </c>
      <c r="C91" s="55"/>
      <c r="D91" s="55"/>
      <c r="E91" s="55"/>
      <c r="F91" s="55"/>
      <c r="G91" s="55"/>
      <c r="H91" s="55"/>
      <c r="I91" s="55"/>
    </row>
    <row r="92">
      <c r="A92" s="55">
        <v>0.01</v>
      </c>
      <c r="B92" s="55" t="s">
        <v>56</v>
      </c>
      <c r="C92" s="55"/>
      <c r="D92" s="55"/>
      <c r="E92" s="55"/>
      <c r="F92" s="55"/>
      <c r="G92" s="55"/>
      <c r="H92" s="55"/>
      <c r="I92" s="55"/>
    </row>
    <row r="93">
      <c r="A93" s="55">
        <v>0.2</v>
      </c>
      <c r="B93" s="55" t="s">
        <v>86</v>
      </c>
      <c r="C93" s="55"/>
      <c r="D93" s="55"/>
      <c r="E93" s="55"/>
      <c r="F93" s="55"/>
      <c r="G93" s="55"/>
      <c r="H93" s="55"/>
      <c r="I93" s="55"/>
    </row>
    <row r="94">
      <c r="A94" s="55">
        <v>0</v>
      </c>
      <c r="B94" s="55" t="s">
        <v>87</v>
      </c>
      <c r="C94" s="55"/>
      <c r="D94" s="55"/>
      <c r="E94" s="55"/>
      <c r="F94" s="55"/>
      <c r="G94" s="55"/>
      <c r="H94" s="55"/>
      <c r="I94" s="55"/>
    </row>
    <row r="95">
      <c r="A95" s="55">
        <v>1E-05</v>
      </c>
      <c r="B95" s="55" t="s">
        <v>88</v>
      </c>
      <c r="C95" s="55"/>
      <c r="D95" s="55"/>
      <c r="E95" s="55"/>
      <c r="F95" s="55"/>
      <c r="G95" s="55"/>
      <c r="H95" s="55"/>
      <c r="I95" s="55"/>
    </row>
    <row r="96">
      <c r="A96" s="55">
        <v>0.005</v>
      </c>
      <c r="B96" s="55" t="s">
        <v>56</v>
      </c>
      <c r="C96" s="55"/>
      <c r="D96" s="55"/>
      <c r="E96" s="55"/>
      <c r="F96" s="55"/>
      <c r="G96" s="55"/>
      <c r="H96" s="55"/>
      <c r="I96" s="55"/>
    </row>
    <row r="97">
      <c r="A97" s="55">
        <v>0.1</v>
      </c>
      <c r="B97" s="55" t="s">
        <v>89</v>
      </c>
      <c r="C97" s="55"/>
      <c r="D97" s="55"/>
      <c r="E97" s="55"/>
      <c r="F97" s="55"/>
      <c r="G97" s="55"/>
      <c r="H97" s="55"/>
      <c r="I97" s="55"/>
    </row>
    <row r="98">
      <c r="A98" s="55" t="s">
        <v>90</v>
      </c>
      <c r="B98" s="55"/>
      <c r="C98" s="55"/>
      <c r="D98" s="55"/>
      <c r="E98" s="55"/>
      <c r="F98" s="55"/>
      <c r="G98" s="55"/>
      <c r="H98" s="55"/>
      <c r="I98" s="55"/>
    </row>
    <row r="99">
      <c r="A99" s="55">
        <v>0</v>
      </c>
      <c r="B99" s="55" t="s">
        <v>91</v>
      </c>
      <c r="C99" s="55"/>
      <c r="D99" s="55"/>
      <c r="E99" s="55"/>
      <c r="F99" s="55"/>
      <c r="G99" s="55"/>
      <c r="H99" s="55"/>
      <c r="I99" s="55"/>
    </row>
    <row r="100">
      <c r="A100" s="55">
        <v>1E-05</v>
      </c>
      <c r="B100" s="55" t="s">
        <v>92</v>
      </c>
      <c r="C100" s="55"/>
      <c r="D100" s="55"/>
      <c r="E100" s="55"/>
      <c r="F100" s="55"/>
      <c r="G100" s="55"/>
      <c r="H100" s="55"/>
      <c r="I100" s="55"/>
    </row>
    <row r="101">
      <c r="A101" s="55">
        <v>40</v>
      </c>
      <c r="B101" s="55" t="s">
        <v>56</v>
      </c>
      <c r="C101" s="55"/>
      <c r="D101" s="55"/>
      <c r="E101" s="55"/>
      <c r="F101" s="55"/>
      <c r="G101" s="55"/>
      <c r="H101" s="55"/>
      <c r="I101" s="55"/>
    </row>
    <row r="102">
      <c r="A102" s="55">
        <v>150</v>
      </c>
      <c r="B102" s="55" t="s">
        <v>93</v>
      </c>
      <c r="C102" s="55"/>
      <c r="D102" s="55"/>
      <c r="E102" s="55"/>
      <c r="F102" s="55"/>
      <c r="G102" s="55"/>
      <c r="H102" s="55"/>
      <c r="I102" s="55"/>
    </row>
    <row r="103">
      <c r="A103" s="55">
        <v>0</v>
      </c>
      <c r="B103" s="55" t="s">
        <v>94</v>
      </c>
      <c r="C103" s="55"/>
      <c r="D103" s="55"/>
      <c r="E103" s="55"/>
      <c r="F103" s="55"/>
      <c r="G103" s="55"/>
      <c r="H103" s="55"/>
      <c r="I103" s="55"/>
    </row>
    <row r="104">
      <c r="A104" s="55">
        <v>1E-05</v>
      </c>
      <c r="B104" s="55" t="s">
        <v>92</v>
      </c>
      <c r="C104" s="55"/>
      <c r="D104" s="55"/>
      <c r="E104" s="55"/>
      <c r="F104" s="55"/>
      <c r="G104" s="55"/>
      <c r="H104" s="55"/>
      <c r="I104" s="55"/>
    </row>
    <row r="105">
      <c r="A105" s="55">
        <v>35</v>
      </c>
      <c r="B105" s="55" t="s">
        <v>56</v>
      </c>
      <c r="C105" s="55"/>
      <c r="D105" s="55"/>
      <c r="E105" s="55"/>
      <c r="F105" s="55"/>
      <c r="G105" s="55"/>
      <c r="H105" s="55"/>
      <c r="I105" s="55"/>
    </row>
    <row r="106">
      <c r="A106" s="55">
        <v>150</v>
      </c>
      <c r="B106" s="55" t="s">
        <v>93</v>
      </c>
      <c r="C106" s="55"/>
      <c r="D106" s="55"/>
      <c r="E106" s="55"/>
      <c r="F106" s="55"/>
      <c r="G106" s="55"/>
      <c r="H106" s="55"/>
      <c r="I106" s="55"/>
    </row>
    <row r="107">
      <c r="A107" s="55">
        <v>0</v>
      </c>
      <c r="B107" s="55" t="s">
        <v>95</v>
      </c>
      <c r="C107" s="55"/>
      <c r="D107" s="55"/>
      <c r="E107" s="55"/>
      <c r="F107" s="55"/>
      <c r="G107" s="55"/>
      <c r="H107" s="55"/>
      <c r="I107" s="55"/>
    </row>
    <row r="108">
      <c r="A108" s="55">
        <v>1E-05</v>
      </c>
      <c r="B108" s="55" t="s">
        <v>92</v>
      </c>
      <c r="C108" s="55"/>
      <c r="D108" s="55"/>
      <c r="E108" s="55"/>
      <c r="F108" s="55"/>
      <c r="G108" s="55"/>
      <c r="H108" s="55"/>
      <c r="I108" s="55"/>
    </row>
    <row r="109">
      <c r="A109" s="55">
        <v>50</v>
      </c>
      <c r="B109" s="55" t="s">
        <v>56</v>
      </c>
      <c r="C109" s="55"/>
      <c r="D109" s="55"/>
      <c r="E109" s="55"/>
      <c r="F109" s="55"/>
      <c r="G109" s="55"/>
      <c r="H109" s="55"/>
      <c r="I109" s="55"/>
    </row>
    <row r="110">
      <c r="A110" s="55">
        <v>110</v>
      </c>
      <c r="B110" s="55" t="s">
        <v>93</v>
      </c>
      <c r="C110" s="55"/>
      <c r="D110" s="55"/>
      <c r="E110" s="55"/>
      <c r="F110" s="55"/>
      <c r="G110" s="55"/>
      <c r="H110" s="55"/>
      <c r="I110" s="55"/>
    </row>
    <row r="111">
      <c r="A111" s="55">
        <v>0</v>
      </c>
      <c r="B111" s="55" t="s">
        <v>96</v>
      </c>
      <c r="C111" s="55"/>
      <c r="D111" s="55"/>
      <c r="E111" s="55"/>
      <c r="F111" s="55"/>
      <c r="G111" s="55"/>
      <c r="H111" s="55"/>
      <c r="I111" s="55"/>
    </row>
    <row r="112">
      <c r="A112" s="55">
        <v>1E-05</v>
      </c>
      <c r="B112" s="55" t="s">
        <v>92</v>
      </c>
      <c r="C112" s="55"/>
      <c r="D112" s="55"/>
      <c r="E112" s="55"/>
      <c r="F112" s="55"/>
      <c r="G112" s="55"/>
      <c r="H112" s="55"/>
      <c r="I112" s="55"/>
    </row>
    <row r="113">
      <c r="A113" s="55">
        <v>40</v>
      </c>
      <c r="B113" s="55" t="s">
        <v>56</v>
      </c>
      <c r="C113" s="55"/>
      <c r="D113" s="55"/>
      <c r="E113" s="55"/>
      <c r="F113" s="55"/>
      <c r="G113" s="55"/>
      <c r="H113" s="55"/>
      <c r="I113" s="55"/>
    </row>
    <row r="114">
      <c r="A114" s="55">
        <v>90</v>
      </c>
      <c r="B114" s="55" t="s">
        <v>93</v>
      </c>
      <c r="C114" s="55"/>
      <c r="D114" s="55"/>
      <c r="E114" s="55"/>
      <c r="F114" s="55"/>
      <c r="G114" s="55"/>
      <c r="H114" s="55"/>
      <c r="I114" s="55"/>
    </row>
    <row r="115">
      <c r="A115" s="55">
        <v>0</v>
      </c>
      <c r="B115" s="55" t="s">
        <v>97</v>
      </c>
      <c r="C115" s="55"/>
      <c r="D115" s="55"/>
      <c r="E115" s="55"/>
      <c r="F115" s="55"/>
      <c r="G115" s="55"/>
      <c r="H115" s="55"/>
      <c r="I115" s="55"/>
    </row>
    <row r="116">
      <c r="A116" s="55">
        <v>1E-05</v>
      </c>
      <c r="B116" s="55" t="s">
        <v>98</v>
      </c>
      <c r="C116" s="55"/>
      <c r="D116" s="55"/>
      <c r="E116" s="55"/>
      <c r="F116" s="55"/>
      <c r="G116" s="55"/>
      <c r="H116" s="55"/>
      <c r="I116" s="55"/>
    </row>
    <row r="117">
      <c r="A117" s="55">
        <v>25</v>
      </c>
      <c r="B117" s="55" t="s">
        <v>56</v>
      </c>
      <c r="C117" s="55"/>
      <c r="D117" s="55"/>
      <c r="E117" s="55"/>
      <c r="F117" s="55"/>
      <c r="G117" s="55"/>
      <c r="H117" s="55"/>
      <c r="I117" s="55"/>
    </row>
    <row r="118">
      <c r="A118" s="55">
        <v>70</v>
      </c>
      <c r="B118" s="55" t="s">
        <v>93</v>
      </c>
      <c r="C118" s="55"/>
      <c r="D118" s="55"/>
      <c r="E118" s="55"/>
      <c r="F118" s="55"/>
      <c r="G118" s="55"/>
      <c r="H118" s="55"/>
      <c r="I118" s="55"/>
    </row>
    <row r="119">
      <c r="A119" s="55">
        <v>0</v>
      </c>
      <c r="B119" s="55" t="s">
        <v>99</v>
      </c>
      <c r="C119" s="55"/>
      <c r="D119" s="55"/>
      <c r="E119" s="55"/>
      <c r="F119" s="55"/>
      <c r="G119" s="55"/>
      <c r="H119" s="55"/>
      <c r="I119" s="55"/>
    </row>
    <row r="120">
      <c r="A120" s="55">
        <v>1E-05</v>
      </c>
      <c r="B120" s="55" t="s">
        <v>98</v>
      </c>
      <c r="C120" s="55"/>
      <c r="D120" s="55"/>
      <c r="E120" s="55"/>
      <c r="F120" s="55"/>
      <c r="G120" s="55"/>
      <c r="H120" s="55"/>
      <c r="I120" s="55"/>
    </row>
    <row r="121">
      <c r="A121" s="55">
        <v>25</v>
      </c>
      <c r="B121" s="55" t="s">
        <v>56</v>
      </c>
      <c r="C121" s="55"/>
      <c r="D121" s="55"/>
      <c r="E121" s="55"/>
      <c r="F121" s="55"/>
      <c r="G121" s="55"/>
      <c r="H121" s="55"/>
      <c r="I121" s="55"/>
    </row>
    <row r="122">
      <c r="A122" s="55">
        <v>60</v>
      </c>
      <c r="B122" s="55" t="s">
        <v>93</v>
      </c>
      <c r="C122" s="55"/>
      <c r="D122" s="55"/>
      <c r="E122" s="55"/>
      <c r="F122" s="55"/>
      <c r="G122" s="55"/>
      <c r="H122" s="55"/>
      <c r="I122" s="55"/>
    </row>
    <row r="123">
      <c r="A123" s="55" t="s">
        <v>100</v>
      </c>
      <c r="B123" s="55"/>
      <c r="C123" s="55"/>
      <c r="D123" s="55"/>
      <c r="E123" s="55"/>
      <c r="F123" s="55"/>
      <c r="G123" s="55"/>
      <c r="H123" s="55"/>
      <c r="I123" s="55"/>
    </row>
    <row r="124">
      <c r="A124" s="55">
        <v>0</v>
      </c>
      <c r="B124" s="55" t="s">
        <v>101</v>
      </c>
      <c r="C124" s="55"/>
      <c r="D124" s="55"/>
      <c r="E124" s="55"/>
      <c r="F124" s="55"/>
      <c r="G124" s="55"/>
      <c r="H124" s="55"/>
      <c r="I124" s="55"/>
    </row>
    <row r="125">
      <c r="A125" s="55">
        <v>1E-05</v>
      </c>
      <c r="B125" s="55" t="s">
        <v>102</v>
      </c>
      <c r="C125" s="55"/>
      <c r="D125" s="55"/>
      <c r="E125" s="55"/>
      <c r="F125" s="55"/>
      <c r="G125" s="55"/>
      <c r="H125" s="55"/>
      <c r="I125" s="55"/>
    </row>
    <row r="126">
      <c r="A126" s="55">
        <v>0.5</v>
      </c>
      <c r="B126" s="55" t="s">
        <v>56</v>
      </c>
      <c r="C126" s="55"/>
      <c r="D126" s="55"/>
      <c r="E126" s="55"/>
      <c r="F126" s="55"/>
      <c r="G126" s="55"/>
      <c r="H126" s="55"/>
      <c r="I126" s="55"/>
    </row>
    <row r="127">
      <c r="A127" s="55">
        <v>3.5</v>
      </c>
      <c r="B127" s="55" t="s">
        <v>103</v>
      </c>
      <c r="C127" s="55"/>
      <c r="D127" s="55"/>
      <c r="E127" s="55"/>
      <c r="F127" s="55"/>
      <c r="G127" s="55"/>
      <c r="H127" s="55"/>
      <c r="I127" s="55"/>
    </row>
    <row r="128">
      <c r="A128" s="55">
        <v>0</v>
      </c>
      <c r="B128" s="55" t="s">
        <v>104</v>
      </c>
      <c r="C128" s="55"/>
      <c r="D128" s="55"/>
      <c r="E128" s="55"/>
      <c r="F128" s="55"/>
      <c r="G128" s="55"/>
      <c r="H128" s="55"/>
      <c r="I128" s="55"/>
    </row>
    <row r="129">
      <c r="A129" s="55">
        <v>1E-05</v>
      </c>
      <c r="B129" s="55" t="s">
        <v>105</v>
      </c>
      <c r="C129" s="55"/>
      <c r="D129" s="55"/>
      <c r="E129" s="55"/>
      <c r="F129" s="55"/>
      <c r="G129" s="55"/>
      <c r="H129" s="55"/>
      <c r="I129" s="55"/>
    </row>
    <row r="130">
      <c r="A130" s="55">
        <v>0.05</v>
      </c>
      <c r="B130" s="55" t="s">
        <v>56</v>
      </c>
      <c r="C130" s="55"/>
      <c r="D130" s="55"/>
      <c r="E130" s="55"/>
      <c r="F130" s="55"/>
      <c r="G130" s="55"/>
      <c r="H130" s="55"/>
      <c r="I130" s="55"/>
    </row>
    <row r="131">
      <c r="A131" s="55">
        <v>5</v>
      </c>
      <c r="B131" s="55" t="s">
        <v>106</v>
      </c>
      <c r="C131" s="55"/>
      <c r="D131" s="55"/>
      <c r="E131" s="55"/>
      <c r="F131" s="55"/>
      <c r="G131" s="55"/>
      <c r="H131" s="55"/>
      <c r="I131" s="55"/>
    </row>
    <row r="132">
      <c r="A132" s="55">
        <v>0</v>
      </c>
      <c r="B132" s="55" t="s">
        <v>107</v>
      </c>
      <c r="C132" s="55"/>
      <c r="D132" s="55"/>
      <c r="E132" s="55"/>
      <c r="F132" s="55"/>
      <c r="G132" s="55"/>
      <c r="H132" s="55"/>
      <c r="I132" s="55"/>
    </row>
    <row r="133">
      <c r="A133" s="55">
        <v>1E-05</v>
      </c>
      <c r="B133" s="55" t="s">
        <v>108</v>
      </c>
      <c r="C133" s="55"/>
      <c r="D133" s="55"/>
      <c r="E133" s="55"/>
      <c r="F133" s="55"/>
      <c r="G133" s="55"/>
      <c r="H133" s="55"/>
      <c r="I133" s="55"/>
    </row>
    <row r="134">
      <c r="A134" s="55">
        <v>0.05</v>
      </c>
      <c r="B134" s="55" t="s">
        <v>56</v>
      </c>
      <c r="C134" s="55"/>
      <c r="D134" s="55"/>
      <c r="E134" s="55"/>
      <c r="F134" s="55"/>
      <c r="G134" s="55"/>
      <c r="H134" s="55"/>
      <c r="I134" s="55"/>
    </row>
    <row r="135">
      <c r="A135" s="55">
        <v>5</v>
      </c>
      <c r="B135" s="55" t="s">
        <v>109</v>
      </c>
      <c r="C135" s="55"/>
      <c r="D135" s="55"/>
      <c r="E135" s="55"/>
      <c r="F135" s="55"/>
      <c r="G135" s="55"/>
      <c r="H135" s="55"/>
      <c r="I135" s="55"/>
    </row>
    <row r="136">
      <c r="A136" s="55">
        <v>0</v>
      </c>
      <c r="B136" s="55" t="s">
        <v>56</v>
      </c>
      <c r="C136" s="55"/>
      <c r="D136" s="55"/>
      <c r="E136" s="55"/>
      <c r="F136" s="55"/>
      <c r="G136" s="55"/>
      <c r="H136" s="55"/>
      <c r="I136" s="55"/>
    </row>
    <row r="137">
      <c r="A137" s="55">
        <v>1E-05</v>
      </c>
      <c r="B137" s="55" t="s">
        <v>56</v>
      </c>
      <c r="C137" s="55"/>
      <c r="D137" s="55"/>
      <c r="E137" s="55"/>
      <c r="F137" s="55"/>
      <c r="G137" s="55"/>
      <c r="H137" s="55"/>
      <c r="I137" s="55"/>
    </row>
    <row r="138">
      <c r="A138" s="55">
        <v>0.005</v>
      </c>
      <c r="B138" s="55" t="s">
        <v>56</v>
      </c>
      <c r="C138" s="55"/>
      <c r="D138" s="55"/>
      <c r="E138" s="55"/>
      <c r="F138" s="55"/>
      <c r="G138" s="55"/>
      <c r="H138" s="55"/>
      <c r="I138" s="55"/>
    </row>
    <row r="139">
      <c r="A139" s="55">
        <v>0.05</v>
      </c>
      <c r="B139" s="55" t="s">
        <v>110</v>
      </c>
      <c r="C139" s="55"/>
      <c r="D139" s="55"/>
      <c r="E139" s="55"/>
      <c r="F139" s="55"/>
      <c r="G139" s="55"/>
      <c r="H139" s="55"/>
      <c r="I139" s="55"/>
    </row>
    <row r="140">
      <c r="A140" s="55" t="s">
        <v>111</v>
      </c>
      <c r="B140" s="55"/>
      <c r="C140" s="55"/>
      <c r="D140" s="55"/>
      <c r="E140" s="55"/>
      <c r="F140" s="55"/>
      <c r="G140" s="55"/>
      <c r="H140" s="55"/>
      <c r="I140" s="55"/>
    </row>
    <row r="141">
      <c r="A141" s="55">
        <v>0</v>
      </c>
      <c r="B141" s="55" t="s">
        <v>112</v>
      </c>
      <c r="C141" s="55"/>
      <c r="D141" s="55"/>
      <c r="E141" s="55"/>
      <c r="F141" s="55"/>
      <c r="G141" s="55"/>
      <c r="H141" s="55"/>
      <c r="I141" s="55"/>
    </row>
    <row r="142">
      <c r="A142" s="55">
        <v>1E-05</v>
      </c>
      <c r="B142" s="55" t="s">
        <v>85</v>
      </c>
      <c r="C142" s="55"/>
      <c r="D142" s="55"/>
      <c r="E142" s="55"/>
      <c r="F142" s="55"/>
      <c r="G142" s="55"/>
      <c r="H142" s="55"/>
      <c r="I142" s="55"/>
    </row>
    <row r="143">
      <c r="A143" s="55">
        <v>100</v>
      </c>
      <c r="B143" s="55" t="s">
        <v>56</v>
      </c>
      <c r="C143" s="55"/>
      <c r="D143" s="55"/>
      <c r="E143" s="55"/>
      <c r="F143" s="55"/>
      <c r="G143" s="55"/>
      <c r="H143" s="55"/>
      <c r="I143" s="55"/>
    </row>
    <row r="144">
      <c r="A144" s="55">
        <v>500</v>
      </c>
      <c r="B144" s="55" t="s">
        <v>86</v>
      </c>
      <c r="C144" s="55"/>
      <c r="D144" s="55"/>
      <c r="E144" s="55"/>
      <c r="F144" s="55"/>
      <c r="G144" s="55"/>
      <c r="H144" s="55"/>
      <c r="I144" s="55"/>
    </row>
    <row r="145">
      <c r="A145" s="55">
        <v>0</v>
      </c>
      <c r="B145" s="55" t="s">
        <v>113</v>
      </c>
      <c r="C145" s="55"/>
      <c r="D145" s="55"/>
      <c r="E145" s="55"/>
      <c r="F145" s="55"/>
      <c r="G145" s="55"/>
      <c r="H145" s="55"/>
      <c r="I145" s="55"/>
    </row>
    <row r="146">
      <c r="A146" s="55">
        <v>1E-05</v>
      </c>
      <c r="B146" s="55" t="s">
        <v>85</v>
      </c>
      <c r="C146" s="55"/>
      <c r="D146" s="55"/>
      <c r="E146" s="55"/>
      <c r="F146" s="55"/>
      <c r="G146" s="55"/>
      <c r="H146" s="55"/>
      <c r="I146" s="55"/>
    </row>
    <row r="147">
      <c r="A147" s="55">
        <v>1000</v>
      </c>
      <c r="B147" s="55" t="s">
        <v>56</v>
      </c>
      <c r="C147" s="55"/>
      <c r="D147" s="55"/>
      <c r="E147" s="55"/>
      <c r="F147" s="55"/>
      <c r="G147" s="55"/>
      <c r="H147" s="55"/>
      <c r="I147" s="55"/>
    </row>
    <row r="148">
      <c r="A148" s="55">
        <v>5000</v>
      </c>
      <c r="B148" s="55" t="s">
        <v>86</v>
      </c>
      <c r="C148" s="55"/>
      <c r="D148" s="55"/>
      <c r="E148" s="55"/>
      <c r="F148" s="55"/>
      <c r="G148" s="55"/>
      <c r="H148" s="55"/>
      <c r="I148" s="55"/>
    </row>
    <row r="149">
      <c r="A149" s="55">
        <v>0</v>
      </c>
      <c r="B149" s="55" t="s">
        <v>114</v>
      </c>
      <c r="C149" s="55"/>
      <c r="D149" s="55"/>
      <c r="E149" s="55"/>
      <c r="F149" s="55"/>
      <c r="G149" s="55"/>
      <c r="H149" s="55"/>
      <c r="I149" s="55"/>
    </row>
    <row r="150">
      <c r="A150" s="55">
        <v>1E-05</v>
      </c>
      <c r="B150" s="55" t="s">
        <v>85</v>
      </c>
      <c r="C150" s="55"/>
      <c r="D150" s="55"/>
      <c r="E150" s="55"/>
      <c r="F150" s="55"/>
      <c r="G150" s="55"/>
      <c r="H150" s="55"/>
      <c r="I150" s="55"/>
    </row>
    <row r="151">
      <c r="A151" s="55">
        <v>20</v>
      </c>
      <c r="B151" s="55" t="s">
        <v>56</v>
      </c>
      <c r="C151" s="55"/>
      <c r="D151" s="55"/>
      <c r="E151" s="55"/>
      <c r="F151" s="55"/>
      <c r="G151" s="55"/>
      <c r="H151" s="55"/>
      <c r="I151" s="55"/>
    </row>
    <row r="152">
      <c r="A152" s="55">
        <v>200</v>
      </c>
      <c r="B152" s="55" t="s">
        <v>86</v>
      </c>
      <c r="C152" s="55"/>
      <c r="D152" s="55"/>
      <c r="E152" s="55"/>
      <c r="F152" s="55"/>
      <c r="G152" s="55"/>
      <c r="H152" s="55"/>
      <c r="I152" s="55"/>
    </row>
    <row r="153">
      <c r="A153" s="55">
        <v>0</v>
      </c>
      <c r="B153" s="55" t="s">
        <v>115</v>
      </c>
      <c r="C153" s="55"/>
      <c r="D153" s="55"/>
      <c r="E153" s="55"/>
      <c r="F153" s="55"/>
      <c r="G153" s="55"/>
      <c r="H153" s="55"/>
      <c r="I153" s="55"/>
    </row>
    <row r="154">
      <c r="A154" s="55">
        <v>1E-05</v>
      </c>
      <c r="B154" s="55" t="s">
        <v>85</v>
      </c>
      <c r="C154" s="55"/>
      <c r="D154" s="55"/>
      <c r="E154" s="55"/>
      <c r="F154" s="55"/>
      <c r="G154" s="55"/>
      <c r="H154" s="55"/>
      <c r="I154" s="55"/>
    </row>
    <row r="155">
      <c r="A155" s="55">
        <v>150</v>
      </c>
      <c r="B155" s="55" t="s">
        <v>56</v>
      </c>
      <c r="C155" s="55"/>
      <c r="D155" s="55"/>
      <c r="E155" s="55"/>
      <c r="F155" s="55"/>
      <c r="G155" s="55"/>
      <c r="H155" s="55"/>
      <c r="I155" s="55"/>
    </row>
    <row r="156">
      <c r="A156" s="55">
        <v>5000</v>
      </c>
      <c r="B156" s="55" t="s">
        <v>86</v>
      </c>
      <c r="C156" s="55"/>
      <c r="D156" s="55"/>
      <c r="E156" s="55"/>
      <c r="F156" s="55"/>
      <c r="G156" s="55"/>
      <c r="H156" s="55"/>
      <c r="I156" s="55"/>
    </row>
    <row r="157">
      <c r="A157" s="55"/>
      <c r="B157" s="55"/>
      <c r="C157" s="55"/>
      <c r="D157" s="55"/>
      <c r="E157" s="55"/>
      <c r="F157" s="55"/>
      <c r="G157" s="55"/>
      <c r="H157" s="55"/>
      <c r="I157" s="55"/>
    </row>
  </sheetData>
  <mergeCells>
    <mergeCell ref="C79:E79"/>
    <mergeCell ref="C57:K57"/>
    <mergeCell ref="C58:K68"/>
    <mergeCell ref="E70:G70"/>
    <mergeCell ref="C71:E72"/>
    <mergeCell ref="F71:G71"/>
    <mergeCell ref="C73:E73"/>
    <mergeCell ref="C74:E74"/>
    <mergeCell ref="C75:E75"/>
    <mergeCell ref="C76:E76"/>
    <mergeCell ref="C77:E77"/>
    <mergeCell ref="C78:E78"/>
    <mergeCell ref="C86:E86"/>
    <mergeCell ref="C87:E87"/>
    <mergeCell ref="C80:E80"/>
    <mergeCell ref="C81:E81"/>
    <mergeCell ref="C82:E82"/>
    <mergeCell ref="C83:E83"/>
    <mergeCell ref="C84:E84"/>
    <mergeCell ref="C85:E85"/>
  </mergeCells>
  <pageMargins left="0.75" right="0.75" top="1" bottom="1" header="0.5" footer="0.5"/>
  <pageSetup orientation="portrait" r:id="flId1"/>
  <headerFooter alignWithMargins="0">
    <oddFooter>&amp;L&amp;"Helvetica,Regular"&amp;F&amp;C&amp;"Helvetica,Regular"Property of IPA&amp;R&amp;"Helvetica,Regular"&amp;D</oddFooter>
  </headerFooter>
</worksheet>
</file>

<file path=xl/worksheets/sheet3.xml><?xml version="1.0" encoding="utf-8"?>
<worksheet xmlns:r="http://schemas.openxmlformats.org/officeDocument/2006/relationships" xmlns="http://schemas.openxmlformats.org/spreadsheetml/2006/main">
  <dimension ref="A3:N22"/>
  <sheetViews>
    <sheetView topLeftCell="A1" workbookViewId="0">
      <selection activeCell="A10" sqref="A10:D22"/>
    </sheetView>
  </sheetViews>
  <sheetFormatPr defaultColWidth="9.140625" defaultRowHeight="15"/>
  <cols>
    <col min="1" max="1" width="22.5703125" style="72" bestFit="1" customWidth="1"/>
    <col min="2" max="2" width="26" style="72" customWidth="1"/>
    <col min="3" max="3" width="23.7109375" style="72" customWidth="1"/>
    <col min="4" max="4" width="35.5703125" style="72" bestFit="1" customWidth="1"/>
    <col min="5" max="7" width="2.7109375" style="72" customWidth="1"/>
    <col min="8" max="8" width="13.140625" style="72" bestFit="1" customWidth="1"/>
    <col min="9" max="9" width="10.85546875" style="72" bestFit="1" customWidth="1"/>
    <col min="10" max="12" width="2.7109375" style="72" customWidth="1"/>
    <col min="13" max="13" width="13.85546875" style="72" customWidth="1"/>
    <col min="14" max="14" width="10.5703125" style="72" bestFit="1" customWidth="1"/>
    <col min="15" max="16384" width="9.140625" style="72"/>
  </cols>
  <sheetData>
    <row r="3">
      <c r="A3" s="71" t="s">
        <v>116</v>
      </c>
    </row>
    <row r="4">
      <c r="A4" s="71" t="s">
        <v>117</v>
      </c>
    </row>
    <row r="5">
      <c r="A5" s="71" t="s">
        <v>118</v>
      </c>
    </row>
    <row r="8">
      <c r="A8" s="73" t="s">
        <v>119</v>
      </c>
      <c r="B8" s="73"/>
      <c r="C8" s="73"/>
      <c r="D8" s="73"/>
      <c r="H8" s="73" t="s">
        <v>120</v>
      </c>
      <c r="I8" s="73"/>
      <c r="M8" s="73" t="s">
        <v>121</v>
      </c>
      <c r="N8" s="73"/>
    </row>
    <row r="9">
      <c r="A9" s="74" t="s">
        <v>122</v>
      </c>
      <c r="B9" s="74" t="s">
        <v>123</v>
      </c>
      <c r="C9" s="74" t="s">
        <v>124</v>
      </c>
      <c r="D9" s="74" t="s">
        <v>125</v>
      </c>
      <c r="H9" s="74" t="s">
        <v>126</v>
      </c>
      <c r="I9" s="74" t="s">
        <v>127</v>
      </c>
      <c r="M9" s="74" t="s">
        <v>128</v>
      </c>
      <c r="N9" s="74" t="s">
        <v>129</v>
      </c>
    </row>
    <row r="10">
      <c r="A10" s="75"/>
      <c r="H10" s="75" t="s">
        <v>130</v>
      </c>
      <c r="I10" s="76">
        <v>1234.56</v>
      </c>
    </row>
    <row r="11">
      <c r="A11" s="75"/>
      <c r="H11" s="75" t="s">
        <v>131</v>
      </c>
      <c r="I11" s="77" t="s">
        <v>132</v>
      </c>
    </row>
    <row r="12">
      <c r="B12" s="75"/>
      <c r="H12" s="75" t="s">
        <v>133</v>
      </c>
      <c r="I12" s="77" t="s">
        <v>132</v>
      </c>
    </row>
    <row r="13">
      <c r="B13" s="75"/>
      <c r="H13" s="75" t="s">
        <v>134</v>
      </c>
      <c r="I13" s="76">
        <v>1234.56</v>
      </c>
    </row>
    <row r="14">
      <c r="B14" s="75"/>
    </row>
    <row r="15">
      <c r="B15" s="75"/>
    </row>
    <row r="16">
      <c r="B16" s="75"/>
      <c r="D16" s="75"/>
    </row>
    <row r="17">
      <c r="B17" s="75"/>
    </row>
    <row r="18">
      <c r="A18" s="75"/>
      <c r="B18" s="75"/>
    </row>
    <row r="19">
      <c r="B19" s="75"/>
    </row>
    <row r="20">
      <c r="B20" s="75"/>
    </row>
    <row r="21">
      <c r="B21" s="75"/>
    </row>
    <row r="22">
      <c r="B22" s="75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3</vt:i4>
      </vt:variant>
    </vt:vector>
  </HeadingPairs>
  <TitlesOfParts>
    <vt:vector baseType="lpstr" size="3">
      <vt:lpstr>IPA Detail Cost</vt:lpstr>
      <vt:lpstr>IPA PES Sumry &amp; Cost Check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2023-09-29T17:02:04Z</dcterms:created>
  <dcterms:modified xsi:type="dcterms:W3CDTF">2023-09-29T17:02:04Z</dcterms:modified>
</cp:coreProperties>
</file>