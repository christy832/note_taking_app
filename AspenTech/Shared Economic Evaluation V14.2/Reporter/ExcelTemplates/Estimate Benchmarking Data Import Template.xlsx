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hany\Perforce\Icarus\Main\Source\DotNet\Reporter UI\ExcelTemplates\"/>
    </mc:Choice>
  </mc:AlternateContent>
  <xr:revisionPtr revIDLastSave="0" documentId="13_ncr:1_{F6D612EB-4930-49E8-B03C-B4BB3305AA93}" xr6:coauthVersionLast="47" xr6:coauthVersionMax="47" xr10:uidLastSave="{00000000-0000-0000-0000-000000000000}"/>
  <bookViews>
    <workbookView xWindow="28680" yWindow="-120" windowWidth="29040" windowHeight="15840" tabRatio="777" firstSheet="1" activeTab="2" xr2:uid="{00000000-000D-0000-FFFF-FFFF00000000}"/>
  </bookViews>
  <sheets>
    <sheet name="WorkflowUpload_DO_NOT_EDIT" sheetId="1" state="hidden" r:id="rId1"/>
    <sheet name="Project Information" sheetId="2" r:id="rId2"/>
    <sheet name="Project Direct Metrics" sheetId="5" r:id="rId3"/>
    <sheet name="Project Indirect Metrics" sheetId="6" r:id="rId4"/>
    <sheet name="&lt;#Config&gt;" sheetId="8" r:id="rId5"/>
    <sheet name="DropdownLists" sheetId="4" state="hidden" r:id="rId6"/>
    <sheet name="Formulas_DO_NOT_EDIT" sheetId="7" state="hidden" r:id="rId7"/>
  </sheets>
  <definedNames>
    <definedName name="__TBL_0_ConstructionIndirects__X">'Project Indirect Metrics'!$A$3</definedName>
    <definedName name="_TBL_0_ProjectInfo_FIXED">'Project Information'!$B$3</definedName>
    <definedName name="ASCEOccupancyRiskCategory">'Project Information'!$B$23</definedName>
    <definedName name="BaseUOM">'Project Information'!$B$10</definedName>
    <definedName name="CivilDesignCode">'Project Information'!$B$22</definedName>
    <definedName name="ConstructionType">'Project Information'!$B$8</definedName>
    <definedName name="CostBasis">'Project Information'!$B$15</definedName>
    <definedName name="CountryBase">'Project Information'!$B$9</definedName>
    <definedName name="CurrencyName">'Project Information'!$B$11</definedName>
    <definedName name="CurrencySymbol">'Project Information'!$B$12</definedName>
    <definedName name="ElectricalClassDivZone">'Project Information'!$B$29</definedName>
    <definedName name="ElectricalDistributionSys">'Project Information'!$B$31</definedName>
    <definedName name="EstimateClass">'Project Information'!$B$13</definedName>
    <definedName name="EstimateOrActuals">'Project Information'!$B$5</definedName>
    <definedName name="InstrumentationSystem">'Project Information'!$B$28</definedName>
    <definedName name="ListBaseUoM">DropdownLists!$B$1:$B$2</definedName>
    <definedName name="ListCivilDesignCode">DropdownLists!$F$1:$F$2</definedName>
    <definedName name="ListConstructionType">DropdownLists!$C$20:$C$22</definedName>
    <definedName name="ListCountryBase">DropdownLists!$A$1:$A$5</definedName>
    <definedName name="ListElectricalClassDivZone">DropdownLists!$L$1:$L$9</definedName>
    <definedName name="ListElectricalDistributionSys">DropdownLists!$N$1:$N$2</definedName>
    <definedName name="ListEstimateOrActuals">DropdownLists!$A$20:$A$21</definedName>
    <definedName name="ListInstrumentationSystem">DropdownLists!$K$1:$K$2</definedName>
    <definedName name="ListOccupancyRiskCategory">DropdownLists!$G$1:$G$4</definedName>
    <definedName name="ListPIDDesignLevel">DropdownLists!$J$1:$J$3</definedName>
    <definedName name="ListPipeFlangeRatingStd">DropdownLists!$E$1:$E$4</definedName>
    <definedName name="ListPipeWallThkStd">DropdownLists!$D$1:$D$4</definedName>
    <definedName name="ListPowerSupplyFreq">DropdownLists!$M$1:$M$2</definedName>
    <definedName name="ListProcessDescription">DropdownLists!$D$20:$D$24</definedName>
    <definedName name="ListProjectType">DropdownLists!$B$20:$B$22</definedName>
    <definedName name="ListSoilType">DropdownLists!$I$1:$I$11</definedName>
    <definedName name="ListUBCZone">DropdownLists!$H$1:$H$6</definedName>
    <definedName name="ListUOMArea">DropdownLists!$H$20:$H$21</definedName>
    <definedName name="ListUOMEquipQty">DropdownLists!$E$20:$E$21</definedName>
    <definedName name="ListUOMFireproofing">DropdownLists!$K$20:$K$23</definedName>
    <definedName name="ListUOMLength">DropdownLists!$F$20:$F$21</definedName>
    <definedName name="ListUOMPaving">DropdownLists!$L$20:$L$23</definedName>
    <definedName name="ListUOMPipeInsulation">DropdownLists!$J$20:$J$23</definedName>
    <definedName name="ListUOMSteelQty">DropdownLists!$G$20:$G$21</definedName>
    <definedName name="ListUOMVolume">DropdownLists!$I$20:$I$21</definedName>
    <definedName name="ListVesselDesignCode">DropdownLists!$C$1:$C$6</definedName>
    <definedName name="PIDDesignLevel">'Project Information'!$B$27</definedName>
    <definedName name="PipeFlangeRatingStd">'Project Information'!$B$20</definedName>
    <definedName name="PipeWallThicknessStd">'Project Information'!$B$21</definedName>
    <definedName name="PowerSupplyFreq">'Project Information'!$B$30</definedName>
    <definedName name="PreparedBy">'Project Information'!$B$14</definedName>
    <definedName name="ProcessDescription">'Project Information'!$B$7</definedName>
    <definedName name="ProjectLocation">'Project Information'!$B$4</definedName>
    <definedName name="ProjectTitle">'Project Information'!$B$3</definedName>
    <definedName name="ProjectType">'Project Information'!$B$6</definedName>
    <definedName name="SeismicHorizontalAcceleration">'Project Information'!$B$24</definedName>
    <definedName name="SoilType">'Project Information'!$B$26</definedName>
    <definedName name="UBCZone">'Project Information'!$B$25</definedName>
    <definedName name="UOMCivilEarthworkQty">'Project Direct Metrics'!$D$61</definedName>
    <definedName name="UOMCivilPavingQty">'Project Direct Metrics'!$D$64</definedName>
    <definedName name="UOMCivilRoadRRQty">'Project Direct Metrics'!$D$62</definedName>
    <definedName name="UOMConcreteGroutQty">'Project Direct Metrics'!$D$65</definedName>
    <definedName name="UOMElectricalWireLength">'Project Direct Metrics'!$D$98</definedName>
    <definedName name="UOMEquipFireproofingQty">'Project Direct Metrics'!$D$121</definedName>
    <definedName name="UOMEquipInsulationQty">'Project Direct Metrics'!$D$119</definedName>
    <definedName name="UOMEquipQty">'Project Direct Metrics'!$D$3</definedName>
    <definedName name="UOMInstrumentRunLength">'Project Direct Metrics'!$D$85</definedName>
    <definedName name="UOMPaintArea">'Project Direct Metrics'!$D$127</definedName>
    <definedName name="UOMPipeInsulationQty">'Project Direct Metrics'!$D$120</definedName>
    <definedName name="UOMPipeQty">'Project Direct Metrics'!$D$29</definedName>
    <definedName name="UOMSteelFireproofingQty">'Project Direct Metrics'!$D$122</definedName>
    <definedName name="UOMSteelQty">'Project Direct Metrics'!$D$74</definedName>
    <definedName name="VesselDesignCode">'Project Information'!$B$19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Q2" i="1" l="1"/>
  <c r="AIP2" i="1"/>
  <c r="AIO2" i="1"/>
  <c r="AIN2" i="1"/>
  <c r="AIJ2" i="1"/>
  <c r="AII2" i="1"/>
  <c r="AIH2" i="1"/>
  <c r="AIG2" i="1"/>
  <c r="C492" i="7"/>
  <c r="C491" i="7"/>
  <c r="C490" i="7"/>
  <c r="C489" i="7"/>
  <c r="C485" i="7"/>
  <c r="C484" i="7"/>
  <c r="C483" i="7"/>
  <c r="C482" i="7"/>
  <c r="D427" i="7"/>
  <c r="D426" i="7"/>
  <c r="D425" i="7"/>
  <c r="D424" i="7"/>
  <c r="D423" i="7"/>
  <c r="D422" i="7"/>
  <c r="E427" i="7"/>
  <c r="E426" i="7"/>
  <c r="E425" i="7"/>
  <c r="E424" i="7"/>
  <c r="E423" i="7"/>
  <c r="E422" i="7"/>
  <c r="C27" i="5"/>
  <c r="B27" i="5"/>
  <c r="AEJ2" i="1" l="1"/>
  <c r="AEI2" i="1"/>
  <c r="AEH2" i="1"/>
  <c r="AEG2" i="1"/>
  <c r="AEF2" i="1"/>
  <c r="AED2" i="1"/>
  <c r="AEC2" i="1"/>
  <c r="AEB2" i="1"/>
  <c r="AEA2" i="1"/>
  <c r="ADZ2" i="1"/>
  <c r="WJ2" i="1"/>
  <c r="WI2" i="1"/>
  <c r="WH2" i="1"/>
  <c r="WG2" i="1"/>
  <c r="WF2" i="1"/>
  <c r="WD2" i="1"/>
  <c r="WC2" i="1"/>
  <c r="WB2" i="1"/>
  <c r="WA2" i="1"/>
  <c r="VZ2" i="1"/>
  <c r="OJ2" i="1"/>
  <c r="OI2" i="1"/>
  <c r="OH2" i="1"/>
  <c r="OG2" i="1"/>
  <c r="OF2" i="1"/>
  <c r="OE2" i="1"/>
  <c r="OD2" i="1"/>
  <c r="OC2" i="1"/>
  <c r="OB2" i="1"/>
  <c r="OA2" i="1"/>
  <c r="NZ2" i="1"/>
  <c r="AEE2" i="1"/>
  <c r="ADY2" i="1"/>
  <c r="WE2" i="1"/>
  <c r="VY2" i="1"/>
  <c r="NY2" i="1"/>
  <c r="E139" i="5" l="1"/>
  <c r="J125" i="5" l="1"/>
  <c r="I125" i="5"/>
  <c r="H125" i="5"/>
  <c r="G125" i="5"/>
  <c r="F125" i="5"/>
  <c r="E125" i="5"/>
  <c r="D105" i="5" l="1"/>
  <c r="D129" i="5" l="1"/>
  <c r="D89" i="5" l="1"/>
  <c r="D87" i="5"/>
  <c r="D86" i="5"/>
  <c r="D83" i="5"/>
  <c r="D46" i="5"/>
  <c r="D31" i="5"/>
  <c r="D41" i="5"/>
  <c r="D39" i="5"/>
  <c r="D40" i="5"/>
  <c r="D42" i="5"/>
  <c r="D43" i="5"/>
  <c r="D44" i="5"/>
  <c r="D37" i="5"/>
  <c r="D38" i="5"/>
  <c r="D35" i="5"/>
  <c r="D36" i="5"/>
  <c r="D33" i="5"/>
  <c r="D34" i="5"/>
  <c r="D32" i="5"/>
  <c r="D30" i="5"/>
  <c r="D106" i="5" l="1"/>
  <c r="D107" i="5"/>
  <c r="D108" i="5"/>
  <c r="D116" i="5" l="1"/>
  <c r="D115" i="5"/>
  <c r="D100" i="5"/>
  <c r="D101" i="5"/>
  <c r="D102" i="5"/>
  <c r="D103" i="5"/>
  <c r="D104" i="5"/>
  <c r="D99" i="5"/>
  <c r="D91" i="5"/>
  <c r="D90" i="5"/>
  <c r="D88" i="5"/>
  <c r="D76" i="5"/>
  <c r="D77" i="5"/>
  <c r="D78" i="5"/>
  <c r="D79" i="5"/>
  <c r="D80" i="5"/>
  <c r="D81" i="5"/>
  <c r="D82" i="5"/>
  <c r="D75" i="5"/>
  <c r="D55" i="5"/>
  <c r="D56" i="5"/>
  <c r="D57" i="5"/>
  <c r="D58" i="5"/>
  <c r="D54" i="5"/>
  <c r="D51" i="5"/>
  <c r="D50" i="5"/>
  <c r="D130" i="5"/>
  <c r="D131" i="5"/>
  <c r="D132" i="5"/>
  <c r="D133" i="5"/>
  <c r="D134" i="5"/>
  <c r="D128" i="5"/>
  <c r="D27" i="5"/>
  <c r="D26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4" i="5"/>
  <c r="C51" i="6" l="1"/>
  <c r="B51" i="6"/>
  <c r="C46" i="6"/>
  <c r="B46" i="6"/>
  <c r="C37" i="6"/>
  <c r="B37" i="6"/>
  <c r="C28" i="6"/>
  <c r="B28" i="6"/>
  <c r="C19" i="6"/>
  <c r="B19" i="6"/>
  <c r="C10" i="6"/>
  <c r="B10" i="6"/>
  <c r="C5" i="6"/>
  <c r="B5" i="6"/>
  <c r="J135" i="5"/>
  <c r="I135" i="5"/>
  <c r="H135" i="5"/>
  <c r="G135" i="5"/>
  <c r="F135" i="5"/>
  <c r="E135" i="5"/>
  <c r="C135" i="5"/>
  <c r="D135" i="5" s="1"/>
  <c r="B135" i="5"/>
  <c r="J112" i="5"/>
  <c r="I112" i="5"/>
  <c r="H112" i="5"/>
  <c r="G112" i="5"/>
  <c r="F112" i="5"/>
  <c r="E112" i="5"/>
  <c r="J96" i="5"/>
  <c r="I96" i="5"/>
  <c r="H96" i="5"/>
  <c r="G96" i="5"/>
  <c r="F96" i="5"/>
  <c r="E96" i="5"/>
  <c r="J83" i="5"/>
  <c r="I83" i="5"/>
  <c r="H83" i="5"/>
  <c r="G83" i="5"/>
  <c r="F83" i="5"/>
  <c r="E83" i="5"/>
  <c r="C83" i="5"/>
  <c r="B83" i="5"/>
  <c r="J72" i="5"/>
  <c r="I72" i="5"/>
  <c r="H72" i="5"/>
  <c r="G72" i="5"/>
  <c r="F72" i="5"/>
  <c r="E72" i="5"/>
  <c r="J47" i="5"/>
  <c r="I47" i="5"/>
  <c r="H47" i="5"/>
  <c r="G47" i="5"/>
  <c r="F47" i="5"/>
  <c r="E47" i="5"/>
  <c r="J27" i="5"/>
  <c r="I27" i="5"/>
  <c r="H27" i="5"/>
  <c r="H137" i="5" s="1"/>
  <c r="G27" i="5"/>
  <c r="G137" i="5" s="1"/>
  <c r="F27" i="5"/>
  <c r="E27" i="5"/>
  <c r="B54" i="6" l="1"/>
  <c r="C54" i="6"/>
  <c r="B53" i="6"/>
  <c r="C53" i="6"/>
  <c r="C55" i="6" s="1"/>
  <c r="G138" i="5"/>
  <c r="E137" i="5"/>
  <c r="F137" i="5"/>
  <c r="I137" i="5"/>
  <c r="J137" i="5"/>
  <c r="B27" i="7"/>
  <c r="B55" i="6" l="1"/>
  <c r="I138" i="5"/>
  <c r="E138" i="5"/>
  <c r="AIR2" i="1"/>
  <c r="AIM2" i="1"/>
  <c r="AIL2" i="1"/>
  <c r="AIK2" i="1"/>
  <c r="AIF2" i="1"/>
  <c r="AIE2" i="1"/>
  <c r="C493" i="7"/>
  <c r="C488" i="7"/>
  <c r="C487" i="7"/>
  <c r="C486" i="7"/>
  <c r="C481" i="7"/>
  <c r="C480" i="7"/>
  <c r="B493" i="7"/>
  <c r="B483" i="7"/>
  <c r="B484" i="7"/>
  <c r="B485" i="7"/>
  <c r="B486" i="7"/>
  <c r="B487" i="7"/>
  <c r="B488" i="7"/>
  <c r="B489" i="7"/>
  <c r="B490" i="7"/>
  <c r="B491" i="7"/>
  <c r="B492" i="7"/>
  <c r="B481" i="7"/>
  <c r="B482" i="7"/>
  <c r="B480" i="7"/>
  <c r="AID2" i="1"/>
  <c r="AIC2" i="1"/>
  <c r="AIB2" i="1"/>
  <c r="AIA2" i="1"/>
  <c r="AHZ2" i="1"/>
  <c r="AHY2" i="1"/>
  <c r="AHX2" i="1"/>
  <c r="AHW2" i="1"/>
  <c r="AHV2" i="1"/>
  <c r="AHU2" i="1"/>
  <c r="AHT2" i="1"/>
  <c r="AHS2" i="1"/>
  <c r="AHR2" i="1"/>
  <c r="AHQ2" i="1"/>
  <c r="AHP2" i="1"/>
  <c r="AHO2" i="1"/>
  <c r="AHN2" i="1"/>
  <c r="AHM2" i="1"/>
  <c r="AHL2" i="1"/>
  <c r="AHK2" i="1"/>
  <c r="AHJ2" i="1"/>
  <c r="AHI2" i="1"/>
  <c r="AHH2" i="1"/>
  <c r="AHG2" i="1"/>
  <c r="AHF2" i="1"/>
  <c r="AHE2" i="1"/>
  <c r="AHD2" i="1"/>
  <c r="AHC2" i="1"/>
  <c r="AGN2" i="1"/>
  <c r="AGM2" i="1"/>
  <c r="AGL2" i="1"/>
  <c r="AGK2" i="1"/>
  <c r="AGJ2" i="1"/>
  <c r="AGI2" i="1"/>
  <c r="AGH2" i="1"/>
  <c r="AGG2" i="1"/>
  <c r="AGF2" i="1"/>
  <c r="AGE2" i="1"/>
  <c r="AGD2" i="1"/>
  <c r="AGC2" i="1"/>
  <c r="AGB2" i="1"/>
  <c r="AGA2" i="1"/>
  <c r="AFZ2" i="1"/>
  <c r="AFY2" i="1"/>
  <c r="AFX2" i="1"/>
  <c r="AFW2" i="1"/>
  <c r="AFV2" i="1"/>
  <c r="AFU2" i="1"/>
  <c r="AFT2" i="1"/>
  <c r="AFS2" i="1"/>
  <c r="AFR2" i="1"/>
  <c r="AFQ2" i="1"/>
  <c r="AFP2" i="1"/>
  <c r="AFO2" i="1"/>
  <c r="AFN2" i="1"/>
  <c r="AFM2" i="1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37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AEX2" i="1" l="1"/>
  <c r="AEW2" i="1"/>
  <c r="AEV2" i="1"/>
  <c r="AEU2" i="1"/>
  <c r="AET2" i="1"/>
  <c r="AES2" i="1"/>
  <c r="AER2" i="1"/>
  <c r="AEQ2" i="1"/>
  <c r="AEP2" i="1"/>
  <c r="AEO2" i="1"/>
  <c r="AEN2" i="1"/>
  <c r="AEM2" i="1"/>
  <c r="AEL2" i="1"/>
  <c r="AEK2" i="1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ADX2" i="1"/>
  <c r="ADW2" i="1"/>
  <c r="ADV2" i="1"/>
  <c r="ADU2" i="1"/>
  <c r="ADT2" i="1"/>
  <c r="ADS2" i="1"/>
  <c r="ADR2" i="1"/>
  <c r="ADQ2" i="1"/>
  <c r="ADP2" i="1"/>
  <c r="ADO2" i="1"/>
  <c r="ADN2" i="1"/>
  <c r="ADM2" i="1"/>
  <c r="ADL2" i="1"/>
  <c r="ADK2" i="1"/>
  <c r="ADJ2" i="1"/>
  <c r="ADI2" i="1"/>
  <c r="ADH2" i="1"/>
  <c r="ADG2" i="1"/>
  <c r="ADF2" i="1"/>
  <c r="ADE2" i="1"/>
  <c r="ADD2" i="1"/>
  <c r="ADC2" i="1"/>
  <c r="ADB2" i="1"/>
  <c r="ADA2" i="1"/>
  <c r="ACZ2" i="1"/>
  <c r="ACY2" i="1"/>
  <c r="ACX2" i="1"/>
  <c r="ACW2" i="1"/>
  <c r="ACV2" i="1"/>
  <c r="ACU2" i="1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ACT2" i="1"/>
  <c r="ACS2" i="1"/>
  <c r="ACR2" i="1"/>
  <c r="ACQ2" i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A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WZ2" i="1"/>
  <c r="WY2" i="1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B318" i="7"/>
  <c r="C318" i="7"/>
  <c r="B319" i="7"/>
  <c r="C319" i="7"/>
  <c r="B320" i="7"/>
  <c r="C320" i="7"/>
  <c r="B321" i="7"/>
  <c r="C321" i="7"/>
  <c r="B322" i="7"/>
  <c r="C322" i="7"/>
  <c r="B323" i="7"/>
  <c r="C323" i="7"/>
  <c r="B317" i="7"/>
  <c r="C317" i="7"/>
  <c r="B311" i="7"/>
  <c r="C311" i="7"/>
  <c r="B312" i="7"/>
  <c r="C312" i="7"/>
  <c r="B313" i="7"/>
  <c r="C313" i="7"/>
  <c r="B314" i="7"/>
  <c r="C314" i="7"/>
  <c r="B315" i="7"/>
  <c r="C315" i="7"/>
  <c r="C310" i="7"/>
  <c r="B310" i="7"/>
  <c r="B295" i="7"/>
  <c r="C295" i="7"/>
  <c r="B296" i="7"/>
  <c r="C296" i="7"/>
  <c r="B297" i="7"/>
  <c r="C297" i="7"/>
  <c r="B298" i="7"/>
  <c r="C298" i="7"/>
  <c r="B299" i="7"/>
  <c r="C299" i="7"/>
  <c r="B300" i="7"/>
  <c r="C300" i="7"/>
  <c r="B301" i="7"/>
  <c r="C301" i="7"/>
  <c r="B302" i="7"/>
  <c r="C302" i="7"/>
  <c r="B303" i="7"/>
  <c r="C303" i="7"/>
  <c r="B304" i="7"/>
  <c r="C304" i="7"/>
  <c r="B305" i="7"/>
  <c r="C305" i="7"/>
  <c r="B306" i="7"/>
  <c r="C306" i="7"/>
  <c r="B307" i="7"/>
  <c r="C307" i="7"/>
  <c r="B308" i="7"/>
  <c r="C308" i="7"/>
  <c r="C294" i="7"/>
  <c r="B294" i="7"/>
  <c r="B284" i="7"/>
  <c r="C284" i="7"/>
  <c r="B285" i="7"/>
  <c r="C285" i="7"/>
  <c r="B286" i="7"/>
  <c r="C286" i="7"/>
  <c r="B287" i="7"/>
  <c r="C287" i="7"/>
  <c r="B288" i="7"/>
  <c r="C288" i="7"/>
  <c r="B289" i="7"/>
  <c r="C289" i="7"/>
  <c r="B290" i="7"/>
  <c r="C290" i="7"/>
  <c r="B291" i="7"/>
  <c r="C291" i="7"/>
  <c r="B292" i="7"/>
  <c r="C292" i="7"/>
  <c r="C283" i="7"/>
  <c r="B275" i="7"/>
  <c r="C275" i="7"/>
  <c r="B276" i="7"/>
  <c r="C276" i="7"/>
  <c r="B277" i="7"/>
  <c r="C277" i="7"/>
  <c r="B278" i="7"/>
  <c r="C278" i="7"/>
  <c r="B279" i="7"/>
  <c r="C279" i="7"/>
  <c r="B280" i="7"/>
  <c r="C280" i="7"/>
  <c r="B281" i="7"/>
  <c r="C281" i="7"/>
  <c r="B274" i="7"/>
  <c r="C274" i="7"/>
  <c r="B263" i="7"/>
  <c r="C263" i="7"/>
  <c r="B264" i="7"/>
  <c r="C264" i="7"/>
  <c r="B265" i="7"/>
  <c r="C265" i="7"/>
  <c r="B266" i="7"/>
  <c r="C266" i="7"/>
  <c r="B267" i="7"/>
  <c r="C267" i="7"/>
  <c r="B268" i="7"/>
  <c r="C268" i="7"/>
  <c r="B269" i="7"/>
  <c r="C269" i="7"/>
  <c r="B270" i="7"/>
  <c r="C270" i="7"/>
  <c r="B271" i="7"/>
  <c r="C271" i="7"/>
  <c r="B272" i="7"/>
  <c r="C272" i="7"/>
  <c r="C262" i="7"/>
  <c r="B262" i="7"/>
  <c r="B238" i="7"/>
  <c r="C238" i="7"/>
  <c r="B239" i="7"/>
  <c r="C239" i="7"/>
  <c r="B240" i="7"/>
  <c r="C240" i="7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B256" i="7"/>
  <c r="C256" i="7"/>
  <c r="B257" i="7"/>
  <c r="C257" i="7"/>
  <c r="B258" i="7"/>
  <c r="C258" i="7"/>
  <c r="B259" i="7"/>
  <c r="C259" i="7"/>
  <c r="B260" i="7"/>
  <c r="C260" i="7"/>
  <c r="C237" i="7"/>
  <c r="B237" i="7"/>
  <c r="B214" i="7"/>
  <c r="C214" i="7"/>
  <c r="B215" i="7"/>
  <c r="C215" i="7"/>
  <c r="B216" i="7"/>
  <c r="C216" i="7"/>
  <c r="B217" i="7"/>
  <c r="C217" i="7"/>
  <c r="B218" i="7"/>
  <c r="C218" i="7"/>
  <c r="B219" i="7"/>
  <c r="C219" i="7"/>
  <c r="B220" i="7"/>
  <c r="C220" i="7"/>
  <c r="B221" i="7"/>
  <c r="C221" i="7"/>
  <c r="B222" i="7"/>
  <c r="C222" i="7"/>
  <c r="B223" i="7"/>
  <c r="C223" i="7"/>
  <c r="B224" i="7"/>
  <c r="C224" i="7"/>
  <c r="B225" i="7"/>
  <c r="C225" i="7"/>
  <c r="B226" i="7"/>
  <c r="C226" i="7"/>
  <c r="B227" i="7"/>
  <c r="C227" i="7"/>
  <c r="B228" i="7"/>
  <c r="C228" i="7"/>
  <c r="B229" i="7"/>
  <c r="C229" i="7"/>
  <c r="B230" i="7"/>
  <c r="C230" i="7"/>
  <c r="B231" i="7"/>
  <c r="C231" i="7"/>
  <c r="B232" i="7"/>
  <c r="C232" i="7"/>
  <c r="B233" i="7"/>
  <c r="C233" i="7"/>
  <c r="B234" i="7"/>
  <c r="C234" i="7"/>
  <c r="B235" i="7"/>
  <c r="C235" i="7"/>
  <c r="C213" i="7"/>
  <c r="B213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B326" i="7"/>
  <c r="C326" i="7"/>
  <c r="B327" i="7"/>
  <c r="C327" i="7"/>
  <c r="B328" i="7"/>
  <c r="C328" i="7"/>
  <c r="B329" i="7"/>
  <c r="C329" i="7"/>
  <c r="B330" i="7"/>
  <c r="C330" i="7"/>
  <c r="B331" i="7"/>
  <c r="C331" i="7"/>
  <c r="B332" i="7"/>
  <c r="C332" i="7"/>
  <c r="B333" i="7"/>
  <c r="C333" i="7"/>
  <c r="B334" i="7"/>
  <c r="C334" i="7"/>
  <c r="B335" i="7"/>
  <c r="C335" i="7"/>
  <c r="B336" i="7"/>
  <c r="C336" i="7"/>
  <c r="B337" i="7"/>
  <c r="C337" i="7"/>
  <c r="B338" i="7"/>
  <c r="C338" i="7"/>
  <c r="B339" i="7"/>
  <c r="C339" i="7"/>
  <c r="B340" i="7"/>
  <c r="C340" i="7"/>
  <c r="B341" i="7"/>
  <c r="C341" i="7"/>
  <c r="B342" i="7"/>
  <c r="C342" i="7"/>
  <c r="B343" i="7"/>
  <c r="C343" i="7"/>
  <c r="B344" i="7"/>
  <c r="C344" i="7"/>
  <c r="B345" i="7"/>
  <c r="C345" i="7"/>
  <c r="B346" i="7"/>
  <c r="C346" i="7"/>
  <c r="B347" i="7"/>
  <c r="C347" i="7"/>
  <c r="C325" i="7"/>
  <c r="B325" i="7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E315" i="7"/>
  <c r="D315" i="7"/>
  <c r="E314" i="7"/>
  <c r="D314" i="7"/>
  <c r="E313" i="7"/>
  <c r="D313" i="7"/>
  <c r="E312" i="7"/>
  <c r="D312" i="7"/>
  <c r="E311" i="7"/>
  <c r="D311" i="7"/>
  <c r="E310" i="7"/>
  <c r="D310" i="7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TJ2" i="1" l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E272" i="7" l="1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B283" i="7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B206" i="7"/>
  <c r="C206" i="7"/>
  <c r="B207" i="7"/>
  <c r="C207" i="7"/>
  <c r="B208" i="7"/>
  <c r="C208" i="7"/>
  <c r="B209" i="7"/>
  <c r="C209" i="7"/>
  <c r="B210" i="7"/>
  <c r="C210" i="7"/>
  <c r="B211" i="7"/>
  <c r="C211" i="7"/>
  <c r="C205" i="7"/>
  <c r="B205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B199" i="7"/>
  <c r="C199" i="7"/>
  <c r="B200" i="7"/>
  <c r="C200" i="7"/>
  <c r="B201" i="7"/>
  <c r="C201" i="7"/>
  <c r="B202" i="7"/>
  <c r="C202" i="7"/>
  <c r="B203" i="7"/>
  <c r="C203" i="7"/>
  <c r="C198" i="7"/>
  <c r="B198" i="7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B195" i="7"/>
  <c r="C195" i="7"/>
  <c r="B196" i="7"/>
  <c r="C196" i="7"/>
  <c r="B183" i="7"/>
  <c r="C183" i="7"/>
  <c r="B184" i="7"/>
  <c r="C184" i="7"/>
  <c r="B185" i="7"/>
  <c r="C185" i="7"/>
  <c r="B186" i="7"/>
  <c r="C186" i="7"/>
  <c r="B187" i="7"/>
  <c r="C187" i="7"/>
  <c r="B188" i="7"/>
  <c r="C188" i="7"/>
  <c r="B189" i="7"/>
  <c r="C189" i="7"/>
  <c r="B190" i="7"/>
  <c r="C190" i="7"/>
  <c r="B191" i="7"/>
  <c r="C191" i="7"/>
  <c r="B192" i="7"/>
  <c r="C192" i="7"/>
  <c r="B193" i="7"/>
  <c r="C193" i="7"/>
  <c r="B194" i="7"/>
  <c r="C194" i="7"/>
  <c r="C182" i="7"/>
  <c r="B182" i="7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B172" i="7"/>
  <c r="C172" i="7"/>
  <c r="B173" i="7"/>
  <c r="C173" i="7"/>
  <c r="B174" i="7"/>
  <c r="C174" i="7"/>
  <c r="B175" i="7"/>
  <c r="C175" i="7"/>
  <c r="B176" i="7"/>
  <c r="C176" i="7"/>
  <c r="B177" i="7"/>
  <c r="C177" i="7"/>
  <c r="B178" i="7"/>
  <c r="C178" i="7"/>
  <c r="B179" i="7"/>
  <c r="C179" i="7"/>
  <c r="B180" i="7"/>
  <c r="C180" i="7"/>
  <c r="C171" i="7"/>
  <c r="B171" i="7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B163" i="7"/>
  <c r="C163" i="7"/>
  <c r="B164" i="7"/>
  <c r="C164" i="7"/>
  <c r="B165" i="7"/>
  <c r="C165" i="7"/>
  <c r="B166" i="7"/>
  <c r="C166" i="7"/>
  <c r="B167" i="7"/>
  <c r="C167" i="7"/>
  <c r="B168" i="7"/>
  <c r="C168" i="7"/>
  <c r="B169" i="7"/>
  <c r="C169" i="7"/>
  <c r="C162" i="7"/>
  <c r="B162" i="7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B151" i="7"/>
  <c r="C151" i="7"/>
  <c r="B152" i="7"/>
  <c r="C152" i="7"/>
  <c r="B153" i="7"/>
  <c r="C153" i="7"/>
  <c r="B154" i="7"/>
  <c r="C154" i="7"/>
  <c r="B155" i="7"/>
  <c r="C155" i="7"/>
  <c r="B156" i="7"/>
  <c r="C156" i="7"/>
  <c r="B157" i="7"/>
  <c r="C157" i="7"/>
  <c r="B158" i="7"/>
  <c r="C158" i="7"/>
  <c r="B159" i="7"/>
  <c r="C159" i="7"/>
  <c r="B160" i="7"/>
  <c r="C160" i="7"/>
  <c r="C150" i="7"/>
  <c r="B150" i="7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C125" i="7"/>
  <c r="B125" i="7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C101" i="7"/>
  <c r="B101" i="7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E99" i="7"/>
  <c r="E98" i="7"/>
  <c r="E97" i="7"/>
  <c r="E96" i="7"/>
  <c r="E95" i="7"/>
  <c r="E94" i="7"/>
  <c r="E93" i="7"/>
  <c r="D99" i="7"/>
  <c r="D98" i="7"/>
  <c r="D97" i="7"/>
  <c r="D96" i="7"/>
  <c r="D95" i="7"/>
  <c r="D94" i="7"/>
  <c r="D93" i="7"/>
  <c r="B94" i="7"/>
  <c r="C94" i="7"/>
  <c r="B95" i="7"/>
  <c r="C95" i="7"/>
  <c r="B96" i="7"/>
  <c r="C96" i="7"/>
  <c r="B97" i="7"/>
  <c r="C97" i="7"/>
  <c r="B98" i="7"/>
  <c r="C98" i="7"/>
  <c r="B99" i="7"/>
  <c r="C99" i="7"/>
  <c r="C93" i="7"/>
  <c r="B93" i="7"/>
  <c r="GJ2" i="1"/>
  <c r="GI2" i="1"/>
  <c r="GH2" i="1"/>
  <c r="GG2" i="1"/>
  <c r="GF2" i="1"/>
  <c r="GE2" i="1"/>
  <c r="GD2" i="1"/>
  <c r="GC2" i="1"/>
  <c r="E91" i="7"/>
  <c r="E90" i="7"/>
  <c r="E89" i="7"/>
  <c r="E88" i="7"/>
  <c r="D91" i="7"/>
  <c r="D90" i="7"/>
  <c r="D89" i="7"/>
  <c r="D88" i="7"/>
  <c r="B89" i="7"/>
  <c r="C89" i="7"/>
  <c r="B90" i="7"/>
  <c r="C90" i="7"/>
  <c r="B91" i="7"/>
  <c r="C91" i="7"/>
  <c r="C88" i="7"/>
  <c r="B88" i="7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E86" i="7"/>
  <c r="E85" i="7"/>
  <c r="D86" i="7"/>
  <c r="D85" i="7"/>
  <c r="B85" i="7"/>
  <c r="C85" i="7"/>
  <c r="B86" i="7"/>
  <c r="C86" i="7"/>
  <c r="E84" i="7"/>
  <c r="E83" i="7"/>
  <c r="E82" i="7"/>
  <c r="E81" i="7"/>
  <c r="E80" i="7"/>
  <c r="E79" i="7"/>
  <c r="E78" i="7"/>
  <c r="E77" i="7"/>
  <c r="E76" i="7"/>
  <c r="E75" i="7"/>
  <c r="E74" i="7"/>
  <c r="D84" i="7"/>
  <c r="D83" i="7"/>
  <c r="D82" i="7"/>
  <c r="D81" i="7"/>
  <c r="D80" i="7"/>
  <c r="D79" i="7"/>
  <c r="D78" i="7"/>
  <c r="D77" i="7"/>
  <c r="D76" i="7"/>
  <c r="D75" i="7"/>
  <c r="D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C74" i="7"/>
  <c r="B74" i="7"/>
  <c r="FB2" i="1"/>
  <c r="FA2" i="1"/>
  <c r="EZ2" i="1"/>
  <c r="EY2" i="1"/>
  <c r="EX2" i="1"/>
  <c r="EW2" i="1"/>
  <c r="EV2" i="1"/>
  <c r="EU2" i="1"/>
  <c r="ET2" i="1"/>
  <c r="ES2" i="1"/>
  <c r="ER2" i="1"/>
  <c r="EQ2" i="1"/>
  <c r="E72" i="7"/>
  <c r="E71" i="7"/>
  <c r="E70" i="7"/>
  <c r="E69" i="7"/>
  <c r="E68" i="7"/>
  <c r="E67" i="7"/>
  <c r="D72" i="7"/>
  <c r="D71" i="7"/>
  <c r="D70" i="7"/>
  <c r="D69" i="7"/>
  <c r="D68" i="7"/>
  <c r="D67" i="7"/>
  <c r="B72" i="7"/>
  <c r="C72" i="7"/>
  <c r="B68" i="7"/>
  <c r="C68" i="7"/>
  <c r="B69" i="7"/>
  <c r="C69" i="7"/>
  <c r="B70" i="7"/>
  <c r="C70" i="7"/>
  <c r="B71" i="7"/>
  <c r="C71" i="7"/>
  <c r="C67" i="7"/>
  <c r="B67" i="7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E65" i="7"/>
  <c r="E64" i="7"/>
  <c r="E63" i="7"/>
  <c r="E62" i="7"/>
  <c r="E61" i="7"/>
  <c r="E60" i="7"/>
  <c r="E59" i="7"/>
  <c r="E58" i="7"/>
  <c r="D65" i="7"/>
  <c r="D64" i="7"/>
  <c r="D63" i="7"/>
  <c r="D62" i="7"/>
  <c r="D61" i="7"/>
  <c r="D60" i="7"/>
  <c r="D59" i="7"/>
  <c r="D58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E56" i="7"/>
  <c r="E55" i="7"/>
  <c r="E54" i="7"/>
  <c r="E53" i="7"/>
  <c r="E52" i="7"/>
  <c r="E51" i="7"/>
  <c r="E50" i="7"/>
  <c r="E49" i="7"/>
  <c r="D56" i="7"/>
  <c r="D55" i="7"/>
  <c r="D54" i="7"/>
  <c r="D53" i="7"/>
  <c r="D52" i="7"/>
  <c r="D51" i="7"/>
  <c r="D50" i="7"/>
  <c r="D49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E47" i="7"/>
  <c r="E46" i="7"/>
  <c r="E45" i="7"/>
  <c r="E44" i="7"/>
  <c r="E43" i="7"/>
  <c r="E42" i="7"/>
  <c r="E41" i="7"/>
  <c r="D47" i="7"/>
  <c r="D46" i="7"/>
  <c r="D45" i="7"/>
  <c r="D44" i="7"/>
  <c r="D43" i="7"/>
  <c r="D42" i="7"/>
  <c r="D41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E26" i="7"/>
  <c r="D26" i="7"/>
  <c r="C26" i="7"/>
  <c r="B26" i="7"/>
  <c r="E25" i="7"/>
  <c r="D25" i="7"/>
  <c r="C25" i="7"/>
  <c r="B25" i="7"/>
  <c r="E24" i="7"/>
  <c r="D24" i="7"/>
  <c r="C24" i="7"/>
  <c r="B24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C1" i="6" l="1"/>
  <c r="I1" i="5"/>
  <c r="E1" i="5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J2" i="1"/>
  <c r="I2" i="1"/>
  <c r="G2" i="1"/>
  <c r="F2" i="1"/>
  <c r="E2" i="1"/>
  <c r="D2" i="1"/>
  <c r="C2" i="1"/>
  <c r="H2" i="1"/>
  <c r="L2" i="1"/>
  <c r="K2" i="1"/>
  <c r="B2" i="1" l="1"/>
  <c r="A2" i="1"/>
</calcChain>
</file>

<file path=xl/sharedStrings.xml><?xml version="1.0" encoding="utf-8"?>
<sst xmlns="http://schemas.openxmlformats.org/spreadsheetml/2006/main" count="2722" uniqueCount="2254">
  <si>
    <t>Project Title</t>
  </si>
  <si>
    <t>Project Location</t>
  </si>
  <si>
    <t>Country Base</t>
  </si>
  <si>
    <t>Base Units of Measure</t>
  </si>
  <si>
    <t>Currency Name</t>
  </si>
  <si>
    <t>Currency Symbol</t>
  </si>
  <si>
    <t>Estimate Class</t>
  </si>
  <si>
    <t>Prepared By</t>
  </si>
  <si>
    <t>Description</t>
  </si>
  <si>
    <t>Value</t>
  </si>
  <si>
    <t>Concrete</t>
  </si>
  <si>
    <t>Grout</t>
  </si>
  <si>
    <t>US</t>
  </si>
  <si>
    <t>UK</t>
  </si>
  <si>
    <t>EU</t>
  </si>
  <si>
    <t>JP</t>
  </si>
  <si>
    <t>ME</t>
  </si>
  <si>
    <t>I-P</t>
  </si>
  <si>
    <t>METRIC</t>
  </si>
  <si>
    <t>Project Information</t>
  </si>
  <si>
    <t>Cost Basis Year</t>
  </si>
  <si>
    <t>Vessel design code</t>
  </si>
  <si>
    <t>Soil type</t>
  </si>
  <si>
    <t>Design Basis</t>
  </si>
  <si>
    <t>Pipe flange rating standard</t>
  </si>
  <si>
    <t>Pipe wall thickness standard</t>
  </si>
  <si>
    <t>ASCE 7 occupancy / risk category</t>
  </si>
  <si>
    <t>Civil/structural design loads reference code</t>
  </si>
  <si>
    <t>Seismic horizontal acceleration (g)</t>
  </si>
  <si>
    <t>UBC zone</t>
  </si>
  <si>
    <t>Piping and instrumentation design</t>
  </si>
  <si>
    <t>Instrumentation system</t>
  </si>
  <si>
    <t>Electrical class and division or zone</t>
  </si>
  <si>
    <t>Power supply frequency</t>
  </si>
  <si>
    <t>Electrical distribution system</t>
  </si>
  <si>
    <t>ASME</t>
  </si>
  <si>
    <t>BS5500</t>
  </si>
  <si>
    <t>DIN</t>
  </si>
  <si>
    <t>EN 13445</t>
  </si>
  <si>
    <t>GB 150</t>
  </si>
  <si>
    <t>JIS</t>
  </si>
  <si>
    <t>DIN EN</t>
  </si>
  <si>
    <t>HGT20592</t>
  </si>
  <si>
    <t>HGT20615</t>
  </si>
  <si>
    <t>GB</t>
  </si>
  <si>
    <t>PN</t>
  </si>
  <si>
    <t>ASCE 7-05</t>
  </si>
  <si>
    <t>ASCE 7-10</t>
  </si>
  <si>
    <t>I</t>
  </si>
  <si>
    <t>II</t>
  </si>
  <si>
    <t>III</t>
  </si>
  <si>
    <t>IV</t>
  </si>
  <si>
    <t>2A</t>
  </si>
  <si>
    <t>2B</t>
  </si>
  <si>
    <t>SOFT CLAY</t>
  </si>
  <si>
    <t>FIRM CLAY</t>
  </si>
  <si>
    <t xml:space="preserve">WET SAND </t>
  </si>
  <si>
    <t>SAND+CLAY</t>
  </si>
  <si>
    <t>DRY SAND</t>
  </si>
  <si>
    <t>SAND</t>
  </si>
  <si>
    <t>GRAVEL</t>
  </si>
  <si>
    <t>SOFT ROCK</t>
  </si>
  <si>
    <t>HARDPAN</t>
  </si>
  <si>
    <t>MED-ROCK</t>
  </si>
  <si>
    <t>HARD ROCK</t>
  </si>
  <si>
    <t>STD</t>
  </si>
  <si>
    <t>FULL</t>
  </si>
  <si>
    <t>SIS</t>
  </si>
  <si>
    <t>Wired, conventional</t>
  </si>
  <si>
    <t>Digital, fieldbus</t>
  </si>
  <si>
    <t>Zone 0 (IEC)</t>
  </si>
  <si>
    <t>Zone 1 (IEC)</t>
  </si>
  <si>
    <t>Zone 2 (IEC)</t>
  </si>
  <si>
    <t>Class I, division 1 (NEC)</t>
  </si>
  <si>
    <t>Class I, division 2 (NEC)</t>
  </si>
  <si>
    <t>Class II, division 1 (NEC)</t>
  </si>
  <si>
    <t>Class II, division 2 (NEC)</t>
  </si>
  <si>
    <t>Class III,division 1 (NEC)</t>
  </si>
  <si>
    <t>Class III,division 2 (NEC)</t>
  </si>
  <si>
    <t>50 Hz</t>
  </si>
  <si>
    <t>60 Hz</t>
  </si>
  <si>
    <t>3WIRE</t>
  </si>
  <si>
    <t>4WIRE</t>
  </si>
  <si>
    <t>Quantity</t>
  </si>
  <si>
    <t>Unit</t>
  </si>
  <si>
    <t>ISBL</t>
  </si>
  <si>
    <t>OSBL</t>
  </si>
  <si>
    <t>Pumps</t>
  </si>
  <si>
    <t>Heat Exchangers</t>
  </si>
  <si>
    <t>Storage Vessels</t>
  </si>
  <si>
    <t>Flares</t>
  </si>
  <si>
    <t>Process Vessels</t>
  </si>
  <si>
    <t>Centrifugal Compressors</t>
  </si>
  <si>
    <t>Reciprocating Compressors</t>
  </si>
  <si>
    <t>Other Equipment Items</t>
  </si>
  <si>
    <t>Equipment Demolition</t>
  </si>
  <si>
    <t>Reactors, Mixers</t>
  </si>
  <si>
    <t>Turbo Expanders</t>
  </si>
  <si>
    <t>Fans, Blowers</t>
  </si>
  <si>
    <t>Drivers</t>
  </si>
  <si>
    <t>Crushers, Mills</t>
  </si>
  <si>
    <t>Solids Separation Equipment</t>
  </si>
  <si>
    <t>Fluid Separation Equipment</t>
  </si>
  <si>
    <t>Material Handling Equipment</t>
  </si>
  <si>
    <t>Generators</t>
  </si>
  <si>
    <t>Boiler Plant Equipment</t>
  </si>
  <si>
    <t>Furnaces, Heaters</t>
  </si>
  <si>
    <t>Package Units</t>
  </si>
  <si>
    <t>EQUIPMENT</t>
  </si>
  <si>
    <t>Design Allowance</t>
  </si>
  <si>
    <t>Warehouse Spares</t>
  </si>
  <si>
    <t>PIPING</t>
  </si>
  <si>
    <t>Specialty Piping Items</t>
  </si>
  <si>
    <t>Firewater Piping</t>
  </si>
  <si>
    <t>Ductwork, Launders</t>
  </si>
  <si>
    <t>Pipelines</t>
  </si>
  <si>
    <t>Pipe Demolition</t>
  </si>
  <si>
    <t>Pipe Testing</t>
  </si>
  <si>
    <t>Other Piping</t>
  </si>
  <si>
    <t>PIPING (BY INSTALLATION)</t>
  </si>
  <si>
    <t>Above Ground (AG) Piping</t>
  </si>
  <si>
    <t>Underground (UG) Piping</t>
  </si>
  <si>
    <t>PIPING (BY SIZE)</t>
  </si>
  <si>
    <t>Extra-small Diameter</t>
  </si>
  <si>
    <t>Small Diameter</t>
  </si>
  <si>
    <t>Medium Diameter</t>
  </si>
  <si>
    <t>Large Diameter</t>
  </si>
  <si>
    <t>Extra-large Diameter</t>
  </si>
  <si>
    <t>CIVIL</t>
  </si>
  <si>
    <t>Earthwork</t>
  </si>
  <si>
    <t>Other Sitework</t>
  </si>
  <si>
    <t>Piling</t>
  </si>
  <si>
    <t>Paving</t>
  </si>
  <si>
    <t>Other Civil</t>
  </si>
  <si>
    <t>Roads, Railroads</t>
  </si>
  <si>
    <t>Buildings, Architectural</t>
  </si>
  <si>
    <t>Civil Demolition</t>
  </si>
  <si>
    <t>STEEL</t>
  </si>
  <si>
    <t>Extra Light</t>
  </si>
  <si>
    <t>Light</t>
  </si>
  <si>
    <t>Medium</t>
  </si>
  <si>
    <t>Heavy</t>
  </si>
  <si>
    <t>Extra Heavy</t>
  </si>
  <si>
    <t>Other Steel Items</t>
  </si>
  <si>
    <t>Steel Demolition</t>
  </si>
  <si>
    <t>INSTRUMENTATION</t>
  </si>
  <si>
    <t>ELECTRICAL</t>
  </si>
  <si>
    <t>INSULATION</t>
  </si>
  <si>
    <t>Equipment Insulation</t>
  </si>
  <si>
    <t>Pipe Insulation</t>
  </si>
  <si>
    <t>Equipment Fireproofing</t>
  </si>
  <si>
    <t>Steel Fireproofing</t>
  </si>
  <si>
    <t>Other Insulation, Fireproofing</t>
  </si>
  <si>
    <t>Insulation, Fireproofing Demolition</t>
  </si>
  <si>
    <t>PAINT</t>
  </si>
  <si>
    <t>Equipment Paint</t>
  </si>
  <si>
    <t>Pipe Paint</t>
  </si>
  <si>
    <t>Steel Paint</t>
  </si>
  <si>
    <t>Surface Preparation</t>
  </si>
  <si>
    <t>Module Paint</t>
  </si>
  <si>
    <t>Other Paint</t>
  </si>
  <si>
    <t>Paint Demolition</t>
  </si>
  <si>
    <t>Electrical Demolition</t>
  </si>
  <si>
    <t>Other Electrical Items</t>
  </si>
  <si>
    <t>High Voltage Electrical Cable</t>
  </si>
  <si>
    <t>Medium Voltage Electrical Cable</t>
  </si>
  <si>
    <t>Low Voltage Electrical Cable</t>
  </si>
  <si>
    <t>Control Cable</t>
  </si>
  <si>
    <t>Lighting Cable</t>
  </si>
  <si>
    <t>Above Ground Electrical</t>
  </si>
  <si>
    <t>Below Ground Electrical</t>
  </si>
  <si>
    <t>ELECTRICAL (BY INSTALLATION)</t>
  </si>
  <si>
    <t>Offshore Steel</t>
  </si>
  <si>
    <t>Instrumentation Demolition</t>
  </si>
  <si>
    <t>Other Instrumentation Items</t>
  </si>
  <si>
    <t>Sensors</t>
  </si>
  <si>
    <t>Control Valves</t>
  </si>
  <si>
    <t>Conduit, Fittings</t>
  </si>
  <si>
    <t>Cable Tray, Supports</t>
  </si>
  <si>
    <t>Instrument Testing</t>
  </si>
  <si>
    <t>Transformers, Switchgear</t>
  </si>
  <si>
    <t>Motor Control Center</t>
  </si>
  <si>
    <t>Other Electrical Equipment</t>
  </si>
  <si>
    <t>Wiring, Cable, Data Highway, Fiber Optic</t>
  </si>
  <si>
    <t>Computer Control</t>
  </si>
  <si>
    <t>ITEMS</t>
  </si>
  <si>
    <t>EACH</t>
  </si>
  <si>
    <t>--</t>
  </si>
  <si>
    <t>EQUIPMENT TOTAL</t>
  </si>
  <si>
    <t>PIPING TOTAL</t>
  </si>
  <si>
    <t>CIVIL TOTAL</t>
  </si>
  <si>
    <t>STEEL TOTAL</t>
  </si>
  <si>
    <t>INSTRUMENTATION TOTAL</t>
  </si>
  <si>
    <t>ELECTRICAL TOTAL</t>
  </si>
  <si>
    <t>INSULATION TOTAL</t>
  </si>
  <si>
    <t>PAINT TOTAL</t>
  </si>
  <si>
    <t>TOTAL DIRECT COST</t>
  </si>
  <si>
    <t>ISBL/OSBL SUBTOTAL</t>
  </si>
  <si>
    <t>PROJECT TOTAL</t>
  </si>
  <si>
    <t>Estimate Or Actuals</t>
  </si>
  <si>
    <t>Project Type</t>
  </si>
  <si>
    <t>Estimate</t>
  </si>
  <si>
    <t>Actual Cost</t>
  </si>
  <si>
    <t>Greenfield</t>
  </si>
  <si>
    <t>Brownfield</t>
  </si>
  <si>
    <t>Revamp</t>
  </si>
  <si>
    <t>Construction Type</t>
  </si>
  <si>
    <t>Stick Built</t>
  </si>
  <si>
    <t>Modular</t>
  </si>
  <si>
    <t>Mixed</t>
  </si>
  <si>
    <t>New Process</t>
  </si>
  <si>
    <t>Proven Process</t>
  </si>
  <si>
    <t>New &amp; Unproven Process</t>
  </si>
  <si>
    <t>Redesigned Process</t>
  </si>
  <si>
    <t>Licensed Process</t>
  </si>
  <si>
    <t>Process Description</t>
  </si>
  <si>
    <t>Select Quantity Unit &gt;&gt;</t>
  </si>
  <si>
    <t>FEET</t>
  </si>
  <si>
    <t>M</t>
  </si>
  <si>
    <t>CS Pipe</t>
  </si>
  <si>
    <t>CS Valves, Fittings</t>
  </si>
  <si>
    <t>SS Valves, Fittings</t>
  </si>
  <si>
    <t>Non-ferrous Valves, Fittings</t>
  </si>
  <si>
    <t>Lined Valves, Fittings</t>
  </si>
  <si>
    <t>Non-metallic Valves, Fittings</t>
  </si>
  <si>
    <t>SS Pipe</t>
  </si>
  <si>
    <t>Non-ferrous Pipe</t>
  </si>
  <si>
    <t>Lined Pipe</t>
  </si>
  <si>
    <t>Non-metallic Pipe</t>
  </si>
  <si>
    <t>Labor Hours</t>
  </si>
  <si>
    <t>TON</t>
  </si>
  <si>
    <t>METRIC TONNE</t>
  </si>
  <si>
    <t>Electrical Testing</t>
  </si>
  <si>
    <t>Select Steel Quantity Unit &gt;&gt;</t>
  </si>
  <si>
    <t>Select Pipe Quantity Unit &gt;&gt;</t>
  </si>
  <si>
    <t>CONSTRUCTION INDIRECTS</t>
  </si>
  <si>
    <t>Fringe Benefits</t>
  </si>
  <si>
    <t>Burdens</t>
  </si>
  <si>
    <t>Consumables, Small Tools</t>
  </si>
  <si>
    <t>Scaffolding</t>
  </si>
  <si>
    <t>Equipment Rental</t>
  </si>
  <si>
    <t>Field Services</t>
  </si>
  <si>
    <t>Temp Const, Utilities</t>
  </si>
  <si>
    <t>Vendor Reps</t>
  </si>
  <si>
    <t>Travel</t>
  </si>
  <si>
    <t>Overtime Premium</t>
  </si>
  <si>
    <t>FIELD OFFICE INDIRECTS</t>
  </si>
  <si>
    <t>Field Const Supv</t>
  </si>
  <si>
    <t>Start-up, Commissioning</t>
  </si>
  <si>
    <t>ENGINEERING AND PROCUREMENT</t>
  </si>
  <si>
    <t>Lump Sum Engineering</t>
  </si>
  <si>
    <t>Basic Engineering</t>
  </si>
  <si>
    <t>Detail Engineering</t>
  </si>
  <si>
    <t>Material Procurement</t>
  </si>
  <si>
    <t>Subcontract Procurement</t>
  </si>
  <si>
    <t>Engineering Management</t>
  </si>
  <si>
    <t>FREIGHT</t>
  </si>
  <si>
    <t>Lump Sum Freight</t>
  </si>
  <si>
    <t>Domestic Freight</t>
  </si>
  <si>
    <t>Ocean Freight</t>
  </si>
  <si>
    <t>Air Freight</t>
  </si>
  <si>
    <t>Module Freight</t>
  </si>
  <si>
    <t>Other Freight</t>
  </si>
  <si>
    <t>TAXES, PERMITS</t>
  </si>
  <si>
    <t>Lump Sum Taxes, Permits</t>
  </si>
  <si>
    <t>Permits</t>
  </si>
  <si>
    <t>Materials Taxes</t>
  </si>
  <si>
    <t>Construction Taxes</t>
  </si>
  <si>
    <t>Engineering Taxes</t>
  </si>
  <si>
    <t>Other Taxes</t>
  </si>
  <si>
    <t>OTHER INDIRECTS</t>
  </si>
  <si>
    <t>Lump Sum Const Mgmt</t>
  </si>
  <si>
    <t>Home Office Const Supp</t>
  </si>
  <si>
    <t>Construction Management</t>
  </si>
  <si>
    <t>G and A Overheads</t>
  </si>
  <si>
    <t>Contract Fee</t>
  </si>
  <si>
    <t>Royalty, Misc Charges</t>
  </si>
  <si>
    <t>ESCALATION, CONTINGENCY</t>
  </si>
  <si>
    <t>Escalation</t>
  </si>
  <si>
    <t>Contingency</t>
  </si>
  <si>
    <t>CONSTRUCTION INDIRECTS TOTAL</t>
  </si>
  <si>
    <t>FIELD OFFICE INDIRECTS TOTAL</t>
  </si>
  <si>
    <t>ENGINEERING AND PROCUREMENT TOTAL</t>
  </si>
  <si>
    <t>FREIGHT TOTAL</t>
  </si>
  <si>
    <t>TAXES, PERMITS TOTAL</t>
  </si>
  <si>
    <t>OTHER INDIRECTS TOTAL</t>
  </si>
  <si>
    <t>ESCALATION, CONTINGENCY TOTAL</t>
  </si>
  <si>
    <t>TOTAL FIELD INDIRECTS</t>
  </si>
  <si>
    <t>TOTAL NON-FIELD INDIRECTS</t>
  </si>
  <si>
    <t>TOTAL PROJECT INDIRECTS</t>
  </si>
  <si>
    <t>ISBL: CS Pipe Qty</t>
  </si>
  <si>
    <t>ISBL: CS Valves, Fittings Qty</t>
  </si>
  <si>
    <t>ISBL: SS Pipe Qty</t>
  </si>
  <si>
    <t>ISBL: SS Valves, Fittings Qty</t>
  </si>
  <si>
    <t>ISBL: Non-ferrous Pipe Qty</t>
  </si>
  <si>
    <t>ISBL: Non-ferrous Valves, Fittings Qty</t>
  </si>
  <si>
    <t>ISBL: Lined Pipe Qty</t>
  </si>
  <si>
    <t>ISBL: Boiler Plant Equipment Qty</t>
  </si>
  <si>
    <t>ISBL: Centrifugal Compressors Qty</t>
  </si>
  <si>
    <t>ISBL: Crushers, Mills Qty</t>
  </si>
  <si>
    <t>ISBL: Drivers Qty</t>
  </si>
  <si>
    <t>ISBL: Fans, Blowers Qty</t>
  </si>
  <si>
    <t>ISBL: Flares Qty</t>
  </si>
  <si>
    <t>ISBL: Fluid Separation Equipment Qty</t>
  </si>
  <si>
    <t>ISBL: Furnaces, Heaters Qty</t>
  </si>
  <si>
    <t>ISBL: Generators Qty</t>
  </si>
  <si>
    <t>ISBL: Heat Exchangers Qty</t>
  </si>
  <si>
    <t>ISBL: Material Handling Equipment Qty</t>
  </si>
  <si>
    <t>ISBL: Package Units Qty</t>
  </si>
  <si>
    <t>ISBL: Process Vessels Qty</t>
  </si>
  <si>
    <t>ISBL: Pumps Qty</t>
  </si>
  <si>
    <t>ISBL: Reactors, Mixers Qty</t>
  </si>
  <si>
    <t>ISBL: Reciprocating Compressors Qty</t>
  </si>
  <si>
    <t>ISBL: Solids Separation Equipment Qty</t>
  </si>
  <si>
    <t>ISBL: Storage Vessels Qty</t>
  </si>
  <si>
    <t>ISBL: Turbo Expanders Qty</t>
  </si>
  <si>
    <t>ISBL: Other Equipment Items Qty</t>
  </si>
  <si>
    <t>ISBL: Equipment Demolition Qty</t>
  </si>
  <si>
    <t>OSBL: Boiler Plant Equipment Qty</t>
  </si>
  <si>
    <t>OSBL: Centrifugal Compressors Qty</t>
  </si>
  <si>
    <t>OSBL: Crushers, Mills Qty</t>
  </si>
  <si>
    <t>OSBL: Drivers Qty</t>
  </si>
  <si>
    <t>OSBL: Fans, Blowers Qty</t>
  </si>
  <si>
    <t>OSBL: Flares Qty</t>
  </si>
  <si>
    <t>OSBL: Fluid Separation Equipment Qty</t>
  </si>
  <si>
    <t>OSBL: Furnaces, Heaters Qty</t>
  </si>
  <si>
    <t>OSBL: Generators Qty</t>
  </si>
  <si>
    <t>OSBL: Heat Exchangers Qty</t>
  </si>
  <si>
    <t>OSBL: Material Handling Equipment Qty</t>
  </si>
  <si>
    <t>OSBL: Package Units Qty</t>
  </si>
  <si>
    <t>OSBL: Process Vessels Qty</t>
  </si>
  <si>
    <t>OSBL: Pumps Qty</t>
  </si>
  <si>
    <t>OSBL: Reactors, Mixers Qty</t>
  </si>
  <si>
    <t>OSBL: Reciprocating Compressors Qty</t>
  </si>
  <si>
    <t>OSBL: Solids Separation Equipment Qty</t>
  </si>
  <si>
    <t>OSBL: Storage Vessels Qty</t>
  </si>
  <si>
    <t>OSBL: Turbo Expanders Qty</t>
  </si>
  <si>
    <t>OSBL: Other Equipment Items Qty</t>
  </si>
  <si>
    <t>OSBL: Equipment Demolition Qty</t>
  </si>
  <si>
    <t>ISBL Label</t>
  </si>
  <si>
    <t>OSBL Label</t>
  </si>
  <si>
    <t>ISBL: Lined Valves, Fittings Qty</t>
  </si>
  <si>
    <t>ISBL: Non-metallic Pipe Qty</t>
  </si>
  <si>
    <t>ISBL: Non-metallic Valves, Fittings Qty</t>
  </si>
  <si>
    <t>ISBL: Specialty Piping Items Qty</t>
  </si>
  <si>
    <t>ISBL: Firewater Piping Qty</t>
  </si>
  <si>
    <t>ISBL: Ductwork, Launders Qty</t>
  </si>
  <si>
    <t>ISBL: Pipelines Qty</t>
  </si>
  <si>
    <t>ISBL: Other Piping Qty</t>
  </si>
  <si>
    <t>ISBL: Pipe Demolition Qty</t>
  </si>
  <si>
    <t>OSBL: CS Pipe Qty</t>
  </si>
  <si>
    <t>OSBL: CS Valves, Fittings Qty</t>
  </si>
  <si>
    <t>OSBL: SS Pipe Qty</t>
  </si>
  <si>
    <t>OSBL: SS Valves, Fittings Qty</t>
  </si>
  <si>
    <t>OSBL: Non-ferrous Pipe Qty</t>
  </si>
  <si>
    <t>OSBL: Non-ferrous Valves, Fittings Qty</t>
  </si>
  <si>
    <t>OSBL: Lined Pipe Qty</t>
  </si>
  <si>
    <t>OSBL: Lined Valves, Fittings Qty</t>
  </si>
  <si>
    <t>OSBL: Non-metallic Pipe Qty</t>
  </si>
  <si>
    <t>OSBL: Non-metallic Valves, Fittings Qty</t>
  </si>
  <si>
    <t>OSBL: Specialty Piping Items Qty</t>
  </si>
  <si>
    <t>OSBL: Firewater Piping Qty</t>
  </si>
  <si>
    <t>OSBL: Ductwork, Launders Qty</t>
  </si>
  <si>
    <t>OSBL: Pipelines Qty</t>
  </si>
  <si>
    <t>OSBL: Other Piping Qty</t>
  </si>
  <si>
    <t>OSBL: Pipe Demolition Qty</t>
  </si>
  <si>
    <t>ISBL: Above Ground (AG) Piping Qty</t>
  </si>
  <si>
    <t>ISBL: Underground (UG) Piping Qty</t>
  </si>
  <si>
    <t>ISBL: Extra-small Diameter Qty</t>
  </si>
  <si>
    <t>ISBL: Small Diameter Qty</t>
  </si>
  <si>
    <t>ISBL: Medium Diameter Qty</t>
  </si>
  <si>
    <t>ISBL: Large Diameter Qty</t>
  </si>
  <si>
    <t>ISBL: Extra-large Diameter Qty</t>
  </si>
  <si>
    <t>OSBL: Above Ground (AG) Piping Qty</t>
  </si>
  <si>
    <t>OSBL: Underground (UG) Piping Qty</t>
  </si>
  <si>
    <t>OSBL: Extra-small Diameter Qty</t>
  </si>
  <si>
    <t>OSBL: Small Diameter Qty</t>
  </si>
  <si>
    <t>OSBL: Medium Diameter Qty</t>
  </si>
  <si>
    <t>OSBL: Large Diameter Qty</t>
  </si>
  <si>
    <t>OSBL: Extra-large Diameter Qty</t>
  </si>
  <si>
    <t>Select  Wire Length Unit &gt;&gt;</t>
  </si>
  <si>
    <t>Select  Paint Area Unit &gt;&gt;</t>
  </si>
  <si>
    <t>SF</t>
  </si>
  <si>
    <t>CY</t>
  </si>
  <si>
    <t>ISBL Formula</t>
  </si>
  <si>
    <t>OSBL Formula</t>
  </si>
  <si>
    <r>
      <t xml:space="preserve">Select Units Below </t>
    </r>
    <r>
      <rPr>
        <b/>
        <sz val="11"/>
        <color rgb="FFC00000"/>
        <rFont val="Calibri"/>
        <family val="2"/>
      </rPr>
      <t>↓</t>
    </r>
  </si>
  <si>
    <t>Rebar</t>
  </si>
  <si>
    <t>ISBL: Earthwork Qty</t>
  </si>
  <si>
    <t>ISBL: Roads, Railroads Qty</t>
  </si>
  <si>
    <t>ISBL: Piling Qty</t>
  </si>
  <si>
    <t>ISBL: Paving Qty</t>
  </si>
  <si>
    <t>ISBL: Concrete Qty</t>
  </si>
  <si>
    <t>ISBL: Grout Qty</t>
  </si>
  <si>
    <t>ISBL: Rebar Qty</t>
  </si>
  <si>
    <t>ISBL: Buildings, Architectural Qty</t>
  </si>
  <si>
    <t>OSBL: Earthwork Qty</t>
  </si>
  <si>
    <t>OSBL: Roads, Railroads Qty</t>
  </si>
  <si>
    <t>OSBL: Piling Qty</t>
  </si>
  <si>
    <t>OSBL: Paving Qty</t>
  </si>
  <si>
    <t>OSBL: Concrete Qty</t>
  </si>
  <si>
    <t>OSBL: Grout Qty</t>
  </si>
  <si>
    <t>OSBL: Rebar Qty</t>
  </si>
  <si>
    <t>OSBL: Buildings, Architectural Qty</t>
  </si>
  <si>
    <t>ISBL: Extra Light Qty</t>
  </si>
  <si>
    <t>ISBL: Light Qty</t>
  </si>
  <si>
    <t>ISBL: Medium Qty</t>
  </si>
  <si>
    <t>ISBL: Heavy Qty</t>
  </si>
  <si>
    <t>ISBL: Extra Heavy Qty</t>
  </si>
  <si>
    <t>ISBL: Offshore Steel Qty</t>
  </si>
  <si>
    <t>ISBL: Other Steel Items Qty</t>
  </si>
  <si>
    <t>ISBL: Steel Demolition Qty</t>
  </si>
  <si>
    <t>OSBL: Extra Light Qty</t>
  </si>
  <si>
    <t>OSBL: Light Qty</t>
  </si>
  <si>
    <t>OSBL: Medium Qty</t>
  </si>
  <si>
    <t>OSBL: Heavy Qty</t>
  </si>
  <si>
    <t>OSBL: Extra Heavy Qty</t>
  </si>
  <si>
    <t>OSBL: Offshore Steel Qty</t>
  </si>
  <si>
    <t>OSBL: Other Steel Items Qty</t>
  </si>
  <si>
    <t>OSBL: Steel Demolition Qty</t>
  </si>
  <si>
    <t>Junction Boxes, Cabinets Etc.</t>
  </si>
  <si>
    <t>ISBL: Sensors Qty</t>
  </si>
  <si>
    <t>ISBL: Control Valves Qty</t>
  </si>
  <si>
    <t>ISBL: Wiring, Cable, Data Highway, Fiber Optic Qty</t>
  </si>
  <si>
    <t>ISBL: Junction Boxes, Cabinets Etc. Qty</t>
  </si>
  <si>
    <t>ISBL: Conduit, Fittings Qty</t>
  </si>
  <si>
    <t>ISBL: Cable Tray, Supports Qty</t>
  </si>
  <si>
    <t>OSBL: Sensors Qty</t>
  </si>
  <si>
    <t>OSBL: Control Valves Qty</t>
  </si>
  <si>
    <t>OSBL: Wiring, Cable, Data Highway, Fiber Optic Qty</t>
  </si>
  <si>
    <t>OSBL: Junction Boxes, Cabinets Etc. Qty</t>
  </si>
  <si>
    <t>OSBL: Conduit, Fittings Qty</t>
  </si>
  <si>
    <t>OSBL: Cable Tray, Supports Qty</t>
  </si>
  <si>
    <t>Electrical Conduit, Fittings</t>
  </si>
  <si>
    <t>Electrical Cable Tray, Supports</t>
  </si>
  <si>
    <t>Instrumentation Cable Tray, Supports</t>
  </si>
  <si>
    <t>Instrumentation Conduit, Fittings</t>
  </si>
  <si>
    <t>ISBL: Instrumentation Conduit, Fittings Qty</t>
  </si>
  <si>
    <t>ISBL: Instrumentation Cable Tray, Supports Qty</t>
  </si>
  <si>
    <t>OSBL: Instrumentation Conduit, Fittings Qty</t>
  </si>
  <si>
    <t>OSBL: Instrumentation Cable Tray, Supports Qty</t>
  </si>
  <si>
    <t>ISBL: High Voltage Electrical Cable Qty</t>
  </si>
  <si>
    <t>ISBL: Medium Voltage Electrical Cable Qty</t>
  </si>
  <si>
    <t>ISBL: Low Voltage Electrical Cable Qty</t>
  </si>
  <si>
    <t>ISBL: Control Cable Qty</t>
  </si>
  <si>
    <t>ISBL: Lighting Cable Qty</t>
  </si>
  <si>
    <t>ISBL: Transformers, Switchgear Qty</t>
  </si>
  <si>
    <t>ISBL: Motor Control Center Qty</t>
  </si>
  <si>
    <t>ISBL: Other Electrical Equipment Qty</t>
  </si>
  <si>
    <t>ISBL: Other Electrical Items Qty</t>
  </si>
  <si>
    <t>ISBL: Above Ground Electrical Qty</t>
  </si>
  <si>
    <t>ISBL: Below Ground Electrical Qty</t>
  </si>
  <si>
    <t>OSBL: High Voltage Electrical Cable Qty</t>
  </si>
  <si>
    <t>OSBL: Medium Voltage Electrical Cable Qty</t>
  </si>
  <si>
    <t>OSBL: Low Voltage Electrical Cable Qty</t>
  </si>
  <si>
    <t>OSBL: Control Cable Qty</t>
  </si>
  <si>
    <t>OSBL: Lighting Cable Qty</t>
  </si>
  <si>
    <t>OSBL: Transformers, Switchgear Qty</t>
  </si>
  <si>
    <t>OSBL: Motor Control Center Qty</t>
  </si>
  <si>
    <t>OSBL: Other Electrical Equipment Qty</t>
  </si>
  <si>
    <t>OSBL: Other Electrical Items Qty</t>
  </si>
  <si>
    <t>OSBL: Above Ground Electrical Qty</t>
  </si>
  <si>
    <t>OSBL: Below Ground Electrical Qty</t>
  </si>
  <si>
    <t>ISBL: Equipment Insulation Qty</t>
  </si>
  <si>
    <t>ISBL: Pipe Insulation Qty</t>
  </si>
  <si>
    <t>ISBL: Equipment Fireproofing Qty</t>
  </si>
  <si>
    <t>ISBL: Steel Fireproofing Qty</t>
  </si>
  <si>
    <t>OSBL: Equipment Insulation Qty</t>
  </si>
  <si>
    <t>OSBL: Pipe Insulation Qty</t>
  </si>
  <si>
    <t>OSBL: Equipment Fireproofing Qty</t>
  </si>
  <si>
    <t>OSBL: Steel Fireproofing Qty</t>
  </si>
  <si>
    <t>ISBL: Equipment Paint Qty</t>
  </si>
  <si>
    <t>ISBL: Pipe Paint Qty</t>
  </si>
  <si>
    <t>ISBL: Steel Paint Qty</t>
  </si>
  <si>
    <t>ISBL: Surface Preparation Qty</t>
  </si>
  <si>
    <t>ISBL: Module Paint Qty</t>
  </si>
  <si>
    <t>ISBL: Other Paint Qty</t>
  </si>
  <si>
    <t>ISBL: Paint Demolition Qty</t>
  </si>
  <si>
    <t>OSBL: Equipment Paint Qty</t>
  </si>
  <si>
    <t>OSBL: Pipe Paint Qty</t>
  </si>
  <si>
    <t>OSBL: Steel Paint Qty</t>
  </si>
  <si>
    <t>OSBL: Surface Preparation Qty</t>
  </si>
  <si>
    <t>OSBL: Module Paint Qty</t>
  </si>
  <si>
    <t>OSBL: Other Paint Qty</t>
  </si>
  <si>
    <t>OSBL: Paint Demolition Qty</t>
  </si>
  <si>
    <t>Boiler Plant Equip.</t>
  </si>
  <si>
    <t>Fluid Separation Equip.</t>
  </si>
  <si>
    <t>Material Handling Equip.</t>
  </si>
  <si>
    <t>Solids Separation Equip.</t>
  </si>
  <si>
    <t>ISBL: Boiler Plant Equip. Matl. Cost</t>
  </si>
  <si>
    <t>ISBL: Centrifugal Compressors Matl. Cost</t>
  </si>
  <si>
    <t>ISBL: Crushers, Mills Matl. Cost</t>
  </si>
  <si>
    <t>ISBL: Drivers Matl. Cost</t>
  </si>
  <si>
    <t>ISBL: Fans, Blowers Matl. Cost</t>
  </si>
  <si>
    <t>ISBL: Flares Matl. Cost</t>
  </si>
  <si>
    <t>ISBL: Fluid Separation Equip. Matl. Cost</t>
  </si>
  <si>
    <t>ISBL: Furnaces, Heaters Matl. Cost</t>
  </si>
  <si>
    <t>ISBL: Generators Matl. Cost</t>
  </si>
  <si>
    <t>ISBL: Heat Exchangers Matl. Cost</t>
  </si>
  <si>
    <t>ISBL: Material Handling Equip. Matl. Cost</t>
  </si>
  <si>
    <t>ISBL: Package Units Matl. Cost</t>
  </si>
  <si>
    <t>ISBL: Process Vessels Matl. Cost</t>
  </si>
  <si>
    <t>ISBL: Pumps Matl. Cost</t>
  </si>
  <si>
    <t>ISBL: Reactors, Mixers Matl. Cost</t>
  </si>
  <si>
    <t>ISBL: Reciprocating Compressors Matl. Cost</t>
  </si>
  <si>
    <t>ISBL: Solids Separation Equip. Matl. Cost</t>
  </si>
  <si>
    <t>ISBL: Storage Vessels Matl. Cost</t>
  </si>
  <si>
    <t>ISBL: Turbo Expanders Matl. Cost</t>
  </si>
  <si>
    <t>ISBL: Other Equipment Items Matl. Cost</t>
  </si>
  <si>
    <t>ISBL: Design Allowance Matl. Cost</t>
  </si>
  <si>
    <t>ISBL: Warehouse Spares Matl. Cost</t>
  </si>
  <si>
    <t>ISBL: Equipment Demolition Matl. Cost</t>
  </si>
  <si>
    <t>OSBL: Boiler Plant Equip. Matl. Cost</t>
  </si>
  <si>
    <t>OSBL: Centrifugal Compressors Matl. Cost</t>
  </si>
  <si>
    <t>OSBL: Crushers, Mills Matl. Cost</t>
  </si>
  <si>
    <t>OSBL: Drivers Matl. Cost</t>
  </si>
  <si>
    <t>OSBL: Fans, Blowers Matl. Cost</t>
  </si>
  <si>
    <t>OSBL: Flares Matl. Cost</t>
  </si>
  <si>
    <t>OSBL: Fluid Separation Equip. Matl. Cost</t>
  </si>
  <si>
    <t>OSBL: Furnaces, Heaters Matl. Cost</t>
  </si>
  <si>
    <t>OSBL: Generators Matl. Cost</t>
  </si>
  <si>
    <t>OSBL: Heat Exchangers Matl. Cost</t>
  </si>
  <si>
    <t>OSBL: Material Handling Equip. Matl. Cost</t>
  </si>
  <si>
    <t>OSBL: Package Units Matl. Cost</t>
  </si>
  <si>
    <t>OSBL: Process Vessels Matl. Cost</t>
  </si>
  <si>
    <t>OSBL: Pumps Matl. Cost</t>
  </si>
  <si>
    <t>OSBL: Reactors, Mixers Matl. Cost</t>
  </si>
  <si>
    <t>OSBL: Reciprocating Compressors Matl. Cost</t>
  </si>
  <si>
    <t>OSBL: Solids Separation Equip. Matl. Cost</t>
  </si>
  <si>
    <t>OSBL: Storage Vessels Matl. Cost</t>
  </si>
  <si>
    <t>OSBL: Turbo Expanders Matl. Cost</t>
  </si>
  <si>
    <t>OSBL: Other Equipment Items Matl. Cost</t>
  </si>
  <si>
    <t>OSBL: Design Allowance Matl. Cost</t>
  </si>
  <si>
    <t>OSBL: Warehouse Spares Matl. Cost</t>
  </si>
  <si>
    <t>OSBL: Equipment Demolition Matl. Cost</t>
  </si>
  <si>
    <t>ISBL: CS Pipe Matl. Cost</t>
  </si>
  <si>
    <t>ISBL: CS Valves, Fittings Matl. Cost</t>
  </si>
  <si>
    <t>ISBL: SS Pipe Matl. Cost</t>
  </si>
  <si>
    <t>ISBL: SS Valves, Fittings Matl. Cost</t>
  </si>
  <si>
    <t>ISBL: Non-ferrous Pipe Matl. Cost</t>
  </si>
  <si>
    <t>ISBL: Non-ferrous Valves, Fittings Matl. Cost</t>
  </si>
  <si>
    <t>ISBL: Lined Pipe Matl. Cost</t>
  </si>
  <si>
    <t>ISBL: Lined Valves, Fittings Matl. Cost</t>
  </si>
  <si>
    <t>ISBL: Non-metallic Pipe Matl. Cost</t>
  </si>
  <si>
    <t>ISBL: Non-metallic Valves, Fittings Matl. Cost</t>
  </si>
  <si>
    <t>ISBL: Specialty Piping Items Matl. Cost</t>
  </si>
  <si>
    <t>ISBL: Firewater Piping Matl. Cost</t>
  </si>
  <si>
    <t>ISBL: Ductwork, Launders Matl. Cost</t>
  </si>
  <si>
    <t>ISBL: Pipelines Matl. Cost</t>
  </si>
  <si>
    <t>ISBL: Other Piping Matl. Cost</t>
  </si>
  <si>
    <t>ISBL: Pipe Testing Matl. Cost</t>
  </si>
  <si>
    <t>ISBL: Pipe Demolition Matl. Cost</t>
  </si>
  <si>
    <t>ISBL: Above Ground (AG) Piping Matl. Cost</t>
  </si>
  <si>
    <t>ISBL: Underground (UG) Piping Matl. Cost</t>
  </si>
  <si>
    <t>ISBL: Extra-small Diameter Matl. Cost</t>
  </si>
  <si>
    <t>ISBL: Small Diameter Matl. Cost</t>
  </si>
  <si>
    <t>ISBL: Medium Diameter Matl. Cost</t>
  </si>
  <si>
    <t>ISBL: Large Diameter Matl. Cost</t>
  </si>
  <si>
    <t>ISBL: Extra-large Diameter Matl. Cost</t>
  </si>
  <si>
    <t>OSBL: CS Pipe Matl. Cost</t>
  </si>
  <si>
    <t>OSBL: CS Valves, Fittings Matl. Cost</t>
  </si>
  <si>
    <t>OSBL: SS Pipe Matl. Cost</t>
  </si>
  <si>
    <t>OSBL: SS Valves, Fittings Matl. Cost</t>
  </si>
  <si>
    <t>OSBL: Non-ferrous Pipe Matl. Cost</t>
  </si>
  <si>
    <t>OSBL: Non-ferrous Valves, Fittings Matl. Cost</t>
  </si>
  <si>
    <t>OSBL: Lined Pipe Matl. Cost</t>
  </si>
  <si>
    <t>OSBL: Lined Valves, Fittings Matl. Cost</t>
  </si>
  <si>
    <t>OSBL: Non-metallic Pipe Matl. Cost</t>
  </si>
  <si>
    <t>OSBL: Non-metallic Valves, Fittings Matl. Cost</t>
  </si>
  <si>
    <t>OSBL: Specialty Piping Items Matl. Cost</t>
  </si>
  <si>
    <t>OSBL: Firewater Piping Matl. Cost</t>
  </si>
  <si>
    <t>OSBL: Ductwork, Launders Matl. Cost</t>
  </si>
  <si>
    <t>OSBL: Pipelines Matl. Cost</t>
  </si>
  <si>
    <t>OSBL: Other Piping Matl. Cost</t>
  </si>
  <si>
    <t>OSBL: Pipe Testing Matl. Cost</t>
  </si>
  <si>
    <t>OSBL: Pipe Demolition Matl. Cost</t>
  </si>
  <si>
    <t>OSBL: Above Ground (AG) Piping Matl. Cost</t>
  </si>
  <si>
    <t>OSBL: Underground (UG) Piping Matl. Cost</t>
  </si>
  <si>
    <t>OSBL: Extra-small Diameter Matl. Cost</t>
  </si>
  <si>
    <t>OSBL: Small Diameter Matl. Cost</t>
  </si>
  <si>
    <t>OSBL: Medium Diameter Matl. Cost</t>
  </si>
  <si>
    <t>OSBL: Large Diameter Matl. Cost</t>
  </si>
  <si>
    <t>OSBL: Extra-large Diameter Matl. Cost</t>
  </si>
  <si>
    <t>ISBL: Earthwork Matl. Cost</t>
  </si>
  <si>
    <t>ISBL: Roads, Railroads Matl. Cost</t>
  </si>
  <si>
    <t>ISBL: Piling Matl. Cost</t>
  </si>
  <si>
    <t>ISBL: Paving Matl. Cost</t>
  </si>
  <si>
    <t>ISBL: Concrete Matl. Cost</t>
  </si>
  <si>
    <t>ISBL: Grout Matl. Cost</t>
  </si>
  <si>
    <t>ISBL: Rebar Matl. Cost</t>
  </si>
  <si>
    <t>ISBL: Buildings, Architectural Matl. Cost</t>
  </si>
  <si>
    <t>ISBL: Other Sitework Matl. Cost</t>
  </si>
  <si>
    <t>ISBL: Other Civil Matl. Cost</t>
  </si>
  <si>
    <t>ISBL: Civil Demolition Matl. Cost</t>
  </si>
  <si>
    <t>OSBL: Earthwork Matl. Cost</t>
  </si>
  <si>
    <t>OSBL: Roads, Railroads Matl. Cost</t>
  </si>
  <si>
    <t>OSBL: Piling Matl. Cost</t>
  </si>
  <si>
    <t>OSBL: Paving Matl. Cost</t>
  </si>
  <si>
    <t>OSBL: Concrete Matl. Cost</t>
  </si>
  <si>
    <t>OSBL: Grout Matl. Cost</t>
  </si>
  <si>
    <t>OSBL: Rebar Matl. Cost</t>
  </si>
  <si>
    <t>OSBL: Buildings, Architectural Matl. Cost</t>
  </si>
  <si>
    <t>OSBL: Other Sitework Matl. Cost</t>
  </si>
  <si>
    <t>OSBL: Other Civil Matl. Cost</t>
  </si>
  <si>
    <t>OSBL: Civil Demolition Matl. Cost</t>
  </si>
  <si>
    <t>ISBL: Offshore Steel Matl. Cost</t>
  </si>
  <si>
    <t>ISBL: Other Steel Items Matl. Cost</t>
  </si>
  <si>
    <t>ISBL: Steel Demolition Matl. Cost</t>
  </si>
  <si>
    <t>OSBL: Offshore Steel Matl. Cost</t>
  </si>
  <si>
    <t>OSBL: Other Steel Items Matl. Cost</t>
  </si>
  <si>
    <t>OSBL: Steel Demolition Matl. Cost</t>
  </si>
  <si>
    <t>Extra Light Steel</t>
  </si>
  <si>
    <t>Light Steel</t>
  </si>
  <si>
    <t>Medium Steel</t>
  </si>
  <si>
    <t>Heavy Steel</t>
  </si>
  <si>
    <t>Extra Heavy Steel</t>
  </si>
  <si>
    <t>ISBL: Extra Light Steel Matl. Cost</t>
  </si>
  <si>
    <t>ISBL: Light Steel Matl. Cost</t>
  </si>
  <si>
    <t>ISBL: Medium Steel Matl. Cost</t>
  </si>
  <si>
    <t>ISBL: Heavy Steel Matl. Cost</t>
  </si>
  <si>
    <t>ISBL: Extra Heavy Steel Matl. Cost</t>
  </si>
  <si>
    <t>OSBL: Extra Light Steel Matl. Cost</t>
  </si>
  <si>
    <t>OSBL: Light Steel Matl. Cost</t>
  </si>
  <si>
    <t>OSBL: Medium Steel Matl. Cost</t>
  </si>
  <si>
    <t>OSBL: Heavy Steel Matl. Cost</t>
  </si>
  <si>
    <t>OSBL: Extra Heavy Steel Matl. Cost</t>
  </si>
  <si>
    <t>Instru. Conduit, Fittings</t>
  </si>
  <si>
    <t>Instru. Cable Tray, Supports</t>
  </si>
  <si>
    <t>ISBL: Sensors Matl. Cost</t>
  </si>
  <si>
    <t>ISBL: Control Valves Matl. Cost</t>
  </si>
  <si>
    <t>ISBL: Wiring, Cable, Data Highway, Fiber Optic Matl. Cost</t>
  </si>
  <si>
    <t>ISBL: Junction Boxes, Cabinets Etc. Matl. Cost</t>
  </si>
  <si>
    <t>ISBL: Instru. Conduit, Fittings Matl. Cost</t>
  </si>
  <si>
    <t>ISBL: Instru. Cable Tray, Supports Matl. Cost</t>
  </si>
  <si>
    <t>ISBL: Computer Control Matl. Cost</t>
  </si>
  <si>
    <t>ISBL: Instrument Testing Matl. Cost</t>
  </si>
  <si>
    <t>ISBL: Other Instrumentation Items Matl. Cost</t>
  </si>
  <si>
    <t>ISBL: Instrumentation Demolition Matl. Cost</t>
  </si>
  <si>
    <t>OSBL: Sensors Matl. Cost</t>
  </si>
  <si>
    <t>OSBL: Control Valves Matl. Cost</t>
  </si>
  <si>
    <t>OSBL: Wiring, Cable, Data Highway, Fiber Optic Matl. Cost</t>
  </si>
  <si>
    <t>OSBL: Junction Boxes, Cabinets Etc. Matl. Cost</t>
  </si>
  <si>
    <t>OSBL: Instru. Conduit, Fittings Matl. Cost</t>
  </si>
  <si>
    <t>OSBL: Instru. Cable Tray, Supports Matl. Cost</t>
  </si>
  <si>
    <t>OSBL: Computer Control Matl. Cost</t>
  </si>
  <si>
    <t>OSBL: Instrument Testing Matl. Cost</t>
  </si>
  <si>
    <t>OSBL: Other Instrumentation Items Matl. Cost</t>
  </si>
  <si>
    <t>OSBL: Instrumentation Demolition Matl. Cost</t>
  </si>
  <si>
    <t>HV Electrical Cable</t>
  </si>
  <si>
    <t>MV Electrical Cable</t>
  </si>
  <si>
    <t>LV Electrical Cable</t>
  </si>
  <si>
    <t>Other Electrical Equip.</t>
  </si>
  <si>
    <t>Elec. Conduit, Fittings</t>
  </si>
  <si>
    <t>Elec. Cable Tray, Supports</t>
  </si>
  <si>
    <t>ISBL: HV Electrical Cable Matl. Cost</t>
  </si>
  <si>
    <t>ISBL: MV Electrical Cable Matl. Cost</t>
  </si>
  <si>
    <t>ISBL: LV Electrical Cable Matl. Cost</t>
  </si>
  <si>
    <t>ISBL: Control Cable Matl. Cost</t>
  </si>
  <si>
    <t>ISBL: Lighting Cable Matl. Cost</t>
  </si>
  <si>
    <t>ISBL: Elec. Conduit, Fittings Matl. Cost</t>
  </si>
  <si>
    <t>ISBL: Elec. Cable Tray, Supports Matl. Cost</t>
  </si>
  <si>
    <t>ISBL: Transformers, Switchgear Matl. Cost</t>
  </si>
  <si>
    <t>ISBL: Motor Control Center Matl. Cost</t>
  </si>
  <si>
    <t>ISBL: Other Electrical Equip. Matl. Cost</t>
  </si>
  <si>
    <t>ISBL: Other Electrical Items Matl. Cost</t>
  </si>
  <si>
    <t>ISBL: Electrical Testing Matl. Cost</t>
  </si>
  <si>
    <t>ISBL: Electrical Demolition Matl. Cost</t>
  </si>
  <si>
    <t>ISBL: Above Ground Electrical Matl. Cost</t>
  </si>
  <si>
    <t>ISBL: Below Ground Electrical Matl. Cost</t>
  </si>
  <si>
    <t>OSBL: HV Electrical Cable Matl. Cost</t>
  </si>
  <si>
    <t>OSBL: MV Electrical Cable Matl. Cost</t>
  </si>
  <si>
    <t>OSBL: LV Electrical Cable Matl. Cost</t>
  </si>
  <si>
    <t>OSBL: Control Cable Matl. Cost</t>
  </si>
  <si>
    <t>OSBL: Lighting Cable Matl. Cost</t>
  </si>
  <si>
    <t>OSBL: Elec. Conduit, Fittings Matl. Cost</t>
  </si>
  <si>
    <t>OSBL: Elec. Cable Tray, Supports Matl. Cost</t>
  </si>
  <si>
    <t>OSBL: Transformers, Switchgear Matl. Cost</t>
  </si>
  <si>
    <t>OSBL: Motor Control Center Matl. Cost</t>
  </si>
  <si>
    <t>OSBL: Other Electrical Equip. Matl. Cost</t>
  </si>
  <si>
    <t>OSBL: Other Electrical Items Matl. Cost</t>
  </si>
  <si>
    <t>OSBL: Electrical Testing Matl. Cost</t>
  </si>
  <si>
    <t>OSBL: Electrical Demolition Matl. Cost</t>
  </si>
  <si>
    <t>OSBL: Above Ground Electrical Matl. Cost</t>
  </si>
  <si>
    <t>OSBL: Below Ground Electrical Matl. Cost</t>
  </si>
  <si>
    <t>ISBL: Equipment Insulation Matl. Cost</t>
  </si>
  <si>
    <t>ISBL: Pipe Insulation Matl. Cost</t>
  </si>
  <si>
    <t>ISBL: Equipment Fireproofing Matl. Cost</t>
  </si>
  <si>
    <t>ISBL: Steel Fireproofing Matl. Cost</t>
  </si>
  <si>
    <t>ISBL: Other Insulation, Fireproofing Matl. Cost</t>
  </si>
  <si>
    <t>ISBL: Insulation, Fireproofing Demolition Matl. Cost</t>
  </si>
  <si>
    <t>OSBL: Equipment Insulation Matl. Cost</t>
  </si>
  <si>
    <t>OSBL: Pipe Insulation Matl. Cost</t>
  </si>
  <si>
    <t>OSBL: Equipment Fireproofing Matl. Cost</t>
  </si>
  <si>
    <t>OSBL: Steel Fireproofing Matl. Cost</t>
  </si>
  <si>
    <t>OSBL: Other Insulation, Fireproofing Matl. Cost</t>
  </si>
  <si>
    <t>OSBL: Insulation, Fireproofing Demolition Matl. Cost</t>
  </si>
  <si>
    <t>ISBL: Equipment Paint Matl. Cost</t>
  </si>
  <si>
    <t>ISBL: Pipe Paint Matl. Cost</t>
  </si>
  <si>
    <t>ISBL: Steel Paint Matl. Cost</t>
  </si>
  <si>
    <t>ISBL: Surface Preparation Matl. Cost</t>
  </si>
  <si>
    <t>ISBL: Module Paint Matl. Cost</t>
  </si>
  <si>
    <t>ISBL: Other Paint Matl. Cost</t>
  </si>
  <si>
    <t>ISBL: Paint Demolition Matl. Cost</t>
  </si>
  <si>
    <t>OSBL: Equipment Paint Matl. Cost</t>
  </si>
  <si>
    <t>OSBL: Pipe Paint Matl. Cost</t>
  </si>
  <si>
    <t>OSBL: Steel Paint Matl. Cost</t>
  </si>
  <si>
    <t>OSBL: Surface Preparation Matl. Cost</t>
  </si>
  <si>
    <t>OSBL: Module Paint Matl. Cost</t>
  </si>
  <si>
    <t>OSBL: Other Paint Matl. Cost</t>
  </si>
  <si>
    <t>OSBL: Paint Demolition Matl. Cost</t>
  </si>
  <si>
    <t>Man-Hours</t>
  </si>
  <si>
    <t>ISBL: Boiler Plant Equip. MHrs</t>
  </si>
  <si>
    <t>ISBL: Centrifugal Compressors MHrs</t>
  </si>
  <si>
    <t>ISBL: Crushers, Mills MHrs</t>
  </si>
  <si>
    <t>ISBL: Drivers MHrs</t>
  </si>
  <si>
    <t>ISBL: Fans, Blowers MHrs</t>
  </si>
  <si>
    <t>ISBL: Flares MHrs</t>
  </si>
  <si>
    <t>ISBL: Fluid Separation Equip. MHrs</t>
  </si>
  <si>
    <t>ISBL: Furnaces, Heaters MHrs</t>
  </si>
  <si>
    <t>ISBL: Generators MHrs</t>
  </si>
  <si>
    <t>ISBL: Heat Exchangers MHrs</t>
  </si>
  <si>
    <t>ISBL: Material Handling Equip. MHrs</t>
  </si>
  <si>
    <t>ISBL: Package Units MHrs</t>
  </si>
  <si>
    <t>ISBL: Process Vessels MHrs</t>
  </si>
  <si>
    <t>ISBL: Pumps MHrs</t>
  </si>
  <si>
    <t>ISBL: Reactors, Mixers MHrs</t>
  </si>
  <si>
    <t>ISBL: Reciprocating Compressors MHrs</t>
  </si>
  <si>
    <t>ISBL: Solids Separation Equip. MHrs</t>
  </si>
  <si>
    <t>ISBL: Storage Vessels MHrs</t>
  </si>
  <si>
    <t>ISBL: Turbo Expanders MHrs</t>
  </si>
  <si>
    <t>ISBL: Other Equipment Items MHrs</t>
  </si>
  <si>
    <t>ISBL: Design Allowance MHrs</t>
  </si>
  <si>
    <t>ISBL: Warehouse Spares MHrs</t>
  </si>
  <si>
    <t>ISBL: Equipment Demolition MHrs</t>
  </si>
  <si>
    <t>ISBL: CS Pipe MHrs</t>
  </si>
  <si>
    <t>ISBL: CS Valves, Fittings MHrs</t>
  </si>
  <si>
    <t>ISBL: SS Pipe MHrs</t>
  </si>
  <si>
    <t>ISBL: SS Valves, Fittings MHrs</t>
  </si>
  <si>
    <t>ISBL: Non-ferrous Pipe MHrs</t>
  </si>
  <si>
    <t>ISBL: Non-ferrous Valves, Fittings MHrs</t>
  </si>
  <si>
    <t>ISBL: Lined Pipe MHrs</t>
  </si>
  <si>
    <t>ISBL: Lined Valves, Fittings MHrs</t>
  </si>
  <si>
    <t>ISBL: Non-metallic Pipe MHrs</t>
  </si>
  <si>
    <t>ISBL: Non-metallic Valves, Fittings MHrs</t>
  </si>
  <si>
    <t>ISBL: Specialty Piping Items MHrs</t>
  </si>
  <si>
    <t>ISBL: Firewater Piping MHrs</t>
  </si>
  <si>
    <t>ISBL: Ductwork, Launders MHrs</t>
  </si>
  <si>
    <t>ISBL: Pipelines MHrs</t>
  </si>
  <si>
    <t>ISBL: Other Piping MHrs</t>
  </si>
  <si>
    <t>ISBL: Pipe Testing MHrs</t>
  </si>
  <si>
    <t>ISBL: Pipe Demolition MHrs</t>
  </si>
  <si>
    <t>ISBL: Above Ground (AG) Piping MHrs</t>
  </si>
  <si>
    <t>ISBL: Underground (UG) Piping MHrs</t>
  </si>
  <si>
    <t>ISBL: Extra-small Diameter MHrs</t>
  </si>
  <si>
    <t>ISBL: Small Diameter MHrs</t>
  </si>
  <si>
    <t>ISBL: Medium Diameter MHrs</t>
  </si>
  <si>
    <t>ISBL: Large Diameter MHrs</t>
  </si>
  <si>
    <t>ISBL: Extra-large Diameter MHrs</t>
  </si>
  <si>
    <t>ISBL: Earthwork MHrs</t>
  </si>
  <si>
    <t>ISBL: Roads, Railroads MHrs</t>
  </si>
  <si>
    <t>ISBL: Piling MHrs</t>
  </si>
  <si>
    <t>ISBL: Paving MHrs</t>
  </si>
  <si>
    <t>ISBL: Concrete MHrs</t>
  </si>
  <si>
    <t>ISBL: Grout MHrs</t>
  </si>
  <si>
    <t>ISBL: Rebar MHrs</t>
  </si>
  <si>
    <t>ISBL: Buildings, Architectural MHrs</t>
  </si>
  <si>
    <t>ISBL: Other Sitework MHrs</t>
  </si>
  <si>
    <t>ISBL: Other Civil MHrs</t>
  </si>
  <si>
    <t>ISBL: Civil Demolition MHrs</t>
  </si>
  <si>
    <t>ISBL: Extra Light Steel MHrs</t>
  </si>
  <si>
    <t>ISBL: Light Steel MHrs</t>
  </si>
  <si>
    <t>ISBL: Medium Steel MHrs</t>
  </si>
  <si>
    <t>ISBL: Heavy Steel MHrs</t>
  </si>
  <si>
    <t>ISBL: Extra Heavy Steel MHrs</t>
  </si>
  <si>
    <t>ISBL: Offshore Steel MHrs</t>
  </si>
  <si>
    <t>ISBL: Other Steel Items MHrs</t>
  </si>
  <si>
    <t>ISBL: Steel Demolition MHrs</t>
  </si>
  <si>
    <t>ISBL: Sensors MHrs</t>
  </si>
  <si>
    <t>ISBL: Control Valves MHrs</t>
  </si>
  <si>
    <t>ISBL: Wiring, Cable, Data Highway, Fiber Optic MHrs</t>
  </si>
  <si>
    <t>ISBL: Junction Boxes, Cabinets Etc. MHrs</t>
  </si>
  <si>
    <t>ISBL: Instru. Conduit, Fittings MHrs</t>
  </si>
  <si>
    <t>ISBL: Instru. Cable Tray, Supports MHrs</t>
  </si>
  <si>
    <t>ISBL: Computer Control MHrs</t>
  </si>
  <si>
    <t>ISBL: Instrument Testing MHrs</t>
  </si>
  <si>
    <t>ISBL: Other Instrumentation Items MHrs</t>
  </si>
  <si>
    <t>ISBL: Instrumentation Demolition MHrs</t>
  </si>
  <si>
    <t>ISBL: HV Electrical Cable MHrs</t>
  </si>
  <si>
    <t>ISBL: MV Electrical Cable MHrs</t>
  </si>
  <si>
    <t>ISBL: LV Electrical Cable MHrs</t>
  </si>
  <si>
    <t>ISBL: Control Cable MHrs</t>
  </si>
  <si>
    <t>ISBL: Lighting Cable MHrs</t>
  </si>
  <si>
    <t>ISBL: Elec. Conduit, Fittings MHrs</t>
  </si>
  <si>
    <t>ISBL: Elec. Cable Tray, Supports MHrs</t>
  </si>
  <si>
    <t>ISBL: Transformers, Switchgear MHrs</t>
  </si>
  <si>
    <t>ISBL: Motor Control Center MHrs</t>
  </si>
  <si>
    <t>ISBL: Other Electrical Equip. MHrs</t>
  </si>
  <si>
    <t>ISBL: Other Electrical Items MHrs</t>
  </si>
  <si>
    <t>ISBL: Electrical Testing MHrs</t>
  </si>
  <si>
    <t>ISBL: Electrical Demolition MHrs</t>
  </si>
  <si>
    <t>ISBL: Above Ground Electrical MHrs</t>
  </si>
  <si>
    <t>ISBL: Below Ground Electrical MHrs</t>
  </si>
  <si>
    <t>ISBL: Equipment Insulation MHrs</t>
  </si>
  <si>
    <t>ISBL: Pipe Insulation MHrs</t>
  </si>
  <si>
    <t>ISBL: Equipment Fireproofing MHrs</t>
  </si>
  <si>
    <t>ISBL: Steel Fireproofing MHrs</t>
  </si>
  <si>
    <t>ISBL: Other Insulation, Fireproofing MHrs</t>
  </si>
  <si>
    <t>ISBL: Insulation, Fireproofing Demolition MHrs</t>
  </si>
  <si>
    <t>ISBL: Equipment Paint MHrs</t>
  </si>
  <si>
    <t>ISBL: Pipe Paint MHrs</t>
  </si>
  <si>
    <t>ISBL: Steel Paint MHrs</t>
  </si>
  <si>
    <t>ISBL: Surface Preparation MHrs</t>
  </si>
  <si>
    <t>ISBL: Module Paint MHrs</t>
  </si>
  <si>
    <t>ISBL: Other Paint MHrs</t>
  </si>
  <si>
    <t>ISBL: Paint Demolition MHrs</t>
  </si>
  <si>
    <t>OSBL: Boiler Plant Equip. MHrs</t>
  </si>
  <si>
    <t>OSBL: Centrifugal Compressors MHrs</t>
  </si>
  <si>
    <t>OSBL: Crushers, Mills MHrs</t>
  </si>
  <si>
    <t>OSBL: Drivers MHrs</t>
  </si>
  <si>
    <t>OSBL: Fans, Blowers MHrs</t>
  </si>
  <si>
    <t>OSBL: Flares MHrs</t>
  </si>
  <si>
    <t>OSBL: Fluid Separation Equip. MHrs</t>
  </si>
  <si>
    <t>OSBL: Furnaces, Heaters MHrs</t>
  </si>
  <si>
    <t>OSBL: Generators MHrs</t>
  </si>
  <si>
    <t>OSBL: Heat Exchangers MHrs</t>
  </si>
  <si>
    <t>OSBL: Material Handling Equip. MHrs</t>
  </si>
  <si>
    <t>OSBL: Package Units MHrs</t>
  </si>
  <si>
    <t>OSBL: Process Vessels MHrs</t>
  </si>
  <si>
    <t>OSBL: Pumps MHrs</t>
  </si>
  <si>
    <t>OSBL: Reactors, Mixers MHrs</t>
  </si>
  <si>
    <t>OSBL: Reciprocating Compressors MHrs</t>
  </si>
  <si>
    <t>OSBL: Solids Separation Equip. MHrs</t>
  </si>
  <si>
    <t>OSBL: Storage Vessels MHrs</t>
  </si>
  <si>
    <t>OSBL: Turbo Expanders MHrs</t>
  </si>
  <si>
    <t>OSBL: Other Equipment Items MHrs</t>
  </si>
  <si>
    <t>OSBL: Design Allowance MHrs</t>
  </si>
  <si>
    <t>OSBL: Warehouse Spares MHrs</t>
  </si>
  <si>
    <t>OSBL: Equipment Demolition MHrs</t>
  </si>
  <si>
    <t>OSBL: CS Pipe MHrs</t>
  </si>
  <si>
    <t>OSBL: CS Valves, Fittings MHrs</t>
  </si>
  <si>
    <t>OSBL: SS Pipe MHrs</t>
  </si>
  <si>
    <t>OSBL: SS Valves, Fittings MHrs</t>
  </si>
  <si>
    <t>OSBL: Non-ferrous Pipe MHrs</t>
  </si>
  <si>
    <t>OSBL: Non-ferrous Valves, Fittings MHrs</t>
  </si>
  <si>
    <t>OSBL: Lined Pipe MHrs</t>
  </si>
  <si>
    <t>OSBL: Lined Valves, Fittings MHrs</t>
  </si>
  <si>
    <t>OSBL: Non-metallic Pipe MHrs</t>
  </si>
  <si>
    <t>OSBL: Non-metallic Valves, Fittings MHrs</t>
  </si>
  <si>
    <t>OSBL: Specialty Piping Items MHrs</t>
  </si>
  <si>
    <t>OSBL: Firewater Piping MHrs</t>
  </si>
  <si>
    <t>OSBL: Ductwork, Launders MHrs</t>
  </si>
  <si>
    <t>OSBL: Pipelines MHrs</t>
  </si>
  <si>
    <t>OSBL: Other Piping MHrs</t>
  </si>
  <si>
    <t>OSBL: Pipe Testing MHrs</t>
  </si>
  <si>
    <t>OSBL: Pipe Demolition MHrs</t>
  </si>
  <si>
    <t>OSBL: Above Ground (AG) Piping MHrs</t>
  </si>
  <si>
    <t>OSBL: Underground (UG) Piping MHrs</t>
  </si>
  <si>
    <t>OSBL: Extra-small Diameter MHrs</t>
  </si>
  <si>
    <t>OSBL: Small Diameter MHrs</t>
  </si>
  <si>
    <t>OSBL: Medium Diameter MHrs</t>
  </si>
  <si>
    <t>OSBL: Large Diameter MHrs</t>
  </si>
  <si>
    <t>OSBL: Extra-large Diameter MHrs</t>
  </si>
  <si>
    <t>OSBL: Earthwork MHrs</t>
  </si>
  <si>
    <t>OSBL: Roads, Railroads MHrs</t>
  </si>
  <si>
    <t>OSBL: Piling MHrs</t>
  </si>
  <si>
    <t>OSBL: Paving MHrs</t>
  </si>
  <si>
    <t>OSBL: Concrete MHrs</t>
  </si>
  <si>
    <t>OSBL: Grout MHrs</t>
  </si>
  <si>
    <t>OSBL: Rebar MHrs</t>
  </si>
  <si>
    <t>OSBL: Buildings, Architectural MHrs</t>
  </si>
  <si>
    <t>OSBL: Other Sitework MHrs</t>
  </si>
  <si>
    <t>OSBL: Other Civil MHrs</t>
  </si>
  <si>
    <t>OSBL: Civil Demolition MHrs</t>
  </si>
  <si>
    <t>OSBL: Extra Light Steel MHrs</t>
  </si>
  <si>
    <t>OSBL: Light Steel MHrs</t>
  </si>
  <si>
    <t>OSBL: Medium Steel MHrs</t>
  </si>
  <si>
    <t>OSBL: Heavy Steel MHrs</t>
  </si>
  <si>
    <t>OSBL: Extra Heavy Steel MHrs</t>
  </si>
  <si>
    <t>OSBL: Offshore Steel MHrs</t>
  </si>
  <si>
    <t>OSBL: Other Steel Items MHrs</t>
  </si>
  <si>
    <t>OSBL: Steel Demolition MHrs</t>
  </si>
  <si>
    <t>OSBL: Sensors MHrs</t>
  </si>
  <si>
    <t>OSBL: Control Valves MHrs</t>
  </si>
  <si>
    <t>OSBL: Wiring, Cable, Data Highway, Fiber Optic MHrs</t>
  </si>
  <si>
    <t>OSBL: Junction Boxes, Cabinets Etc. MHrs</t>
  </si>
  <si>
    <t>OSBL: Instru. Conduit, Fittings MHrs</t>
  </si>
  <si>
    <t>OSBL: Instru. Cable Tray, Supports MHrs</t>
  </si>
  <si>
    <t>OSBL: Computer Control MHrs</t>
  </si>
  <si>
    <t>OSBL: Instrument Testing MHrs</t>
  </si>
  <si>
    <t>OSBL: Other Instrumentation Items MHrs</t>
  </si>
  <si>
    <t>OSBL: Instrumentation Demolition MHrs</t>
  </si>
  <si>
    <t>OSBL: HV Electrical Cable MHrs</t>
  </si>
  <si>
    <t>OSBL: MV Electrical Cable MHrs</t>
  </si>
  <si>
    <t>OSBL: LV Electrical Cable MHrs</t>
  </si>
  <si>
    <t>OSBL: Control Cable MHrs</t>
  </si>
  <si>
    <t>OSBL: Lighting Cable MHrs</t>
  </si>
  <si>
    <t>OSBL: Elec. Conduit, Fittings MHrs</t>
  </si>
  <si>
    <t>OSBL: Elec. Cable Tray, Supports MHrs</t>
  </si>
  <si>
    <t>OSBL: Transformers, Switchgear MHrs</t>
  </si>
  <si>
    <t>OSBL: Motor Control Center MHrs</t>
  </si>
  <si>
    <t>OSBL: Other Electrical Equip. MHrs</t>
  </si>
  <si>
    <t>OSBL: Other Electrical Items MHrs</t>
  </si>
  <si>
    <t>OSBL: Electrical Testing MHrs</t>
  </si>
  <si>
    <t>OSBL: Electrical Demolition MHrs</t>
  </si>
  <si>
    <t>OSBL: Above Ground Electrical MHrs</t>
  </si>
  <si>
    <t>OSBL: Below Ground Electrical MHrs</t>
  </si>
  <si>
    <t>OSBL: Equipment Insulation MHrs</t>
  </si>
  <si>
    <t>OSBL: Pipe Insulation MHrs</t>
  </si>
  <si>
    <t>OSBL: Equipment Fireproofing MHrs</t>
  </si>
  <si>
    <t>OSBL: Steel Fireproofing MHrs</t>
  </si>
  <si>
    <t>OSBL: Other Insulation, Fireproofing MHrs</t>
  </si>
  <si>
    <t>OSBL: Insulation, Fireproofing Demolition MHrs</t>
  </si>
  <si>
    <t>OSBL: Equipment Paint MHrs</t>
  </si>
  <si>
    <t>OSBL: Pipe Paint MHrs</t>
  </si>
  <si>
    <t>OSBL: Steel Paint MHrs</t>
  </si>
  <si>
    <t>OSBL: Surface Preparation MHrs</t>
  </si>
  <si>
    <t>OSBL: Module Paint MHrs</t>
  </si>
  <si>
    <t>OSBL: Other Paint MHrs</t>
  </si>
  <si>
    <t>OSBL: Paint Demolition MHrs</t>
  </si>
  <si>
    <t>ISBL: Boiler Plant Equip. Labor Cost</t>
  </si>
  <si>
    <t>ISBL: Centrifugal Compressors Labor Cost</t>
  </si>
  <si>
    <t>ISBL: Crushers, Mills Labor Cost</t>
  </si>
  <si>
    <t>ISBL: Drivers Labor Cost</t>
  </si>
  <si>
    <t>ISBL: Fans, Blowers Labor Cost</t>
  </si>
  <si>
    <t>ISBL: Flares Labor Cost</t>
  </si>
  <si>
    <t>ISBL: Fluid Separation Equip. Labor Cost</t>
  </si>
  <si>
    <t>ISBL: Furnaces, Heaters Labor Cost</t>
  </si>
  <si>
    <t>ISBL: Generators Labor Cost</t>
  </si>
  <si>
    <t>ISBL: Heat Exchangers Labor Cost</t>
  </si>
  <si>
    <t>ISBL: Material Handling Equip. Labor Cost</t>
  </si>
  <si>
    <t>ISBL: Package Units Labor Cost</t>
  </si>
  <si>
    <t>ISBL: Process Vessels Labor Cost</t>
  </si>
  <si>
    <t>ISBL: Pumps Labor Cost</t>
  </si>
  <si>
    <t>ISBL: Reactors, Mixers Labor Cost</t>
  </si>
  <si>
    <t>ISBL: Reciprocating Compressors Labor Cost</t>
  </si>
  <si>
    <t>ISBL: Solids Separation Equip. Labor Cost</t>
  </si>
  <si>
    <t>ISBL: Storage Vessels Labor Cost</t>
  </si>
  <si>
    <t>ISBL: Turbo Expanders Labor Cost</t>
  </si>
  <si>
    <t>ISBL: Other Equipment Items Labor Cost</t>
  </si>
  <si>
    <t>ISBL: Design Allowance Labor Cost</t>
  </si>
  <si>
    <t>ISBL: Warehouse Spares Labor Cost</t>
  </si>
  <si>
    <t>ISBL: Equipment Demolition Labor Cost</t>
  </si>
  <si>
    <t>OSBL: Boiler Plant Equip. Labor Cost</t>
  </si>
  <si>
    <t>OSBL: Centrifugal Compressors Labor Cost</t>
  </si>
  <si>
    <t>OSBL: Crushers, Mills Labor Cost</t>
  </si>
  <si>
    <t>OSBL: Drivers Labor Cost</t>
  </si>
  <si>
    <t>OSBL: Fans, Blowers Labor Cost</t>
  </si>
  <si>
    <t>OSBL: Flares Labor Cost</t>
  </si>
  <si>
    <t>OSBL: Fluid Separation Equip. Labor Cost</t>
  </si>
  <si>
    <t>OSBL: Furnaces, Heaters Labor Cost</t>
  </si>
  <si>
    <t>OSBL: Generators Labor Cost</t>
  </si>
  <si>
    <t>OSBL: Heat Exchangers Labor Cost</t>
  </si>
  <si>
    <t>OSBL: Material Handling Equip. Labor Cost</t>
  </si>
  <si>
    <t>OSBL: Package Units Labor Cost</t>
  </si>
  <si>
    <t>OSBL: Process Vessels Labor Cost</t>
  </si>
  <si>
    <t>OSBL: Pumps Labor Cost</t>
  </si>
  <si>
    <t>OSBL: Reactors, Mixers Labor Cost</t>
  </si>
  <si>
    <t>OSBL: Reciprocating Compressors Labor Cost</t>
  </si>
  <si>
    <t>OSBL: Solids Separation Equip. Labor Cost</t>
  </si>
  <si>
    <t>OSBL: Storage Vessels Labor Cost</t>
  </si>
  <si>
    <t>OSBL: Turbo Expanders Labor Cost</t>
  </si>
  <si>
    <t>OSBL: Other Equipment Items Labor Cost</t>
  </si>
  <si>
    <t>OSBL: Design Allowance Labor Cost</t>
  </si>
  <si>
    <t>OSBL: Warehouse Spares Labor Cost</t>
  </si>
  <si>
    <t>OSBL: Equipment Demolition Labor Cost</t>
  </si>
  <si>
    <t>ISBL: CS Pipe Labor Cost</t>
  </si>
  <si>
    <t>ISBL: CS Valves, Fittings Labor Cost</t>
  </si>
  <si>
    <t>ISBL: SS Pipe Labor Cost</t>
  </si>
  <si>
    <t>ISBL: SS Valves, Fittings Labor Cost</t>
  </si>
  <si>
    <t>ISBL: Non-ferrous Pipe Labor Cost</t>
  </si>
  <si>
    <t>ISBL: Non-ferrous Valves, Fittings Labor Cost</t>
  </si>
  <si>
    <t>ISBL: Lined Pipe Labor Cost</t>
  </si>
  <si>
    <t>ISBL: Lined Valves, Fittings Labor Cost</t>
  </si>
  <si>
    <t>ISBL: Non-metallic Pipe Labor Cost</t>
  </si>
  <si>
    <t>ISBL: Non-metallic Valves, Fittings Labor Cost</t>
  </si>
  <si>
    <t>ISBL: Specialty Piping Items Labor Cost</t>
  </si>
  <si>
    <t>ISBL: Firewater Piping Labor Cost</t>
  </si>
  <si>
    <t>ISBL: Ductwork, Launders Labor Cost</t>
  </si>
  <si>
    <t>ISBL: Pipelines Labor Cost</t>
  </si>
  <si>
    <t>ISBL: Other Piping Labor Cost</t>
  </si>
  <si>
    <t>ISBL: Pipe Testing Labor Cost</t>
  </si>
  <si>
    <t>ISBL: Pipe Demolition Labor Cost</t>
  </si>
  <si>
    <t>ISBL: Above Ground (AG) Piping Labor Cost</t>
  </si>
  <si>
    <t>ISBL: Underground (UG) Piping Labor Cost</t>
  </si>
  <si>
    <t>ISBL: Extra-small Diameter Labor Cost</t>
  </si>
  <si>
    <t>ISBL: Small Diameter Labor Cost</t>
  </si>
  <si>
    <t>ISBL: Medium Diameter Labor Cost</t>
  </si>
  <si>
    <t>ISBL: Large Diameter Labor Cost</t>
  </si>
  <si>
    <t>ISBL: Extra-large Diameter Labor Cost</t>
  </si>
  <si>
    <t>OSBL: CS Pipe Labor Cost</t>
  </si>
  <si>
    <t>OSBL: CS Valves, Fittings Labor Cost</t>
  </si>
  <si>
    <t>OSBL: SS Pipe Labor Cost</t>
  </si>
  <si>
    <t>OSBL: SS Valves, Fittings Labor Cost</t>
  </si>
  <si>
    <t>OSBL: Non-ferrous Pipe Labor Cost</t>
  </si>
  <si>
    <t>OSBL: Non-ferrous Valves, Fittings Labor Cost</t>
  </si>
  <si>
    <t>OSBL: Lined Pipe Labor Cost</t>
  </si>
  <si>
    <t>OSBL: Lined Valves, Fittings Labor Cost</t>
  </si>
  <si>
    <t>OSBL: Non-metallic Pipe Labor Cost</t>
  </si>
  <si>
    <t>OSBL: Non-metallic Valves, Fittings Labor Cost</t>
  </si>
  <si>
    <t>OSBL: Specialty Piping Items Labor Cost</t>
  </si>
  <si>
    <t>OSBL: Firewater Piping Labor Cost</t>
  </si>
  <si>
    <t>OSBL: Ductwork, Launders Labor Cost</t>
  </si>
  <si>
    <t>OSBL: Pipelines Labor Cost</t>
  </si>
  <si>
    <t>OSBL: Other Piping Labor Cost</t>
  </si>
  <si>
    <t>OSBL: Pipe Testing Labor Cost</t>
  </si>
  <si>
    <t>OSBL: Pipe Demolition Labor Cost</t>
  </si>
  <si>
    <t>OSBL: Above Ground (AG) Piping Labor Cost</t>
  </si>
  <si>
    <t>OSBL: Underground (UG) Piping Labor Cost</t>
  </si>
  <si>
    <t>OSBL: Extra-small Diameter Labor Cost</t>
  </si>
  <si>
    <t>OSBL: Small Diameter Labor Cost</t>
  </si>
  <si>
    <t>OSBL: Medium Diameter Labor Cost</t>
  </si>
  <si>
    <t>OSBL: Large Diameter Labor Cost</t>
  </si>
  <si>
    <t>OSBL: Extra-large Diameter Labor Cost</t>
  </si>
  <si>
    <t>ISBL: Earthwork Labor Cost</t>
  </si>
  <si>
    <t>ISBL: Roads, Railroads Labor Cost</t>
  </si>
  <si>
    <t>ISBL: Piling Labor Cost</t>
  </si>
  <si>
    <t>ISBL: Paving Labor Cost</t>
  </si>
  <si>
    <t>ISBL: Concrete Labor Cost</t>
  </si>
  <si>
    <t>ISBL: Grout Labor Cost</t>
  </si>
  <si>
    <t>ISBL: Rebar Labor Cost</t>
  </si>
  <si>
    <t>ISBL: Buildings, Architectural Labor Cost</t>
  </si>
  <si>
    <t>ISBL: Other Sitework Labor Cost</t>
  </si>
  <si>
    <t>ISBL: Other Civil Labor Cost</t>
  </si>
  <si>
    <t>ISBL: Civil Demolition Labor Cost</t>
  </si>
  <si>
    <t>OSBL: Earthwork Labor Cost</t>
  </si>
  <si>
    <t>OSBL: Roads, Railroads Labor Cost</t>
  </si>
  <si>
    <t>OSBL: Piling Labor Cost</t>
  </si>
  <si>
    <t>OSBL: Paving Labor Cost</t>
  </si>
  <si>
    <t>OSBL: Concrete Labor Cost</t>
  </si>
  <si>
    <t>OSBL: Grout Labor Cost</t>
  </si>
  <si>
    <t>OSBL: Rebar Labor Cost</t>
  </si>
  <si>
    <t>OSBL: Buildings, Architectural Labor Cost</t>
  </si>
  <si>
    <t>OSBL: Other Sitework Labor Cost</t>
  </si>
  <si>
    <t>OSBL: Other Civil Labor Cost</t>
  </si>
  <si>
    <t>OSBL: Civil Demolition Labor Cost</t>
  </si>
  <si>
    <t>ISBL: Extra Light Steel Labor Cost</t>
  </si>
  <si>
    <t>ISBL: Light Steel Labor Cost</t>
  </si>
  <si>
    <t>ISBL: Medium Steel Labor Cost</t>
  </si>
  <si>
    <t>ISBL: Heavy Steel Labor Cost</t>
  </si>
  <si>
    <t>ISBL: Extra Heavy Steel Labor Cost</t>
  </si>
  <si>
    <t>ISBL: Offshore Steel Labor Cost</t>
  </si>
  <si>
    <t>ISBL: Other Steel Items Labor Cost</t>
  </si>
  <si>
    <t>ISBL: Steel Demolition Labor Cost</t>
  </si>
  <si>
    <t>OSBL: Extra Light Steel Labor Cost</t>
  </si>
  <si>
    <t>OSBL: Light Steel Labor Cost</t>
  </si>
  <si>
    <t>OSBL: Medium Steel Labor Cost</t>
  </si>
  <si>
    <t>OSBL: Heavy Steel Labor Cost</t>
  </si>
  <si>
    <t>OSBL: Extra Heavy Steel Labor Cost</t>
  </si>
  <si>
    <t>OSBL: Offshore Steel Labor Cost</t>
  </si>
  <si>
    <t>OSBL: Other Steel Items Labor Cost</t>
  </si>
  <si>
    <t>OSBL: Steel Demolition Labor Cost</t>
  </si>
  <si>
    <t>ISBL: Sensors Labor Cost</t>
  </si>
  <si>
    <t>ISBL: Control Valves Labor Cost</t>
  </si>
  <si>
    <t>ISBL: Wiring, Cable, Data Highway, Fiber Optic Labor Cost</t>
  </si>
  <si>
    <t>ISBL: Junction Boxes, Cabinets Etc. Labor Cost</t>
  </si>
  <si>
    <t>ISBL: Instru. Conduit, Fittings Labor Cost</t>
  </si>
  <si>
    <t>ISBL: Instru. Cable Tray, Supports Labor Cost</t>
  </si>
  <si>
    <t>ISBL: Computer Control Labor Cost</t>
  </si>
  <si>
    <t>ISBL: Instrument Testing Labor Cost</t>
  </si>
  <si>
    <t>ISBL: Other Instrumentation Items Labor Cost</t>
  </si>
  <si>
    <t>ISBL: Instrumentation Demolition Labor Cost</t>
  </si>
  <si>
    <t>OSBL: Sensors Labor Cost</t>
  </si>
  <si>
    <t>OSBL: Control Valves Labor Cost</t>
  </si>
  <si>
    <t>OSBL: Wiring, Cable, Data Highway, Fiber Optic Labor Cost</t>
  </si>
  <si>
    <t>OSBL: Junction Boxes, Cabinets Etc. Labor Cost</t>
  </si>
  <si>
    <t>OSBL: Instru. Conduit, Fittings Labor Cost</t>
  </si>
  <si>
    <t>OSBL: Instru. Cable Tray, Supports Labor Cost</t>
  </si>
  <si>
    <t>OSBL: Computer Control Labor Cost</t>
  </si>
  <si>
    <t>OSBL: Instrument Testing Labor Cost</t>
  </si>
  <si>
    <t>OSBL: Other Instrumentation Items Labor Cost</t>
  </si>
  <si>
    <t>OSBL: Instrumentation Demolition Labor Cost</t>
  </si>
  <si>
    <t>ISBL: HV Electrical Cable Labor Cost</t>
  </si>
  <si>
    <t>ISBL: MV Electrical Cable Labor Cost</t>
  </si>
  <si>
    <t>ISBL: LV Electrical Cable Labor Cost</t>
  </si>
  <si>
    <t>ISBL: Control Cable Labor Cost</t>
  </si>
  <si>
    <t>ISBL: Lighting Cable Labor Cost</t>
  </si>
  <si>
    <t>ISBL: Elec. Conduit, Fittings Labor Cost</t>
  </si>
  <si>
    <t>ISBL: Elec. Cable Tray, Supports Labor Cost</t>
  </si>
  <si>
    <t>ISBL: Transformers, Switchgear Labor Cost</t>
  </si>
  <si>
    <t>ISBL: Motor Control Center Labor Cost</t>
  </si>
  <si>
    <t>ISBL: Other Electrical Equip. Labor Cost</t>
  </si>
  <si>
    <t>ISBL: Other Electrical Items Labor Cost</t>
  </si>
  <si>
    <t>ISBL: Electrical Testing Labor Cost</t>
  </si>
  <si>
    <t>ISBL: Electrical Demolition Labor Cost</t>
  </si>
  <si>
    <t>ISBL: Above Ground Electrical Labor Cost</t>
  </si>
  <si>
    <t>ISBL: Below Ground Electrical Labor Cost</t>
  </si>
  <si>
    <t>OSBL: HV Electrical Cable Labor Cost</t>
  </si>
  <si>
    <t>OSBL: MV Electrical Cable Labor Cost</t>
  </si>
  <si>
    <t>OSBL: LV Electrical Cable Labor Cost</t>
  </si>
  <si>
    <t>OSBL: Control Cable Labor Cost</t>
  </si>
  <si>
    <t>OSBL: Lighting Cable Labor Cost</t>
  </si>
  <si>
    <t>OSBL: Elec. Conduit, Fittings Labor Cost</t>
  </si>
  <si>
    <t>OSBL: Elec. Cable Tray, Supports Labor Cost</t>
  </si>
  <si>
    <t>OSBL: Transformers, Switchgear Labor Cost</t>
  </si>
  <si>
    <t>OSBL: Motor Control Center Labor Cost</t>
  </si>
  <si>
    <t>OSBL: Other Electrical Equip. Labor Cost</t>
  </si>
  <si>
    <t>OSBL: Other Electrical Items Labor Cost</t>
  </si>
  <si>
    <t>OSBL: Electrical Testing Labor Cost</t>
  </si>
  <si>
    <t>OSBL: Electrical Demolition Labor Cost</t>
  </si>
  <si>
    <t>OSBL: Above Ground Electrical Labor Cost</t>
  </si>
  <si>
    <t>OSBL: Below Ground Electrical Labor Cost</t>
  </si>
  <si>
    <t>ISBL: Equipment Insulation Labor Cost</t>
  </si>
  <si>
    <t>ISBL: Pipe Insulation Labor Cost</t>
  </si>
  <si>
    <t>ISBL: Equipment Fireproofing Labor Cost</t>
  </si>
  <si>
    <t>ISBL: Steel Fireproofing Labor Cost</t>
  </si>
  <si>
    <t>ISBL: Other Insulation, Fireproofing Labor Cost</t>
  </si>
  <si>
    <t>ISBL: Insulation, Fireproofing Demolition Labor Cost</t>
  </si>
  <si>
    <t>OSBL: Equipment Insulation Labor Cost</t>
  </si>
  <si>
    <t>OSBL: Pipe Insulation Labor Cost</t>
  </si>
  <si>
    <t>OSBL: Equipment Fireproofing Labor Cost</t>
  </si>
  <si>
    <t>OSBL: Steel Fireproofing Labor Cost</t>
  </si>
  <si>
    <t>OSBL: Other Insulation, Fireproofing Labor Cost</t>
  </si>
  <si>
    <t>OSBL: Insulation, Fireproofing Demolition Labor Cost</t>
  </si>
  <si>
    <t>ISBL: Equipment Paint Labor Cost</t>
  </si>
  <si>
    <t>ISBL: Pipe Paint Labor Cost</t>
  </si>
  <si>
    <t>ISBL: Steel Paint Labor Cost</t>
  </si>
  <si>
    <t>ISBL: Surface Preparation Labor Cost</t>
  </si>
  <si>
    <t>ISBL: Module Paint Labor Cost</t>
  </si>
  <si>
    <t>ISBL: Other Paint Labor Cost</t>
  </si>
  <si>
    <t>ISBL: Paint Demolition Labor Cost</t>
  </si>
  <si>
    <t>OSBL: Equipment Paint Labor Cost</t>
  </si>
  <si>
    <t>OSBL: Pipe Paint Labor Cost</t>
  </si>
  <si>
    <t>OSBL: Steel Paint Labor Cost</t>
  </si>
  <si>
    <t>OSBL: Surface Preparation Labor Cost</t>
  </si>
  <si>
    <t>OSBL: Module Paint Labor Cost</t>
  </si>
  <si>
    <t>OSBL: Other Paint Labor Cost</t>
  </si>
  <si>
    <t>OSBL: Paint Demolition Labor Cost</t>
  </si>
  <si>
    <t>Miscellaneous, Insurance, Etc.</t>
  </si>
  <si>
    <t>Mobilization/Demobilization</t>
  </si>
  <si>
    <t>Camp, Catering</t>
  </si>
  <si>
    <t>Lump Sum Construction Indirect</t>
  </si>
  <si>
    <t>Indirects: Fringe Benefits MHrs</t>
  </si>
  <si>
    <t>Indirects: Burdens MHrs</t>
  </si>
  <si>
    <t>Indirects: Consumables, Small Tools MHrs</t>
  </si>
  <si>
    <t>Indirects: Miscellaneous, Insurance, Etc. MHrs</t>
  </si>
  <si>
    <t>Indirects: Scaffolding MHrs</t>
  </si>
  <si>
    <t>Indirects: Equipment Rental MHrs</t>
  </si>
  <si>
    <t>Indirects: Vendor Reps MHrs</t>
  </si>
  <si>
    <t>Indirects: Field Services MHrs</t>
  </si>
  <si>
    <t>Indirects: Temp Const, Utilities MHrs</t>
  </si>
  <si>
    <t>Indirects: Mobilization/Demobilization MHrs</t>
  </si>
  <si>
    <t>Indirects: Camp, Catering MHrs</t>
  </si>
  <si>
    <t>Indirects: Travel MHrs</t>
  </si>
  <si>
    <t>Indirects: Overtime Premium MHrs</t>
  </si>
  <si>
    <t>Indirects: Lump Sum Construction Indirect MHrs</t>
  </si>
  <si>
    <t>Indirects: Field Const Supv MHrs</t>
  </si>
  <si>
    <t>Indirects: Start-up, Commissioning MHrs</t>
  </si>
  <si>
    <t>Indirects: Lump Sum Engineering MHrs</t>
  </si>
  <si>
    <t>Indirects: Basic Engineering MHrs</t>
  </si>
  <si>
    <t>Indirects: Detail Engineering MHrs</t>
  </si>
  <si>
    <t>Indirects: Material Procurement MHrs</t>
  </si>
  <si>
    <t>Indirects: Subcontract Procurement MHrs</t>
  </si>
  <si>
    <t>Indirects: Engineering Management MHrs</t>
  </si>
  <si>
    <t>Indirects: Lump Sum Freight MHrs</t>
  </si>
  <si>
    <t>Indirects: Domestic Freight MHrs</t>
  </si>
  <si>
    <t>Indirects: Ocean Freight MHrs</t>
  </si>
  <si>
    <t>Indirects: Air Freight MHrs</t>
  </si>
  <si>
    <t>Indirects: Module Freight MHrs</t>
  </si>
  <si>
    <t>Indirects: Other Freight MHrs</t>
  </si>
  <si>
    <t>Indirects: Lump Sum Taxes, Permits MHrs</t>
  </si>
  <si>
    <t>Indirects: Permits MHrs</t>
  </si>
  <si>
    <t>Indirects: Materials Taxes MHrs</t>
  </si>
  <si>
    <t>Indirects: Construction Taxes MHrs</t>
  </si>
  <si>
    <t>Indirects: Engineering Taxes MHrs</t>
  </si>
  <si>
    <t>Indirects: Other Taxes MHrs</t>
  </si>
  <si>
    <t>Indirects: Lump Sum Const Mgmt MHrs</t>
  </si>
  <si>
    <t>Indirects: Home Office Const Supp MHrs</t>
  </si>
  <si>
    <t>Indirects: Construction Management MHrs</t>
  </si>
  <si>
    <t>Indirects: G and A Overheads MHrs</t>
  </si>
  <si>
    <t>Indirects: Contract Fee MHrs</t>
  </si>
  <si>
    <t>Indirects: Royalty, Misc Charges MHrs</t>
  </si>
  <si>
    <t>Indirects: Escalation MHrs</t>
  </si>
  <si>
    <t>Indirects: Contingency MHrs</t>
  </si>
  <si>
    <t>Indirects: Fringe Benefits Cost</t>
  </si>
  <si>
    <t>Indirects: Burdens Cost</t>
  </si>
  <si>
    <t>Indirects: Consumables, Small Tools Cost</t>
  </si>
  <si>
    <t>Indirects: Miscellaneous, Insurance, Etc. Cost</t>
  </si>
  <si>
    <t>Indirects: Scaffolding Cost</t>
  </si>
  <si>
    <t>Indirects: Equipment Rental Cost</t>
  </si>
  <si>
    <t>Indirects: Vendor Reps Cost</t>
  </si>
  <si>
    <t>Indirects: Field Services Cost</t>
  </si>
  <si>
    <t>Indirects: Temp Const, Utilities Cost</t>
  </si>
  <si>
    <t>Indirects: Mobilization/Demobilization Cost</t>
  </si>
  <si>
    <t>Indirects: Camp, Catering Cost</t>
  </si>
  <si>
    <t>Indirects: Travel Cost</t>
  </si>
  <si>
    <t>Indirects: Overtime Premium Cost</t>
  </si>
  <si>
    <t>Indirects: Lump Sum Construction Indirect Cost</t>
  </si>
  <si>
    <t>Indirects: Field Const Supv Cost</t>
  </si>
  <si>
    <t>Indirects: Start-up, Commissioning Cost</t>
  </si>
  <si>
    <t>Indirects: Lump Sum Engineering Cost</t>
  </si>
  <si>
    <t>Indirects: Basic Engineering Cost</t>
  </si>
  <si>
    <t>Indirects: Detail Engineering Cost</t>
  </si>
  <si>
    <t>Indirects: Material Procurement Cost</t>
  </si>
  <si>
    <t>Indirects: Subcontract Procurement Cost</t>
  </si>
  <si>
    <t>Indirects: Engineering Management Cost</t>
  </si>
  <si>
    <t>Indirects: Lump Sum Freight Cost</t>
  </si>
  <si>
    <t>Indirects: Domestic Freight Cost</t>
  </si>
  <si>
    <t>Indirects: Ocean Freight Cost</t>
  </si>
  <si>
    <t>Indirects: Air Freight Cost</t>
  </si>
  <si>
    <t>Indirects: Module Freight Cost</t>
  </si>
  <si>
    <t>Indirects: Other Freight Cost</t>
  </si>
  <si>
    <t>Indirects: Lump Sum Taxes, Permits Cost</t>
  </si>
  <si>
    <t>Indirects: Permits Cost</t>
  </si>
  <si>
    <t>Indirects: Materials Taxes Cost</t>
  </si>
  <si>
    <t>Indirects: Construction Taxes Cost</t>
  </si>
  <si>
    <t>Indirects: Engineering Taxes Cost</t>
  </si>
  <si>
    <t>Indirects: Other Taxes Cost</t>
  </si>
  <si>
    <t>Indirects: Lump Sum Const Mgmt Cost</t>
  </si>
  <si>
    <t>Indirects: Home Office Const Supp Cost</t>
  </si>
  <si>
    <t>Indirects: Construction Management Cost</t>
  </si>
  <si>
    <t>Indirects: G and A Overheads Cost</t>
  </si>
  <si>
    <t>Indirects: Contract Fee Cost</t>
  </si>
  <si>
    <t>Indirects: Royalty, Misc Charges Cost</t>
  </si>
  <si>
    <t>Indirects: Escalation Cost</t>
  </si>
  <si>
    <t>Indirects: Contingency Cost</t>
  </si>
  <si>
    <t>Equipment Count</t>
  </si>
  <si>
    <t>Pipe Length</t>
  </si>
  <si>
    <t>Concrete, Grout</t>
  </si>
  <si>
    <t>Steel, Rebar</t>
  </si>
  <si>
    <t>Electrical Wire Length</t>
  </si>
  <si>
    <t>Instrumentation Wire Length</t>
  </si>
  <si>
    <t>Paint Area</t>
  </si>
  <si>
    <t>UoM: Equipment Count</t>
  </si>
  <si>
    <t>UoM: Pipe Length</t>
  </si>
  <si>
    <t>UoM: Earthwork</t>
  </si>
  <si>
    <t>UoM: Roads, Railroads</t>
  </si>
  <si>
    <t>UoM: Paving</t>
  </si>
  <si>
    <t>UoM: Concrete, Grout</t>
  </si>
  <si>
    <t>UoM: Steel, Rebar</t>
  </si>
  <si>
    <t>UoM: Electrical Wire Length</t>
  </si>
  <si>
    <t>UoM: Instrumentation Wire Length</t>
  </si>
  <si>
    <t>UoM: Equipment Insulation</t>
  </si>
  <si>
    <t>UoM: Pipe Insulation</t>
  </si>
  <si>
    <t>UoM: Equipment Fireproofing</t>
  </si>
  <si>
    <t>UoM: Steel Fireproofing</t>
  </si>
  <si>
    <t>UoM: Paint Area</t>
  </si>
  <si>
    <t>RightBorder(Border)</t>
  </si>
  <si>
    <t>Decimal1</t>
  </si>
  <si>
    <t>Decimal2</t>
  </si>
  <si>
    <t>NumVal1(NumericFormat;TextAlign)</t>
  </si>
  <si>
    <t>Test</t>
  </si>
  <si>
    <t>Desc1(TextAlign)</t>
  </si>
  <si>
    <t>0_ConstructionIndirects</t>
  </si>
  <si>
    <t>TBL_0_ConstructionIndirects</t>
  </si>
  <si>
    <t>Desc(Border;TextAlign)</t>
  </si>
  <si>
    <t>NumVal(Border;NumericFormat;TextAlign)</t>
  </si>
  <si>
    <t>0_ProjectInfo</t>
  </si>
  <si>
    <t>TBL_0_ProjectInfo</t>
  </si>
  <si>
    <t>Expression</t>
  </si>
  <si>
    <t>Name</t>
  </si>
  <si>
    <t>Format Def</t>
  </si>
  <si>
    <t>Format Name</t>
  </si>
  <si>
    <t>Sort Fields ("," separated) ASC or DESC</t>
  </si>
  <si>
    <t>Filter</t>
  </si>
  <si>
    <t>Source Name</t>
  </si>
  <si>
    <t>Table Name</t>
  </si>
  <si>
    <t>Expressions</t>
  </si>
  <si>
    <t>Format</t>
  </si>
  <si>
    <t>Data</t>
  </si>
  <si>
    <t>Application to run:</t>
  </si>
  <si>
    <t>Data Sources:</t>
  </si>
  <si>
    <t>Included Configs:</t>
  </si>
  <si>
    <t>&lt;#TBL_0_ProjectInfo.VALUE;&gt;</t>
  </si>
  <si>
    <t>&lt;#dbvalue(0_DesignBasisInfo;0;"VALUE";)&gt;</t>
  </si>
  <si>
    <t>&lt;#dbvalue(0_DesignBasisInfo;1;"VALUE";)&gt;</t>
  </si>
  <si>
    <t>&lt;#dbvalue(0_DesignBasisInfo;2;"VALUE";)&gt;</t>
  </si>
  <si>
    <t>&lt;#dbvalue(0_DesignBasisInfo;3;"VALUE";)&gt;</t>
  </si>
  <si>
    <t>&lt;#dbvalue(0_DesignBasisInfo;4;"VALUE";)&gt;</t>
  </si>
  <si>
    <t>&lt;#dbvalue(0_DesignBasisInfo;6;"VALUE";)&gt;</t>
  </si>
  <si>
    <t>&lt;#dbvalue(0_DesignBasisInfo;7;"VALUE";)&gt;</t>
  </si>
  <si>
    <t>&lt;#dbvalue(0_DesignBasisInfo;8;"VALUE";)&gt;</t>
  </si>
  <si>
    <t>&lt;#dbvalue(0_DesignBasisInfo;9;"VALUE";)&gt;</t>
  </si>
  <si>
    <t>&lt;#dbvalue(0_DesignBasisInfo;10;"VALUE";)&gt;</t>
  </si>
  <si>
    <t>&lt;#dbvalue(0_DesignBasisInfo;11;"VALUE";)&gt;</t>
  </si>
  <si>
    <t>&lt;#dbvalue(0_DesignBasisInfo;12;"VALUE";)&gt;</t>
  </si>
  <si>
    <t>&lt;#dbvalue(2_Equipment_ISBL_Data;0;"DESCR";)&gt;</t>
  </si>
  <si>
    <t>&lt;#dbvalue(2_Equipment_ISBL_Data;1;"DESCR";)&gt;</t>
  </si>
  <si>
    <t>&lt;#dbvalue(2_Equipment_ISBL_Data;2;"DESCR";)&gt;</t>
  </si>
  <si>
    <t>&lt;#dbvalue(2_Equipment_ISBL_Data;3;"DESCR";)&gt;</t>
  </si>
  <si>
    <t>&lt;#dbvalue(2_Equipment_ISBL_Data;4;"DESCR";)&gt;</t>
  </si>
  <si>
    <t>&lt;#dbvalue(2_Equipment_ISBL_Data;5;"DESCR";)&gt;</t>
  </si>
  <si>
    <t>&lt;#dbvalue(2_Equipment_ISBL_Data;6;"DESCR";)&gt;</t>
  </si>
  <si>
    <t>&lt;#dbvalue(2_Equipment_ISBL_Data;7;"DESCR";)&gt;</t>
  </si>
  <si>
    <t>&lt;#dbvalue(2_Equipment_ISBL_Data;8;"DESCR";)&gt;</t>
  </si>
  <si>
    <t>&lt;#dbvalue(2_Equipment_ISBL_Data;9;"DESCR";)&gt;</t>
  </si>
  <si>
    <t>&lt;#dbvalue(2_Equipment_ISBL_Data;10;"DESCR";)&gt;</t>
  </si>
  <si>
    <t>&lt;#dbvalue(2_Equipment_ISBL_Data;11;"DESCR";)&gt;</t>
  </si>
  <si>
    <t>&lt;#dbvalue(2_Equipment_ISBL_Data;12;"DESCR";)&gt;</t>
  </si>
  <si>
    <t>&lt;#dbvalue(2_Equipment_ISBL_Data;13;"DESCR";)&gt;</t>
  </si>
  <si>
    <t>&lt;#dbvalue(2_Equipment_ISBL_Data;14;"DESCR";)&gt;</t>
  </si>
  <si>
    <t>&lt;#dbvalue(2_Equipment_ISBL_Data;15;"DESCR";)&gt;</t>
  </si>
  <si>
    <t>&lt;#dbvalue(2_Equipment_ISBL_Data;16;"DESCR";)&gt;</t>
  </si>
  <si>
    <t>&lt;#dbvalue(2_Equipment_ISBL_Data;17;"DESCR";)&gt;</t>
  </si>
  <si>
    <t>&lt;#dbvalue(2_Equipment_ISBL_Data;18;"DESCR";)&gt;</t>
  </si>
  <si>
    <t>&lt;#dbvalue(2_Equipment_ISBL_Data;19;"DESCR";)&gt;</t>
  </si>
  <si>
    <t>&lt;#dbvalue(2_Equipment_ISBL_Data;20;"DESCR";)&gt;</t>
  </si>
  <si>
    <t>&lt;#dbvalue(2_Equipment_ISBL_Data;21;"DESCR";)&gt;</t>
  </si>
  <si>
    <t>&lt;#dbvalue(2_Equipment_ISBL_Data;22;"DESCR";)&gt;</t>
  </si>
  <si>
    <t>&lt;#dbvalue(2_Equipment_ISBL_Data;0;"KEYQUANT";)&gt;</t>
  </si>
  <si>
    <t>&lt;#dbvalue(2_Equipment_OSBL_Data;0;"KEYQUANT";)&gt;</t>
  </si>
  <si>
    <t>&lt;#dbvalue(2_Equipment_ISBL_Data;1;"KEYQUANT";)&gt;</t>
  </si>
  <si>
    <t>&lt;#dbvalue(2_Equipment_OSBL_Data;1;"KEYQUANT";)&gt;</t>
  </si>
  <si>
    <t>&lt;#dbvalue(2_Equipment_ISBL_Data;2;"KEYQUANT";)&gt;</t>
  </si>
  <si>
    <t>&lt;#dbvalue(2_Equipment_OSBL_Data;2;"KEYQUANT";)&gt;</t>
  </si>
  <si>
    <t>&lt;#dbvalue(2_Equipment_ISBL_Data;3;"KEYQUANT";)&gt;</t>
  </si>
  <si>
    <t>&lt;#dbvalue(2_Equipment_OSBL_Data;3;"KEYQUANT";)&gt;</t>
  </si>
  <si>
    <t>&lt;#dbvalue(2_Equipment_ISBL_Data;4;"KEYQUANT";)&gt;</t>
  </si>
  <si>
    <t>&lt;#dbvalue(2_Equipment_OSBL_Data;4;"KEYQUANT";)&gt;</t>
  </si>
  <si>
    <t>&lt;#dbvalue(2_Equipment_ISBL_Data;5;"KEYQUANT";)&gt;</t>
  </si>
  <si>
    <t>&lt;#dbvalue(2_Equipment_OSBL_Data;5;"KEYQUANT";)&gt;</t>
  </si>
  <si>
    <t>&lt;#dbvalue(2_Equipment_ISBL_Data;6;"KEYQUANT";)&gt;</t>
  </si>
  <si>
    <t>&lt;#dbvalue(2_Equipment_OSBL_Data;6;"KEYQUANT";)&gt;</t>
  </si>
  <si>
    <t>&lt;#dbvalue(2_Equipment_ISBL_Data;7;"KEYQUANT";)&gt;</t>
  </si>
  <si>
    <t>&lt;#dbvalue(2_Equipment_OSBL_Data;7;"KEYQUANT";)&gt;</t>
  </si>
  <si>
    <t>&lt;#dbvalue(2_Equipment_ISBL_Data;8;"KEYQUANT";)&gt;</t>
  </si>
  <si>
    <t>&lt;#dbvalue(2_Equipment_OSBL_Data;8;"KEYQUANT";)&gt;</t>
  </si>
  <si>
    <t>&lt;#dbvalue(2_Equipment_ISBL_Data;9;"KEYQUANT";)&gt;</t>
  </si>
  <si>
    <t>&lt;#dbvalue(2_Equipment_OSBL_Data;9;"KEYQUANT";)&gt;</t>
  </si>
  <si>
    <t>&lt;#dbvalue(2_Equipment_ISBL_Data;10;"KEYQUANT";)&gt;</t>
  </si>
  <si>
    <t>&lt;#dbvalue(2_Equipment_OSBL_Data;10;"KEYQUANT";)&gt;</t>
  </si>
  <si>
    <t>&lt;#dbvalue(2_Equipment_ISBL_Data;11;"KEYQUANT";)&gt;</t>
  </si>
  <si>
    <t>&lt;#dbvalue(2_Equipment_OSBL_Data;11;"KEYQUANT";)&gt;</t>
  </si>
  <si>
    <t>&lt;#dbvalue(2_Equipment_ISBL_Data;12;"KEYQUANT";)&gt;</t>
  </si>
  <si>
    <t>&lt;#dbvalue(2_Equipment_OSBL_Data;12;"KEYQUANT";)&gt;</t>
  </si>
  <si>
    <t>&lt;#dbvalue(2_Equipment_ISBL_Data;13;"KEYQUANT";)&gt;</t>
  </si>
  <si>
    <t>&lt;#dbvalue(2_Equipment_OSBL_Data;13;"KEYQUANT";)&gt;</t>
  </si>
  <si>
    <t>&lt;#dbvalue(2_Equipment_ISBL_Data;14;"KEYQUANT";)&gt;</t>
  </si>
  <si>
    <t>&lt;#dbvalue(2_Equipment_OSBL_Data;14;"KEYQUANT";)&gt;</t>
  </si>
  <si>
    <t>&lt;#dbvalue(2_Equipment_ISBL_Data;15;"KEYQUANT";)&gt;</t>
  </si>
  <si>
    <t>&lt;#dbvalue(2_Equipment_OSBL_Data;15;"KEYQUANT";)&gt;</t>
  </si>
  <si>
    <t>&lt;#dbvalue(2_Equipment_ISBL_Data;16;"KEYQUANT";)&gt;</t>
  </si>
  <si>
    <t>&lt;#dbvalue(2_Equipment_OSBL_Data;16;"KEYQUANT";)&gt;</t>
  </si>
  <si>
    <t>&lt;#dbvalue(2_Equipment_ISBL_Data;17;"KEYQUANT";)&gt;</t>
  </si>
  <si>
    <t>&lt;#dbvalue(2_Equipment_OSBL_Data;17;"KEYQUANT";)&gt;</t>
  </si>
  <si>
    <t>&lt;#dbvalue(2_Equipment_ISBL_Data;18;"KEYQUANT";)&gt;</t>
  </si>
  <si>
    <t>&lt;#dbvalue(2_Equipment_OSBL_Data;18;"KEYQUANT";)&gt;</t>
  </si>
  <si>
    <t>&lt;#dbvalue(2_Equipment_ISBL_Data;19;"KEYQUANT";)&gt;</t>
  </si>
  <si>
    <t>&lt;#dbvalue(2_Equipment_OSBL_Data;19;"KEYQUANT";)&gt;</t>
  </si>
  <si>
    <t>&lt;#dbvalue(2_Equipment_ISBL_Data;22;"KEYQUANT";)&gt;</t>
  </si>
  <si>
    <t>&lt;#dbvalue(2_Equipment_OSBL_Data;22;"KEYQUANT";)&gt;</t>
  </si>
  <si>
    <t>&lt;#dbvalue(2_Equipment_ISBL_Data;0;"Matl";)&gt;</t>
  </si>
  <si>
    <t>&lt;#dbvalue(2_Equipment_OSBL_Data;0;"Matl";)&gt;</t>
  </si>
  <si>
    <t>&lt;#dbvalue(2_Equipment_ISBL_Data;0;"MH";)&gt;</t>
  </si>
  <si>
    <t>&lt;#dbvalue(2_Equipment_OSBL_Data;0;"MH";)&gt;</t>
  </si>
  <si>
    <t>&lt;#dbvalue(2_Equipment_ISBL_Data;0;"Labor";)&gt;</t>
  </si>
  <si>
    <t>&lt;#dbvalue(2_Equipment_OSBL_Data;0;"Labor";)&gt;</t>
  </si>
  <si>
    <t>&lt;#dbvalue(2_Equipment_ISBL_Data;1;"Matl";)&gt;</t>
  </si>
  <si>
    <t>&lt;#dbvalue(2_Equipment_OSBL_Data;1;"Matl";)&gt;</t>
  </si>
  <si>
    <t>&lt;#dbvalue(2_Equipment_ISBL_Data;1;"MH";)&gt;</t>
  </si>
  <si>
    <t>&lt;#dbvalue(2_Equipment_OSBL_Data;1;"MH";)&gt;</t>
  </si>
  <si>
    <t>&lt;#dbvalue(2_Equipment_ISBL_Data;1;"Labor";)&gt;</t>
  </si>
  <si>
    <t>&lt;#dbvalue(2_Equipment_OSBL_Data;1;"Labor";)&gt;</t>
  </si>
  <si>
    <t>&lt;#dbvalue(2_Equipment_ISBL_Data;2;"Matl";)&gt;</t>
  </si>
  <si>
    <t>&lt;#dbvalue(2_Equipment_OSBL_Data;2;"Matl";)&gt;</t>
  </si>
  <si>
    <t>&lt;#dbvalue(2_Equipment_ISBL_Data;2;"MH";)&gt;</t>
  </si>
  <si>
    <t>&lt;#dbvalue(2_Equipment_OSBL_Data;2;"MH";)&gt;</t>
  </si>
  <si>
    <t>&lt;#dbvalue(2_Equipment_ISBL_Data;2;"Labor";)&gt;</t>
  </si>
  <si>
    <t>&lt;#dbvalue(2_Equipment_OSBL_Data;2;"Labor";)&gt;</t>
  </si>
  <si>
    <t>&lt;#dbvalue(2_Equipment_ISBL_Data;3;"Matl";)&gt;</t>
  </si>
  <si>
    <t>&lt;#dbvalue(2_Equipment_OSBL_Data;3;"Matl";)&gt;</t>
  </si>
  <si>
    <t>&lt;#dbvalue(2_Equipment_ISBL_Data;3;"MH";)&gt;</t>
  </si>
  <si>
    <t>&lt;#dbvalue(2_Equipment_OSBL_Data;3;"MH";)&gt;</t>
  </si>
  <si>
    <t>&lt;#dbvalue(2_Equipment_ISBL_Data;3;"Labor";)&gt;</t>
  </si>
  <si>
    <t>&lt;#dbvalue(2_Equipment_OSBL_Data;3;"Labor";)&gt;</t>
  </si>
  <si>
    <t>&lt;#dbvalue(2_Equipment_ISBL_Data;4;"Matl";)&gt;</t>
  </si>
  <si>
    <t>&lt;#dbvalue(2_Equipment_OSBL_Data;4;"Matl";)&gt;</t>
  </si>
  <si>
    <t>&lt;#dbvalue(2_Equipment_ISBL_Data;4;"MH";)&gt;</t>
  </si>
  <si>
    <t>&lt;#dbvalue(2_Equipment_OSBL_Data;4;"MH";)&gt;</t>
  </si>
  <si>
    <t>&lt;#dbvalue(2_Equipment_ISBL_Data;4;"Labor";)&gt;</t>
  </si>
  <si>
    <t>&lt;#dbvalue(2_Equipment_OSBL_Data;4;"Labor";)&gt;</t>
  </si>
  <si>
    <t>&lt;#dbvalue(2_Equipment_ISBL_Data;5;"Matl";)&gt;</t>
  </si>
  <si>
    <t>&lt;#dbvalue(2_Equipment_OSBL_Data;5;"Matl";)&gt;</t>
  </si>
  <si>
    <t>&lt;#dbvalue(2_Equipment_ISBL_Data;5;"MH";)&gt;</t>
  </si>
  <si>
    <t>&lt;#dbvalue(2_Equipment_OSBL_Data;5;"MH";)&gt;</t>
  </si>
  <si>
    <t>&lt;#dbvalue(2_Equipment_ISBL_Data;5;"Labor";)&gt;</t>
  </si>
  <si>
    <t>&lt;#dbvalue(2_Equipment_OSBL_Data;5;"Labor";)&gt;</t>
  </si>
  <si>
    <t>&lt;#dbvalue(2_Equipment_ISBL_Data;6;"Matl";)&gt;</t>
  </si>
  <si>
    <t>&lt;#dbvalue(2_Equipment_OSBL_Data;6;"Matl";)&gt;</t>
  </si>
  <si>
    <t>&lt;#dbvalue(2_Equipment_ISBL_Data;6;"MH";)&gt;</t>
  </si>
  <si>
    <t>&lt;#dbvalue(2_Equipment_OSBL_Data;6;"MH";)&gt;</t>
  </si>
  <si>
    <t>&lt;#dbvalue(2_Equipment_ISBL_Data;6;"Labor";)&gt;</t>
  </si>
  <si>
    <t>&lt;#dbvalue(2_Equipment_OSBL_Data;6;"Labor";)&gt;</t>
  </si>
  <si>
    <t>&lt;#dbvalue(2_Equipment_ISBL_Data;7;"Matl";)&gt;</t>
  </si>
  <si>
    <t>&lt;#dbvalue(2_Equipment_OSBL_Data;7;"Matl";)&gt;</t>
  </si>
  <si>
    <t>&lt;#dbvalue(2_Equipment_ISBL_Data;7;"MH";)&gt;</t>
  </si>
  <si>
    <t>&lt;#dbvalue(2_Equipment_OSBL_Data;7;"MH";)&gt;</t>
  </si>
  <si>
    <t>&lt;#dbvalue(2_Equipment_ISBL_Data;7;"Labor";)&gt;</t>
  </si>
  <si>
    <t>&lt;#dbvalue(2_Equipment_OSBL_Data;7;"Labor";)&gt;</t>
  </si>
  <si>
    <t>&lt;#dbvalue(2_Equipment_ISBL_Data;8;"Matl";)&gt;</t>
  </si>
  <si>
    <t>&lt;#dbvalue(2_Equipment_OSBL_Data;8;"Matl";)&gt;</t>
  </si>
  <si>
    <t>&lt;#dbvalue(2_Equipment_ISBL_Data;8;"MH";)&gt;</t>
  </si>
  <si>
    <t>&lt;#dbvalue(2_Equipment_OSBL_Data;8;"MH";)&gt;</t>
  </si>
  <si>
    <t>&lt;#dbvalue(2_Equipment_ISBL_Data;8;"Labor";)&gt;</t>
  </si>
  <si>
    <t>&lt;#dbvalue(2_Equipment_OSBL_Data;8;"Labor";)&gt;</t>
  </si>
  <si>
    <t>&lt;#dbvalue(2_Equipment_ISBL_Data;9;"Matl";)&gt;</t>
  </si>
  <si>
    <t>&lt;#dbvalue(2_Equipment_OSBL_Data;9;"Matl";)&gt;</t>
  </si>
  <si>
    <t>&lt;#dbvalue(2_Equipment_ISBL_Data;9;"MH";)&gt;</t>
  </si>
  <si>
    <t>&lt;#dbvalue(2_Equipment_OSBL_Data;9;"MH";)&gt;</t>
  </si>
  <si>
    <t>&lt;#dbvalue(2_Equipment_ISBL_Data;9;"Labor";)&gt;</t>
  </si>
  <si>
    <t>&lt;#dbvalue(2_Equipment_OSBL_Data;9;"Labor";)&gt;</t>
  </si>
  <si>
    <t>&lt;#dbvalue(2_Equipment_ISBL_Data;10;"Matl";)&gt;</t>
  </si>
  <si>
    <t>&lt;#dbvalue(2_Equipment_OSBL_Data;10;"Matl";)&gt;</t>
  </si>
  <si>
    <t>&lt;#dbvalue(2_Equipment_ISBL_Data;10;"MH";)&gt;</t>
  </si>
  <si>
    <t>&lt;#dbvalue(2_Equipment_OSBL_Data;10;"MH";)&gt;</t>
  </si>
  <si>
    <t>&lt;#dbvalue(2_Equipment_ISBL_Data;10;"Labor";)&gt;</t>
  </si>
  <si>
    <t>&lt;#dbvalue(2_Equipment_OSBL_Data;10;"Labor";)&gt;</t>
  </si>
  <si>
    <t>&lt;#dbvalue(2_Equipment_ISBL_Data;11;"Matl";)&gt;</t>
  </si>
  <si>
    <t>&lt;#dbvalue(2_Equipment_OSBL_Data;11;"Matl";)&gt;</t>
  </si>
  <si>
    <t>&lt;#dbvalue(2_Equipment_ISBL_Data;11;"MH";)&gt;</t>
  </si>
  <si>
    <t>&lt;#dbvalue(2_Equipment_OSBL_Data;11;"MH";)&gt;</t>
  </si>
  <si>
    <t>&lt;#dbvalue(2_Equipment_ISBL_Data;11;"Labor";)&gt;</t>
  </si>
  <si>
    <t>&lt;#dbvalue(2_Equipment_OSBL_Data;11;"Labor";)&gt;</t>
  </si>
  <si>
    <t>&lt;#dbvalue(2_Equipment_ISBL_Data;12;"Matl";)&gt;</t>
  </si>
  <si>
    <t>&lt;#dbvalue(2_Equipment_OSBL_Data;12;"Matl";)&gt;</t>
  </si>
  <si>
    <t>&lt;#dbvalue(2_Equipment_ISBL_Data;12;"MH";)&gt;</t>
  </si>
  <si>
    <t>&lt;#dbvalue(2_Equipment_OSBL_Data;12;"MH";)&gt;</t>
  </si>
  <si>
    <t>&lt;#dbvalue(2_Equipment_ISBL_Data;12;"Labor";)&gt;</t>
  </si>
  <si>
    <t>&lt;#dbvalue(2_Equipment_OSBL_Data;12;"Labor";)&gt;</t>
  </si>
  <si>
    <t>&lt;#dbvalue(2_Equipment_ISBL_Data;13;"Matl";)&gt;</t>
  </si>
  <si>
    <t>&lt;#dbvalue(2_Equipment_OSBL_Data;13;"Matl";)&gt;</t>
  </si>
  <si>
    <t>&lt;#dbvalue(2_Equipment_ISBL_Data;13;"MH";)&gt;</t>
  </si>
  <si>
    <t>&lt;#dbvalue(2_Equipment_OSBL_Data;13;"MH";)&gt;</t>
  </si>
  <si>
    <t>&lt;#dbvalue(2_Equipment_ISBL_Data;13;"Labor";)&gt;</t>
  </si>
  <si>
    <t>&lt;#dbvalue(2_Equipment_OSBL_Data;13;"Labor";)&gt;</t>
  </si>
  <si>
    <t>&lt;#dbvalue(2_Equipment_ISBL_Data;14;"Matl";)&gt;</t>
  </si>
  <si>
    <t>&lt;#dbvalue(2_Equipment_OSBL_Data;14;"Matl";)&gt;</t>
  </si>
  <si>
    <t>&lt;#dbvalue(2_Equipment_ISBL_Data;14;"MH";)&gt;</t>
  </si>
  <si>
    <t>&lt;#dbvalue(2_Equipment_OSBL_Data;14;"MH";)&gt;</t>
  </si>
  <si>
    <t>&lt;#dbvalue(2_Equipment_ISBL_Data;14;"Labor";)&gt;</t>
  </si>
  <si>
    <t>&lt;#dbvalue(2_Equipment_OSBL_Data;14;"Labor";)&gt;</t>
  </si>
  <si>
    <t>&lt;#dbvalue(2_Equipment_ISBL_Data;15;"Matl";)&gt;</t>
  </si>
  <si>
    <t>&lt;#dbvalue(2_Equipment_OSBL_Data;15;"Matl";)&gt;</t>
  </si>
  <si>
    <t>&lt;#dbvalue(2_Equipment_ISBL_Data;15;"MH";)&gt;</t>
  </si>
  <si>
    <t>&lt;#dbvalue(2_Equipment_OSBL_Data;15;"MH";)&gt;</t>
  </si>
  <si>
    <t>&lt;#dbvalue(2_Equipment_ISBL_Data;15;"Labor";)&gt;</t>
  </si>
  <si>
    <t>&lt;#dbvalue(2_Equipment_OSBL_Data;15;"Labor";)&gt;</t>
  </si>
  <si>
    <t>&lt;#dbvalue(2_Equipment_ISBL_Data;16;"Matl";)&gt;</t>
  </si>
  <si>
    <t>&lt;#dbvalue(2_Equipment_OSBL_Data;16;"Matl";)&gt;</t>
  </si>
  <si>
    <t>&lt;#dbvalue(2_Equipment_ISBL_Data;16;"MH";)&gt;</t>
  </si>
  <si>
    <t>&lt;#dbvalue(2_Equipment_OSBL_Data;16;"MH";)&gt;</t>
  </si>
  <si>
    <t>&lt;#dbvalue(2_Equipment_ISBL_Data;16;"Labor";)&gt;</t>
  </si>
  <si>
    <t>&lt;#dbvalue(2_Equipment_OSBL_Data;16;"Labor";)&gt;</t>
  </si>
  <si>
    <t>&lt;#dbvalue(2_Equipment_ISBL_Data;17;"Matl";)&gt;</t>
  </si>
  <si>
    <t>&lt;#dbvalue(2_Equipment_OSBL_Data;17;"Matl";)&gt;</t>
  </si>
  <si>
    <t>&lt;#dbvalue(2_Equipment_ISBL_Data;17;"MH";)&gt;</t>
  </si>
  <si>
    <t>&lt;#dbvalue(2_Equipment_OSBL_Data;17;"MH";)&gt;</t>
  </si>
  <si>
    <t>&lt;#dbvalue(2_Equipment_ISBL_Data;17;"Labor";)&gt;</t>
  </si>
  <si>
    <t>&lt;#dbvalue(2_Equipment_OSBL_Data;17;"Labor";)&gt;</t>
  </si>
  <si>
    <t>&lt;#dbvalue(2_Equipment_ISBL_Data;18;"Matl";)&gt;</t>
  </si>
  <si>
    <t>&lt;#dbvalue(2_Equipment_OSBL_Data;18;"Matl";)&gt;</t>
  </si>
  <si>
    <t>&lt;#dbvalue(2_Equipment_ISBL_Data;18;"MH";)&gt;</t>
  </si>
  <si>
    <t>&lt;#dbvalue(2_Equipment_OSBL_Data;18;"MH";)&gt;</t>
  </si>
  <si>
    <t>&lt;#dbvalue(2_Equipment_ISBL_Data;18;"Labor";)&gt;</t>
  </si>
  <si>
    <t>&lt;#dbvalue(2_Equipment_OSBL_Data;18;"Labor";)&gt;</t>
  </si>
  <si>
    <t>&lt;#dbvalue(2_Equipment_ISBL_Data;19;"Matl";)&gt;</t>
  </si>
  <si>
    <t>&lt;#dbvalue(2_Equipment_OSBL_Data;19;"Matl";)&gt;</t>
  </si>
  <si>
    <t>&lt;#dbvalue(2_Equipment_ISBL_Data;19;"MH";)&gt;</t>
  </si>
  <si>
    <t>&lt;#dbvalue(2_Equipment_OSBL_Data;19;"MH";)&gt;</t>
  </si>
  <si>
    <t>&lt;#dbvalue(2_Equipment_ISBL_Data;19;"Labor";)&gt;</t>
  </si>
  <si>
    <t>&lt;#dbvalue(2_Equipment_OSBL_Data;19;"Labor";)&gt;</t>
  </si>
  <si>
    <t>&lt;#dbvalue(2_Equipment_ISBL_Data;20;"Matl";)&gt;</t>
  </si>
  <si>
    <t>&lt;#dbvalue(2_Equipment_OSBL_Data;20;"Matl";)&gt;</t>
  </si>
  <si>
    <t>&lt;#dbvalue(2_Equipment_ISBL_Data;20;"MH";)&gt;</t>
  </si>
  <si>
    <t>&lt;#dbvalue(2_Equipment_OSBL_Data;20;"MH";)&gt;</t>
  </si>
  <si>
    <t>&lt;#dbvalue(2_Equipment_ISBL_Data;20;"Labor";)&gt;</t>
  </si>
  <si>
    <t>&lt;#dbvalue(2_Equipment_OSBL_Data;20;"Labor";)&gt;</t>
  </si>
  <si>
    <t>&lt;#dbvalue(2_Equipment_ISBL_Data;21;"Matl";)&gt;</t>
  </si>
  <si>
    <t>&lt;#dbvalue(2_Equipment_OSBL_Data;21;"Matl";)&gt;</t>
  </si>
  <si>
    <t>&lt;#dbvalue(2_Equipment_ISBL_Data;21;"MH";)&gt;</t>
  </si>
  <si>
    <t>&lt;#dbvalue(2_Equipment_OSBL_Data;21;"MH";)&gt;</t>
  </si>
  <si>
    <t>&lt;#dbvalue(2_Equipment_ISBL_Data;21;"Labor";)&gt;</t>
  </si>
  <si>
    <t>&lt;#dbvalue(2_Equipment_OSBL_Data;21;"Labor";)&gt;</t>
  </si>
  <si>
    <t>&lt;#dbvalue(2_Equipment_ISBL_Data;22;"Matl";)&gt;</t>
  </si>
  <si>
    <t>&lt;#dbvalue(2_Equipment_OSBL_Data;22;"Matl";)&gt;</t>
  </si>
  <si>
    <t>&lt;#dbvalue(2_Equipment_ISBL_Data;22;"MH";)&gt;</t>
  </si>
  <si>
    <t>&lt;#dbvalue(2_Equipment_OSBL_Data;22;"MH";)&gt;</t>
  </si>
  <si>
    <t>&lt;#dbvalue(2_Equipment_ISBL_Data;22;"Labor";)&gt;</t>
  </si>
  <si>
    <t>&lt;#dbvalue(2_Equipment_OSBL_Data;22;"Labor";)&gt;</t>
  </si>
  <si>
    <t>&lt;#dbvalue(3_Piping_ISBL_Data;0;"Matl";)&gt;</t>
  </si>
  <si>
    <t>&lt;#dbvalue(3_Piping_OSBL_Data;0;"Matl";)&gt;</t>
  </si>
  <si>
    <t>&lt;#dbvalue(3_Piping_ISBL_Data;0;"MH";)&gt;</t>
  </si>
  <si>
    <t>&lt;#dbvalue(3_Piping_OSBL_Data;0;"MH";)&gt;</t>
  </si>
  <si>
    <t>&lt;#dbvalue(3_Piping_ISBL_Data;0;"Labor";)&gt;</t>
  </si>
  <si>
    <t>&lt;#dbvalue(3_Piping_OSBL_Data;0;"Labor";)&gt;</t>
  </si>
  <si>
    <t>&lt;#dbvalue(3_Piping_ISBL_Data;1;"Matl";)&gt;</t>
  </si>
  <si>
    <t>&lt;#dbvalue(3_Piping_OSBL_Data;1;"Matl";)&gt;</t>
  </si>
  <si>
    <t>&lt;#dbvalue(3_Piping_ISBL_Data;1;"MH";)&gt;</t>
  </si>
  <si>
    <t>&lt;#dbvalue(3_Piping_OSBL_Data;1;"MH";)&gt;</t>
  </si>
  <si>
    <t>&lt;#dbvalue(3_Piping_ISBL_Data;1;"Labor";)&gt;</t>
  </si>
  <si>
    <t>&lt;#dbvalue(3_Piping_OSBL_Data;1;"Labor";)&gt;</t>
  </si>
  <si>
    <t>&lt;#dbvalue(3_Piping_ISBL_Data;2;"Matl";)&gt;</t>
  </si>
  <si>
    <t>&lt;#dbvalue(3_Piping_OSBL_Data;2;"Matl";)&gt;</t>
  </si>
  <si>
    <t>&lt;#dbvalue(3_Piping_ISBL_Data;2;"MH";)&gt;</t>
  </si>
  <si>
    <t>&lt;#dbvalue(3_Piping_OSBL_Data;2;"MH";)&gt;</t>
  </si>
  <si>
    <t>&lt;#dbvalue(3_Piping_ISBL_Data;2;"Labor";)&gt;</t>
  </si>
  <si>
    <t>&lt;#dbvalue(3_Piping_OSBL_Data;2;"Labor";)&gt;</t>
  </si>
  <si>
    <t>&lt;#dbvalue(3_Piping_ISBL_Data;3;"Matl";)&gt;</t>
  </si>
  <si>
    <t>&lt;#dbvalue(3_Piping_OSBL_Data;3;"Matl";)&gt;</t>
  </si>
  <si>
    <t>&lt;#dbvalue(3_Piping_ISBL_Data;3;"MH";)&gt;</t>
  </si>
  <si>
    <t>&lt;#dbvalue(3_Piping_OSBL_Data;3;"MH";)&gt;</t>
  </si>
  <si>
    <t>&lt;#dbvalue(3_Piping_ISBL_Data;3;"Labor";)&gt;</t>
  </si>
  <si>
    <t>&lt;#dbvalue(3_Piping_OSBL_Data;3;"Labor";)&gt;</t>
  </si>
  <si>
    <t>&lt;#dbvalue(3_Piping_ISBL_Data;4;"Matl";)&gt;</t>
  </si>
  <si>
    <t>&lt;#dbvalue(3_Piping_OSBL_Data;4;"Matl";)&gt;</t>
  </si>
  <si>
    <t>&lt;#dbvalue(3_Piping_ISBL_Data;4;"MH";)&gt;</t>
  </si>
  <si>
    <t>&lt;#dbvalue(3_Piping_OSBL_Data;4;"MH";)&gt;</t>
  </si>
  <si>
    <t>&lt;#dbvalue(3_Piping_ISBL_Data;4;"Labor";)&gt;</t>
  </si>
  <si>
    <t>&lt;#dbvalue(3_Piping_OSBL_Data;4;"Labor";)&gt;</t>
  </si>
  <si>
    <t>&lt;#dbvalue(3_Piping_ISBL_Data;5;"Matl";)&gt;</t>
  </si>
  <si>
    <t>&lt;#dbvalue(3_Piping_OSBL_Data;5;"Matl";)&gt;</t>
  </si>
  <si>
    <t>&lt;#dbvalue(3_Piping_ISBL_Data;5;"MH";)&gt;</t>
  </si>
  <si>
    <t>&lt;#dbvalue(3_Piping_OSBL_Data;5;"MH";)&gt;</t>
  </si>
  <si>
    <t>&lt;#dbvalue(3_Piping_ISBL_Data;5;"Labor";)&gt;</t>
  </si>
  <si>
    <t>&lt;#dbvalue(3_Piping_OSBL_Data;5;"Labor";)&gt;</t>
  </si>
  <si>
    <t>&lt;#dbvalue(3_Piping_ISBL_Data;6;"Matl";)&gt;</t>
  </si>
  <si>
    <t>&lt;#dbvalue(3_Piping_OSBL_Data;6;"Matl";)&gt;</t>
  </si>
  <si>
    <t>&lt;#dbvalue(3_Piping_ISBL_Data;6;"MH";)&gt;</t>
  </si>
  <si>
    <t>&lt;#dbvalue(3_Piping_OSBL_Data;6;"MH";)&gt;</t>
  </si>
  <si>
    <t>&lt;#dbvalue(3_Piping_ISBL_Data;6;"Labor";)&gt;</t>
  </si>
  <si>
    <t>&lt;#dbvalue(3_Piping_OSBL_Data;6;"Labor";)&gt;</t>
  </si>
  <si>
    <t>&lt;#dbvalue(3_Piping_ISBL_Data;7;"Matl";)&gt;</t>
  </si>
  <si>
    <t>&lt;#dbvalue(3_Piping_OSBL_Data;7;"Matl";)&gt;</t>
  </si>
  <si>
    <t>&lt;#dbvalue(3_Piping_ISBL_Data;7;"MH";)&gt;</t>
  </si>
  <si>
    <t>&lt;#dbvalue(3_Piping_OSBL_Data;7;"MH";)&gt;</t>
  </si>
  <si>
    <t>&lt;#dbvalue(3_Piping_ISBL_Data;7;"Labor";)&gt;</t>
  </si>
  <si>
    <t>&lt;#dbvalue(3_Piping_OSBL_Data;7;"Labor";)&gt;</t>
  </si>
  <si>
    <t>&lt;#dbvalue(3_Piping_ISBL_Data;8;"Matl";)&gt;</t>
  </si>
  <si>
    <t>&lt;#dbvalue(3_Piping_OSBL_Data;8;"Matl";)&gt;</t>
  </si>
  <si>
    <t>&lt;#dbvalue(3_Piping_ISBL_Data;8;"MH";)&gt;</t>
  </si>
  <si>
    <t>&lt;#dbvalue(3_Piping_OSBL_Data;8;"MH";)&gt;</t>
  </si>
  <si>
    <t>&lt;#dbvalue(3_Piping_ISBL_Data;8;"Labor";)&gt;</t>
  </si>
  <si>
    <t>&lt;#dbvalue(3_Piping_OSBL_Data;8;"Labor";)&gt;</t>
  </si>
  <si>
    <t>&lt;#dbvalue(3_Piping_ISBL_Data;9;"Matl";)&gt;</t>
  </si>
  <si>
    <t>&lt;#dbvalue(3_Piping_OSBL_Data;9;"Matl";)&gt;</t>
  </si>
  <si>
    <t>&lt;#dbvalue(3_Piping_ISBL_Data;9;"MH";)&gt;</t>
  </si>
  <si>
    <t>&lt;#dbvalue(3_Piping_OSBL_Data;9;"MH";)&gt;</t>
  </si>
  <si>
    <t>&lt;#dbvalue(3_Piping_ISBL_Data;9;"Labor";)&gt;</t>
  </si>
  <si>
    <t>&lt;#dbvalue(3_Piping_OSBL_Data;9;"Labor";)&gt;</t>
  </si>
  <si>
    <t>&lt;#dbvalue(3_Piping_ISBL_Data;10;"Matl";)&gt;</t>
  </si>
  <si>
    <t>&lt;#dbvalue(3_Piping_OSBL_Data;10;"Matl";)&gt;</t>
  </si>
  <si>
    <t>&lt;#dbvalue(3_Piping_ISBL_Data;10;"MH";)&gt;</t>
  </si>
  <si>
    <t>&lt;#dbvalue(3_Piping_OSBL_Data;10;"MH";)&gt;</t>
  </si>
  <si>
    <t>&lt;#dbvalue(3_Piping_ISBL_Data;10;"Labor";)&gt;</t>
  </si>
  <si>
    <t>&lt;#dbvalue(3_Piping_OSBL_Data;10;"Labor";)&gt;</t>
  </si>
  <si>
    <t>&lt;#dbvalue(3_Piping_ISBL_Data;11;"Matl";)&gt;</t>
  </si>
  <si>
    <t>&lt;#dbvalue(3_Piping_OSBL_Data;11;"Matl";)&gt;</t>
  </si>
  <si>
    <t>&lt;#dbvalue(3_Piping_ISBL_Data;11;"MH";)&gt;</t>
  </si>
  <si>
    <t>&lt;#dbvalue(3_Piping_OSBL_Data;11;"MH";)&gt;</t>
  </si>
  <si>
    <t>&lt;#dbvalue(3_Piping_ISBL_Data;11;"Labor";)&gt;</t>
  </si>
  <si>
    <t>&lt;#dbvalue(3_Piping_OSBL_Data;11;"Labor";)&gt;</t>
  </si>
  <si>
    <t>&lt;#dbvalue(3_Piping_ISBL_Data;12;"Matl";)&gt;</t>
  </si>
  <si>
    <t>&lt;#dbvalue(3_Piping_OSBL_Data;12;"Matl";)&gt;</t>
  </si>
  <si>
    <t>&lt;#dbvalue(3_Piping_ISBL_Data;12;"MH";)&gt;</t>
  </si>
  <si>
    <t>&lt;#dbvalue(3_Piping_OSBL_Data;12;"MH";)&gt;</t>
  </si>
  <si>
    <t>&lt;#dbvalue(3_Piping_ISBL_Data;12;"Labor";)&gt;</t>
  </si>
  <si>
    <t>&lt;#dbvalue(3_Piping_OSBL_Data;12;"Labor";)&gt;</t>
  </si>
  <si>
    <t>&lt;#dbvalue(3_Piping_ISBL_Data;13;"Matl";)&gt;</t>
  </si>
  <si>
    <t>&lt;#dbvalue(3_Piping_OSBL_Data;13;"Matl";)&gt;</t>
  </si>
  <si>
    <t>&lt;#dbvalue(3_Piping_ISBL_Data;13;"MH";)&gt;</t>
  </si>
  <si>
    <t>&lt;#dbvalue(3_Piping_OSBL_Data;13;"MH";)&gt;</t>
  </si>
  <si>
    <t>&lt;#dbvalue(3_Piping_ISBL_Data;13;"Labor";)&gt;</t>
  </si>
  <si>
    <t>&lt;#dbvalue(3_Piping_OSBL_Data;13;"Labor";)&gt;</t>
  </si>
  <si>
    <t>&lt;#dbvalue(3_Piping_ISBL_Data;14;"Matl";)&gt;</t>
  </si>
  <si>
    <t>&lt;#dbvalue(3_Piping_OSBL_Data;14;"Matl";)&gt;</t>
  </si>
  <si>
    <t>&lt;#dbvalue(3_Piping_ISBL_Data;14;"MH";)&gt;</t>
  </si>
  <si>
    <t>&lt;#dbvalue(3_Piping_OSBL_Data;14;"MH";)&gt;</t>
  </si>
  <si>
    <t>&lt;#dbvalue(3_Piping_ISBL_Data;14;"Labor";)&gt;</t>
  </si>
  <si>
    <t>&lt;#dbvalue(3_Piping_OSBL_Data;14;"Labor";)&gt;</t>
  </si>
  <si>
    <t>&lt;#dbvalue(3_Piping_ISBL_Data;15;"Matl";)&gt;</t>
  </si>
  <si>
    <t>&lt;#dbvalue(3_Piping_OSBL_Data;15;"Matl";)&gt;</t>
  </si>
  <si>
    <t>&lt;#dbvalue(3_Piping_ISBL_Data;15;"MH";)&gt;</t>
  </si>
  <si>
    <t>&lt;#dbvalue(3_Piping_OSBL_Data;15;"MH";)&gt;</t>
  </si>
  <si>
    <t>&lt;#dbvalue(3_Piping_ISBL_Data;15;"Labor";)&gt;</t>
  </si>
  <si>
    <t>&lt;#dbvalue(3_Piping_OSBL_Data;15;"Labor";)&gt;</t>
  </si>
  <si>
    <t>&lt;#dbvalue(3_Piping_ISBL_Data;16;"Matl";)&gt;</t>
  </si>
  <si>
    <t>&lt;#dbvalue(3_Piping_OSBL_Data;16;"Matl";)&gt;</t>
  </si>
  <si>
    <t>&lt;#dbvalue(3_Piping_ISBL_Data;16;"MH";)&gt;</t>
  </si>
  <si>
    <t>&lt;#dbvalue(3_Piping_OSBL_Data;16;"MH";)&gt;</t>
  </si>
  <si>
    <t>&lt;#dbvalue(3_Piping_ISBL_Data;16;"Labor";)&gt;</t>
  </si>
  <si>
    <t>&lt;#dbvalue(3_Piping_OSBL_Data;16;"Labor";)&gt;</t>
  </si>
  <si>
    <t>&lt;#dbvalue(3_Piping_OSBL_Data;0;"KEYQUANT";)&gt;</t>
  </si>
  <si>
    <t>&lt;#dbvalue(3_Piping_ISBL_Data;0;"KEYQUANT";)&gt;</t>
  </si>
  <si>
    <t>&lt;#dbvalue(3_Piping_OSBL_Data;1;"KEYQUANT";)&gt;</t>
  </si>
  <si>
    <t>&lt;#dbvalue(3_Piping_ISBL_Data;1;"KEYQUANT";)&gt;</t>
  </si>
  <si>
    <t>&lt;#dbvalue(3_Piping_OSBL_Data;2;"KEYQUANT";)&gt;</t>
  </si>
  <si>
    <t>&lt;#dbvalue(3_Piping_ISBL_Data;2;"KEYQUANT";)&gt;</t>
  </si>
  <si>
    <t>&lt;#dbvalue(3_Piping_OSBL_Data;3;"KEYQUANT";)&gt;</t>
  </si>
  <si>
    <t>&lt;#dbvalue(3_Piping_ISBL_Data;3;"KEYQUANT";)&gt;</t>
  </si>
  <si>
    <t>&lt;#dbvalue(3_Piping_OSBL_Data;4;"KEYQUANT";)&gt;</t>
  </si>
  <si>
    <t>&lt;#dbvalue(3_Piping_OSBL_Data;5;"KEYQUANT";)&gt;</t>
  </si>
  <si>
    <t>&lt;#dbvalue(3_Piping_OSBL_Data;6;"KEYQUANT";)&gt;</t>
  </si>
  <si>
    <t>&lt;#dbvalue(3_Piping_OSBL_Data;7;"KEYQUANT";)&gt;</t>
  </si>
  <si>
    <t>&lt;#dbvalue(3_Piping_OSBL_Data;8;"KEYQUANT";)&gt;</t>
  </si>
  <si>
    <t>&lt;#dbvalue(3_Piping_OSBL_Data;9;"KEYQUANT";)&gt;</t>
  </si>
  <si>
    <t>&lt;#dbvalue(3_Piping_OSBL_Data;10;"KEYQUANT";)&gt;</t>
  </si>
  <si>
    <t>&lt;#dbvalue(3_Piping_OSBL_Data;11;"KEYQUANT";)&gt;</t>
  </si>
  <si>
    <t>&lt;#dbvalue(3_Piping_OSBL_Data;12;"KEYQUANT";)&gt;</t>
  </si>
  <si>
    <t>&lt;#dbvalue(3_Piping_OSBL_Data;13;"KEYQUANT";)&gt;</t>
  </si>
  <si>
    <t>&lt;#dbvalue(3_Piping_OSBL_Data;14;"KEYQUANT";)&gt;</t>
  </si>
  <si>
    <t>&lt;#dbvalue(3_Piping_ISBL_Data;16;"KEYQUANT";)&gt;</t>
  </si>
  <si>
    <t>&lt;#dbvalue(3_Piping_OSBL_Data;16;"KEYQUANT";)&gt;</t>
  </si>
  <si>
    <t>&lt;#dbvalue(3_PipingByInstall_ISBL_Data;0;"KEYQUANT";)&gt;</t>
  </si>
  <si>
    <t>&lt;#dbvalue(3_PipingByInstall_OSBL_Data;0;"KEYQUANT";)&gt;</t>
  </si>
  <si>
    <t>&lt;#dbvalue(3_PipingByInstall_ISBL_Data;0;"Matl";)&gt;</t>
  </si>
  <si>
    <t>&lt;#dbvalue(3_PipingByInstall_OSBL_Data;0;"Matl";)&gt;</t>
  </si>
  <si>
    <t>&lt;#dbvalue(3_PipingByInstall_ISBL_Data;0;"MH";)&gt;</t>
  </si>
  <si>
    <t>&lt;#dbvalue(3_PipingByInstall_OSBL_Data;0;"MH";)&gt;</t>
  </si>
  <si>
    <t>&lt;#dbvalue(3_PipingByInstall_ISBL_Data;0;"Labor";)&gt;</t>
  </si>
  <si>
    <t>&lt;#dbvalue(3_PipingByInstall_OSBL_Data;0;"Labor";)&gt;</t>
  </si>
  <si>
    <t>&lt;#dbvalue(3_PipingByInstall_ISBL_Data;1;"KEYQUANT";)&gt;</t>
  </si>
  <si>
    <t>&lt;#dbvalue(3_PipingByInstall_OSBL_Data;1;"KEYQUANT";)&gt;</t>
  </si>
  <si>
    <t>&lt;#dbvalue(3_PipingByInstall_ISBL_Data;1;"Matl";)&gt;</t>
  </si>
  <si>
    <t>&lt;#dbvalue(3_PipingByInstall_OSBL_Data;1;"Matl";)&gt;</t>
  </si>
  <si>
    <t>&lt;#dbvalue(3_PipingByInstall_ISBL_Data;1;"MH";)&gt;</t>
  </si>
  <si>
    <t>&lt;#dbvalue(3_PipingByInstall_OSBL_Data;1;"MH";)&gt;</t>
  </si>
  <si>
    <t>&lt;#dbvalue(3_PipingByInstall_ISBL_Data;1;"Labor";)&gt;</t>
  </si>
  <si>
    <t>&lt;#dbvalue(3_PipingByInstall_OSBL_Data;1;"Labor";)&gt;</t>
  </si>
  <si>
    <t>&lt;#dbvalue(3_PipingBySize_ISBL_Data;0;"KEYQUANT";)&gt;</t>
  </si>
  <si>
    <t>&lt;#dbvalue(3_PipingBySize_OSBL_Data;0;"KEYQUANT";)&gt;</t>
  </si>
  <si>
    <t>&lt;#dbvalue(3_PipingBySize_ISBL_Data;0;"Matl";)&gt;</t>
  </si>
  <si>
    <t>&lt;#dbvalue(3_PipingBySize_OSBL_Data;0;"Matl";)&gt;</t>
  </si>
  <si>
    <t>&lt;#dbvalue(3_PipingBySize_ISBL_Data;0;"MH";)&gt;</t>
  </si>
  <si>
    <t>&lt;#dbvalue(3_PipingBySize_OSBL_Data;0;"MH";)&gt;</t>
  </si>
  <si>
    <t>&lt;#dbvalue(3_PipingBySize_ISBL_Data;0;"Labor";)&gt;</t>
  </si>
  <si>
    <t>&lt;#dbvalue(3_PipingBySize_OSBL_Data;0;"Labor";)&gt;</t>
  </si>
  <si>
    <t>&lt;#dbvalue(3_PipingBySize_ISBL_Data;1;"KEYQUANT";)&gt;</t>
  </si>
  <si>
    <t>&lt;#dbvalue(3_PipingBySize_OSBL_Data;1;"KEYQUANT";)&gt;</t>
  </si>
  <si>
    <t>&lt;#dbvalue(3_PipingBySize_ISBL_Data;1;"Matl";)&gt;</t>
  </si>
  <si>
    <t>&lt;#dbvalue(3_PipingBySize_OSBL_Data;1;"Matl";)&gt;</t>
  </si>
  <si>
    <t>&lt;#dbvalue(3_PipingBySize_ISBL_Data;1;"MH";)&gt;</t>
  </si>
  <si>
    <t>&lt;#dbvalue(3_PipingBySize_OSBL_Data;1;"MH";)&gt;</t>
  </si>
  <si>
    <t>&lt;#dbvalue(3_PipingBySize_ISBL_Data;1;"Labor";)&gt;</t>
  </si>
  <si>
    <t>&lt;#dbvalue(3_PipingBySize_OSBL_Data;1;"Labor";)&gt;</t>
  </si>
  <si>
    <t>&lt;#dbvalue(3_PipingBySize_ISBL_Data;2;"KEYQUANT";)&gt;</t>
  </si>
  <si>
    <t>&lt;#dbvalue(3_PipingBySize_OSBL_Data;2;"KEYQUANT";)&gt;</t>
  </si>
  <si>
    <t>&lt;#dbvalue(3_PipingBySize_ISBL_Data;2;"Matl";)&gt;</t>
  </si>
  <si>
    <t>&lt;#dbvalue(3_PipingBySize_OSBL_Data;2;"Matl";)&gt;</t>
  </si>
  <si>
    <t>&lt;#dbvalue(3_PipingBySize_ISBL_Data;2;"MH";)&gt;</t>
  </si>
  <si>
    <t>&lt;#dbvalue(3_PipingBySize_OSBL_Data;2;"MH";)&gt;</t>
  </si>
  <si>
    <t>&lt;#dbvalue(3_PipingBySize_ISBL_Data;2;"Labor";)&gt;</t>
  </si>
  <si>
    <t>&lt;#dbvalue(3_PipingBySize_OSBL_Data;2;"Labor";)&gt;</t>
  </si>
  <si>
    <t>&lt;#dbvalue(3_PipingBySize_ISBL_Data;3;"KEYQUANT";)&gt;</t>
  </si>
  <si>
    <t>&lt;#dbvalue(3_PipingBySize_OSBL_Data;3;"KEYQUANT";)&gt;</t>
  </si>
  <si>
    <t>&lt;#dbvalue(3_PipingBySize_ISBL_Data;3;"Matl";)&gt;</t>
  </si>
  <si>
    <t>&lt;#dbvalue(3_PipingBySize_OSBL_Data;3;"Matl";)&gt;</t>
  </si>
  <si>
    <t>&lt;#dbvalue(3_PipingBySize_ISBL_Data;3;"MH";)&gt;</t>
  </si>
  <si>
    <t>&lt;#dbvalue(3_PipingBySize_OSBL_Data;3;"MH";)&gt;</t>
  </si>
  <si>
    <t>&lt;#dbvalue(3_PipingBySize_ISBL_Data;3;"Labor";)&gt;</t>
  </si>
  <si>
    <t>&lt;#dbvalue(3_PipingBySize_OSBL_Data;3;"Labor";)&gt;</t>
  </si>
  <si>
    <t>&lt;#dbvalue(3_PipingBySize_ISBL_Data;4;"KEYQUANT";)&gt;</t>
  </si>
  <si>
    <t>&lt;#dbvalue(3_PipingBySize_OSBL_Data;4;"KEYQUANT";)&gt;</t>
  </si>
  <si>
    <t>&lt;#dbvalue(3_PipingBySize_ISBL_Data;4;"Matl";)&gt;</t>
  </si>
  <si>
    <t>&lt;#dbvalue(3_PipingBySize_OSBL_Data;4;"Matl";)&gt;</t>
  </si>
  <si>
    <t>&lt;#dbvalue(3_PipingBySize_ISBL_Data;4;"MH";)&gt;</t>
  </si>
  <si>
    <t>&lt;#dbvalue(3_PipingBySize_OSBL_Data;4;"MH";)&gt;</t>
  </si>
  <si>
    <t>&lt;#dbvalue(3_PipingBySize_ISBL_Data;4;"Labor";)&gt;</t>
  </si>
  <si>
    <t>&lt;#dbvalue(3_PipingBySize_OSBL_Data;4;"Labor";)&gt;</t>
  </si>
  <si>
    <t>&lt;#dbvalue(4_Civil_ISBL_Data;0;"KEYQUANT";)&gt;</t>
  </si>
  <si>
    <t>&lt;#dbvalue(4_Civil_OSBL_Data;0;"KEYQUANT";)&gt;</t>
  </si>
  <si>
    <t>&lt;#dbvalue(4_Civil_ISBL_Data;0;"Matl";)&gt;</t>
  </si>
  <si>
    <t>&lt;#dbvalue(4_Civil_OSBL_Data;0;"Matl";)&gt;</t>
  </si>
  <si>
    <t>&lt;#dbvalue(4_Civil_ISBL_Data;0;"MH";)&gt;</t>
  </si>
  <si>
    <t>&lt;#dbvalue(4_Civil_OSBL_Data;0;"MH";)&gt;</t>
  </si>
  <si>
    <t>&lt;#dbvalue(4_Civil_ISBL_Data;0;"Labor";)&gt;</t>
  </si>
  <si>
    <t>&lt;#dbvalue(4_Civil_OSBL_Data;0;"Labor";)&gt;</t>
  </si>
  <si>
    <t>&lt;#dbvalue(4_Civil_ISBL_Data;1;"KEYQUANT";)&gt;</t>
  </si>
  <si>
    <t>&lt;#dbvalue(4_Civil_OSBL_Data;1;"KEYQUANT";)&gt;</t>
  </si>
  <si>
    <t>&lt;#dbvalue(4_Civil_ISBL_Data;1;"Matl";)&gt;</t>
  </si>
  <si>
    <t>&lt;#dbvalue(4_Civil_OSBL_Data;1;"Matl";)&gt;</t>
  </si>
  <si>
    <t>&lt;#dbvalue(4_Civil_ISBL_Data;1;"MH";)&gt;</t>
  </si>
  <si>
    <t>&lt;#dbvalue(4_Civil_OSBL_Data;1;"MH";)&gt;</t>
  </si>
  <si>
    <t>&lt;#dbvalue(4_Civil_ISBL_Data;1;"Labor";)&gt;</t>
  </si>
  <si>
    <t>&lt;#dbvalue(4_Civil_OSBL_Data;1;"Labor";)&gt;</t>
  </si>
  <si>
    <t>&lt;#dbvalue(4_Civil_ISBL_Data;2;"KEYQUANT";)&gt;</t>
  </si>
  <si>
    <t>&lt;#dbvalue(4_Civil_OSBL_Data;2;"KEYQUANT";)&gt;</t>
  </si>
  <si>
    <t>&lt;#dbvalue(4_Civil_ISBL_Data;2;"Matl";)&gt;</t>
  </si>
  <si>
    <t>&lt;#dbvalue(4_Civil_OSBL_Data;2;"Matl";)&gt;</t>
  </si>
  <si>
    <t>&lt;#dbvalue(4_Civil_ISBL_Data;2;"MH";)&gt;</t>
  </si>
  <si>
    <t>&lt;#dbvalue(4_Civil_OSBL_Data;2;"MH";)&gt;</t>
  </si>
  <si>
    <t>&lt;#dbvalue(4_Civil_ISBL_Data;2;"Labor";)&gt;</t>
  </si>
  <si>
    <t>&lt;#dbvalue(4_Civil_OSBL_Data;2;"Labor";)&gt;</t>
  </si>
  <si>
    <t>&lt;#dbvalue(4_Civil_ISBL_Data;3;"KEYQUANT";)&gt;</t>
  </si>
  <si>
    <t>&lt;#dbvalue(4_Civil_OSBL_Data;3;"KEYQUANT";)&gt;</t>
  </si>
  <si>
    <t>&lt;#dbvalue(4_Civil_ISBL_Data;3;"Matl";)&gt;</t>
  </si>
  <si>
    <t>&lt;#dbvalue(4_Civil_OSBL_Data;3;"Matl";)&gt;</t>
  </si>
  <si>
    <t>&lt;#dbvalue(4_Civil_ISBL_Data;3;"MH";)&gt;</t>
  </si>
  <si>
    <t>&lt;#dbvalue(4_Civil_OSBL_Data;3;"MH";)&gt;</t>
  </si>
  <si>
    <t>&lt;#dbvalue(4_Civil_ISBL_Data;3;"Labor";)&gt;</t>
  </si>
  <si>
    <t>&lt;#dbvalue(4_Civil_OSBL_Data;3;"Labor";)&gt;</t>
  </si>
  <si>
    <t>&lt;#dbvalue(4_Civil_ISBL_Data;4;"KEYQUANT";)&gt;</t>
  </si>
  <si>
    <t>&lt;#dbvalue(4_Civil_OSBL_Data;4;"KEYQUANT";)&gt;</t>
  </si>
  <si>
    <t>&lt;#dbvalue(4_Civil_ISBL_Data;4;"Matl";)&gt;</t>
  </si>
  <si>
    <t>&lt;#dbvalue(4_Civil_OSBL_Data;4;"Matl";)&gt;</t>
  </si>
  <si>
    <t>&lt;#dbvalue(4_Civil_ISBL_Data;4;"MH";)&gt;</t>
  </si>
  <si>
    <t>&lt;#dbvalue(4_Civil_OSBL_Data;4;"MH";)&gt;</t>
  </si>
  <si>
    <t>&lt;#dbvalue(4_Civil_ISBL_Data;4;"Labor";)&gt;</t>
  </si>
  <si>
    <t>&lt;#dbvalue(4_Civil_OSBL_Data;4;"Labor";)&gt;</t>
  </si>
  <si>
    <t>&lt;#dbvalue(4_Civil_ISBL_Data;5;"KEYQUANT";)&gt;</t>
  </si>
  <si>
    <t>&lt;#dbvalue(4_Civil_OSBL_Data;5;"KEYQUANT";)&gt;</t>
  </si>
  <si>
    <t>&lt;#dbvalue(4_Civil_ISBL_Data;5;"Matl";)&gt;</t>
  </si>
  <si>
    <t>&lt;#dbvalue(4_Civil_OSBL_Data;5;"Matl";)&gt;</t>
  </si>
  <si>
    <t>&lt;#dbvalue(4_Civil_ISBL_Data;5;"MH";)&gt;</t>
  </si>
  <si>
    <t>&lt;#dbvalue(4_Civil_OSBL_Data;5;"MH";)&gt;</t>
  </si>
  <si>
    <t>&lt;#dbvalue(4_Civil_ISBL_Data;5;"Labor";)&gt;</t>
  </si>
  <si>
    <t>&lt;#dbvalue(4_Civil_OSBL_Data;5;"Labor";)&gt;</t>
  </si>
  <si>
    <t>&lt;#dbvalue(4_Civil_ISBL_Data;6;"KEYQUANT";)&gt;</t>
  </si>
  <si>
    <t>&lt;#dbvalue(4_Civil_OSBL_Data;6;"KEYQUANT";)&gt;</t>
  </si>
  <si>
    <t>&lt;#dbvalue(4_Civil_ISBL_Data;6;"Matl";)&gt;</t>
  </si>
  <si>
    <t>&lt;#dbvalue(4_Civil_OSBL_Data;6;"Matl";)&gt;</t>
  </si>
  <si>
    <t>&lt;#dbvalue(4_Civil_ISBL_Data;6;"MH";)&gt;</t>
  </si>
  <si>
    <t>&lt;#dbvalue(4_Civil_OSBL_Data;6;"MH";)&gt;</t>
  </si>
  <si>
    <t>&lt;#dbvalue(4_Civil_ISBL_Data;6;"Labor";)&gt;</t>
  </si>
  <si>
    <t>&lt;#dbvalue(4_Civil_OSBL_Data;6;"Labor";)&gt;</t>
  </si>
  <si>
    <t>&lt;#dbvalue(4_Civil_ISBL_Data;7;"KEYQUANT";)&gt;</t>
  </si>
  <si>
    <t>&lt;#dbvalue(4_Civil_OSBL_Data;7;"KEYQUANT";)&gt;</t>
  </si>
  <si>
    <t>&lt;#dbvalue(4_Civil_ISBL_Data;7;"Matl";)&gt;</t>
  </si>
  <si>
    <t>&lt;#dbvalue(4_Civil_OSBL_Data;7;"Matl";)&gt;</t>
  </si>
  <si>
    <t>&lt;#dbvalue(4_Civil_ISBL_Data;7;"MH";)&gt;</t>
  </si>
  <si>
    <t>&lt;#dbvalue(4_Civil_OSBL_Data;7;"MH";)&gt;</t>
  </si>
  <si>
    <t>&lt;#dbvalue(4_Civil_ISBL_Data;7;"Labor";)&gt;</t>
  </si>
  <si>
    <t>&lt;#dbvalue(4_Civil_OSBL_Data;7;"Labor";)&gt;</t>
  </si>
  <si>
    <t>&lt;#dbvalue(4_Civil_ISBL_Data;8;"Matl";)&gt;</t>
  </si>
  <si>
    <t>&lt;#dbvalue(4_Civil_OSBL_Data;8;"Matl";)&gt;</t>
  </si>
  <si>
    <t>&lt;#dbvalue(4_Civil_ISBL_Data;8;"MH";)&gt;</t>
  </si>
  <si>
    <t>&lt;#dbvalue(4_Civil_OSBL_Data;8;"MH";)&gt;</t>
  </si>
  <si>
    <t>&lt;#dbvalue(4_Civil_ISBL_Data;8;"Labor";)&gt;</t>
  </si>
  <si>
    <t>&lt;#dbvalue(4_Civil_OSBL_Data;8;"Labor";)&gt;</t>
  </si>
  <si>
    <t>&lt;#dbvalue(4_Civil_ISBL_Data;9;"Matl";)&gt;</t>
  </si>
  <si>
    <t>&lt;#dbvalue(4_Civil_OSBL_Data;9;"Matl";)&gt;</t>
  </si>
  <si>
    <t>&lt;#dbvalue(4_Civil_ISBL_Data;9;"MH";)&gt;</t>
  </si>
  <si>
    <t>&lt;#dbvalue(4_Civil_OSBL_Data;9;"MH";)&gt;</t>
  </si>
  <si>
    <t>&lt;#dbvalue(4_Civil_ISBL_Data;9;"Labor";)&gt;</t>
  </si>
  <si>
    <t>&lt;#dbvalue(4_Civil_OSBL_Data;9;"Labor";)&gt;</t>
  </si>
  <si>
    <t>&lt;#dbvalue(4_Civil_ISBL_Data;10;"Matl";)&gt;</t>
  </si>
  <si>
    <t>&lt;#dbvalue(4_Civil_OSBL_Data;10;"Matl";)&gt;</t>
  </si>
  <si>
    <t>&lt;#dbvalue(4_Civil_ISBL_Data;10;"MH";)&gt;</t>
  </si>
  <si>
    <t>&lt;#dbvalue(4_Civil_OSBL_Data;10;"MH";)&gt;</t>
  </si>
  <si>
    <t>&lt;#dbvalue(4_Civil_ISBL_Data;10;"Labor";)&gt;</t>
  </si>
  <si>
    <t>&lt;#dbvalue(4_Civil_OSBL_Data;10;"Labor";)&gt;</t>
  </si>
  <si>
    <t>&lt;#dbvalue(5_Steel_ISBL_Data;0;"KEYQUANT";)&gt;</t>
  </si>
  <si>
    <t>&lt;#dbvalue(5_Steel_OSBL_Data;0;"KEYQUANT";)&gt;</t>
  </si>
  <si>
    <t>&lt;#dbvalue(5_Steel_ISBL_Data;0;"Matl";)&gt;</t>
  </si>
  <si>
    <t>&lt;#dbvalue(5_Steel_OSBL_Data;0;"Matl";)&gt;</t>
  </si>
  <si>
    <t>&lt;#dbvalue(5_Steel_ISBL_Data;0;"MH";)&gt;</t>
  </si>
  <si>
    <t>&lt;#dbvalue(5_Steel_OSBL_Data;0;"MH";)&gt;</t>
  </si>
  <si>
    <t>&lt;#dbvalue(5_Steel_ISBL_Data;0;"Labor";)&gt;</t>
  </si>
  <si>
    <t>&lt;#dbvalue(5_Steel_OSBL_Data;0;"Labor";)&gt;</t>
  </si>
  <si>
    <t>&lt;#dbvalue(5_Steel_ISBL_Data;1;"KEYQUANT";)&gt;</t>
  </si>
  <si>
    <t>&lt;#dbvalue(5_Steel_OSBL_Data;1;"KEYQUANT";)&gt;</t>
  </si>
  <si>
    <t>&lt;#dbvalue(5_Steel_ISBL_Data;1;"Matl";)&gt;</t>
  </si>
  <si>
    <t>&lt;#dbvalue(5_Steel_OSBL_Data;1;"Matl";)&gt;</t>
  </si>
  <si>
    <t>&lt;#dbvalue(5_Steel_ISBL_Data;1;"MH";)&gt;</t>
  </si>
  <si>
    <t>&lt;#dbvalue(5_Steel_OSBL_Data;1;"MH";)&gt;</t>
  </si>
  <si>
    <t>&lt;#dbvalue(5_Steel_ISBL_Data;1;"Labor";)&gt;</t>
  </si>
  <si>
    <t>&lt;#dbvalue(5_Steel_OSBL_Data;1;"Labor";)&gt;</t>
  </si>
  <si>
    <t>&lt;#dbvalue(5_Steel_ISBL_Data;2;"KEYQUANT";)&gt;</t>
  </si>
  <si>
    <t>&lt;#dbvalue(5_Steel_OSBL_Data;2;"KEYQUANT";)&gt;</t>
  </si>
  <si>
    <t>&lt;#dbvalue(5_Steel_ISBL_Data;2;"Matl";)&gt;</t>
  </si>
  <si>
    <t>&lt;#dbvalue(5_Steel_OSBL_Data;2;"Matl";)&gt;</t>
  </si>
  <si>
    <t>&lt;#dbvalue(5_Steel_ISBL_Data;2;"MH";)&gt;</t>
  </si>
  <si>
    <t>&lt;#dbvalue(5_Steel_OSBL_Data;2;"MH";)&gt;</t>
  </si>
  <si>
    <t>&lt;#dbvalue(5_Steel_ISBL_Data;2;"Labor";)&gt;</t>
  </si>
  <si>
    <t>&lt;#dbvalue(5_Steel_OSBL_Data;2;"Labor";)&gt;</t>
  </si>
  <si>
    <t>&lt;#dbvalue(5_Steel_ISBL_Data;3;"KEYQUANT";)&gt;</t>
  </si>
  <si>
    <t>&lt;#dbvalue(5_Steel_OSBL_Data;3;"KEYQUANT";)&gt;</t>
  </si>
  <si>
    <t>&lt;#dbvalue(5_Steel_ISBL_Data;3;"Matl";)&gt;</t>
  </si>
  <si>
    <t>&lt;#dbvalue(5_Steel_OSBL_Data;3;"Matl";)&gt;</t>
  </si>
  <si>
    <t>&lt;#dbvalue(5_Steel_ISBL_Data;3;"MH";)&gt;</t>
  </si>
  <si>
    <t>&lt;#dbvalue(5_Steel_OSBL_Data;3;"MH";)&gt;</t>
  </si>
  <si>
    <t>&lt;#dbvalue(5_Steel_ISBL_Data;3;"Labor";)&gt;</t>
  </si>
  <si>
    <t>&lt;#dbvalue(5_Steel_OSBL_Data;3;"Labor";)&gt;</t>
  </si>
  <si>
    <t>&lt;#dbvalue(5_Steel_ISBL_Data;4;"KEYQUANT";)&gt;</t>
  </si>
  <si>
    <t>&lt;#dbvalue(5_Steel_OSBL_Data;4;"KEYQUANT";)&gt;</t>
  </si>
  <si>
    <t>&lt;#dbvalue(5_Steel_ISBL_Data;4;"Matl";)&gt;</t>
  </si>
  <si>
    <t>&lt;#dbvalue(5_Steel_OSBL_Data;4;"Matl";)&gt;</t>
  </si>
  <si>
    <t>&lt;#dbvalue(5_Steel_ISBL_Data;4;"MH";)&gt;</t>
  </si>
  <si>
    <t>&lt;#dbvalue(5_Steel_OSBL_Data;4;"MH";)&gt;</t>
  </si>
  <si>
    <t>&lt;#dbvalue(5_Steel_ISBL_Data;4;"Labor";)&gt;</t>
  </si>
  <si>
    <t>&lt;#dbvalue(5_Steel_OSBL_Data;4;"Labor";)&gt;</t>
  </si>
  <si>
    <t>&lt;#dbvalue(5_Steel_ISBL_Data;5;"KEYQUANT";)&gt;</t>
  </si>
  <si>
    <t>&lt;#dbvalue(5_Steel_OSBL_Data;5;"KEYQUANT";)&gt;</t>
  </si>
  <si>
    <t>&lt;#dbvalue(5_Steel_ISBL_Data;5;"Matl";)&gt;</t>
  </si>
  <si>
    <t>&lt;#dbvalue(5_Steel_OSBL_Data;5;"Matl";)&gt;</t>
  </si>
  <si>
    <t>&lt;#dbvalue(5_Steel_ISBL_Data;5;"MH";)&gt;</t>
  </si>
  <si>
    <t>&lt;#dbvalue(5_Steel_OSBL_Data;5;"MH";)&gt;</t>
  </si>
  <si>
    <t>&lt;#dbvalue(5_Steel_ISBL_Data;5;"Labor";)&gt;</t>
  </si>
  <si>
    <t>&lt;#dbvalue(5_Steel_OSBL_Data;5;"Labor";)&gt;</t>
  </si>
  <si>
    <t>&lt;#dbvalue(5_Steel_ISBL_Data;6;"KEYQUANT";)&gt;</t>
  </si>
  <si>
    <t>&lt;#dbvalue(5_Steel_OSBL_Data;6;"KEYQUANT";)&gt;</t>
  </si>
  <si>
    <t>&lt;#dbvalue(5_Steel_ISBL_Data;6;"Matl";)&gt;</t>
  </si>
  <si>
    <t>&lt;#dbvalue(5_Steel_OSBL_Data;6;"Matl";)&gt;</t>
  </si>
  <si>
    <t>&lt;#dbvalue(5_Steel_ISBL_Data;6;"MH";)&gt;</t>
  </si>
  <si>
    <t>&lt;#dbvalue(5_Steel_OSBL_Data;6;"MH";)&gt;</t>
  </si>
  <si>
    <t>&lt;#dbvalue(5_Steel_ISBL_Data;6;"Labor";)&gt;</t>
  </si>
  <si>
    <t>&lt;#dbvalue(5_Steel_OSBL_Data;6;"Labor";)&gt;</t>
  </si>
  <si>
    <t>&lt;#dbvalue(5_Steel_ISBL_Data;7;"KEYQUANT";)&gt;</t>
  </si>
  <si>
    <t>&lt;#dbvalue(5_Steel_OSBL_Data;7;"KEYQUANT";)&gt;</t>
  </si>
  <si>
    <t>&lt;#dbvalue(5_Steel_ISBL_Data;7;"Matl";)&gt;</t>
  </si>
  <si>
    <t>&lt;#dbvalue(5_Steel_OSBL_Data;7;"Matl";)&gt;</t>
  </si>
  <si>
    <t>&lt;#dbvalue(5_Steel_ISBL_Data;7;"MH";)&gt;</t>
  </si>
  <si>
    <t>&lt;#dbvalue(5_Steel_OSBL_Data;7;"MH";)&gt;</t>
  </si>
  <si>
    <t>&lt;#dbvalue(5_Steel_ISBL_Data;7;"Labor";)&gt;</t>
  </si>
  <si>
    <t>&lt;#dbvalue(5_Steel_OSBL_Data;7;"Labor";)&gt;</t>
  </si>
  <si>
    <t>&lt;#dbvalue(6_Instrumentation_ISBL_Data;0;"KEYQUANT";)&gt;</t>
  </si>
  <si>
    <t>&lt;#dbvalue(6_Instrumentation_OSBL_Data;0;"KEYQUANT";)&gt;</t>
  </si>
  <si>
    <t>&lt;#dbvalue(6_Instrumentation_ISBL_Data;0;"Matl";)&gt;</t>
  </si>
  <si>
    <t>&lt;#dbvalue(6_Instrumentation_OSBL_Data;0;"Matl";)&gt;</t>
  </si>
  <si>
    <t>&lt;#dbvalue(6_Instrumentation_ISBL_Data;0;"MH";)&gt;</t>
  </si>
  <si>
    <t>&lt;#dbvalue(6_Instrumentation_OSBL_Data;0;"MH";)&gt;</t>
  </si>
  <si>
    <t>&lt;#dbvalue(6_Instrumentation_ISBL_Data;0;"Labor";)&gt;</t>
  </si>
  <si>
    <t>&lt;#dbvalue(6_Instrumentation_OSBL_Data;0;"Labor";)&gt;</t>
  </si>
  <si>
    <t>&lt;#dbvalue(6_Instrumentation_ISBL_Data;1;"KEYQUANT";)&gt;</t>
  </si>
  <si>
    <t>&lt;#dbvalue(6_Instrumentation_OSBL_Data;1;"KEYQUANT";)&gt;</t>
  </si>
  <si>
    <t>&lt;#dbvalue(6_Instrumentation_ISBL_Data;1;"Matl";)&gt;</t>
  </si>
  <si>
    <t>&lt;#dbvalue(6_Instrumentation_OSBL_Data;1;"Matl";)&gt;</t>
  </si>
  <si>
    <t>&lt;#dbvalue(6_Instrumentation_ISBL_Data;1;"MH";)&gt;</t>
  </si>
  <si>
    <t>&lt;#dbvalue(6_Instrumentation_OSBL_Data;1;"MH";)&gt;</t>
  </si>
  <si>
    <t>&lt;#dbvalue(6_Instrumentation_ISBL_Data;1;"Labor";)&gt;</t>
  </si>
  <si>
    <t>&lt;#dbvalue(6_Instrumentation_OSBL_Data;1;"Labor";)&gt;</t>
  </si>
  <si>
    <t>&lt;#dbvalue(6_Instrumentation_ISBL_Data;2;"KEYQUANT";)&gt;</t>
  </si>
  <si>
    <t>&lt;#dbvalue(6_Instrumentation_OSBL_Data;2;"KEYQUANT";)&gt;</t>
  </si>
  <si>
    <t>&lt;#dbvalue(6_Instrumentation_ISBL_Data;2;"Matl";)&gt;</t>
  </si>
  <si>
    <t>&lt;#dbvalue(6_Instrumentation_OSBL_Data;2;"Matl";)&gt;</t>
  </si>
  <si>
    <t>&lt;#dbvalue(6_Instrumentation_ISBL_Data;2;"MH";)&gt;</t>
  </si>
  <si>
    <t>&lt;#dbvalue(6_Instrumentation_OSBL_Data;2;"MH";)&gt;</t>
  </si>
  <si>
    <t>&lt;#dbvalue(6_Instrumentation_ISBL_Data;2;"Labor";)&gt;</t>
  </si>
  <si>
    <t>&lt;#dbvalue(6_Instrumentation_OSBL_Data;2;"Labor";)&gt;</t>
  </si>
  <si>
    <t>&lt;#dbvalue(6_Instrumentation_ISBL_Data;3;"KEYQUANT";)&gt;</t>
  </si>
  <si>
    <t>&lt;#dbvalue(6_Instrumentation_OSBL_Data;3;"KEYQUANT";)&gt;</t>
  </si>
  <si>
    <t>&lt;#dbvalue(6_Instrumentation_ISBL_Data;3;"Matl";)&gt;</t>
  </si>
  <si>
    <t>&lt;#dbvalue(6_Instrumentation_OSBL_Data;3;"Matl";)&gt;</t>
  </si>
  <si>
    <t>&lt;#dbvalue(6_Instrumentation_ISBL_Data;3;"MH";)&gt;</t>
  </si>
  <si>
    <t>&lt;#dbvalue(6_Instrumentation_OSBL_Data;3;"MH";)&gt;</t>
  </si>
  <si>
    <t>&lt;#dbvalue(6_Instrumentation_ISBL_Data;3;"Labor";)&gt;</t>
  </si>
  <si>
    <t>&lt;#dbvalue(6_Instrumentation_OSBL_Data;3;"Labor";)&gt;</t>
  </si>
  <si>
    <t>&lt;#dbvalue(6_Instrumentation_ISBL_Data;4;"KEYQUANT";)&gt;</t>
  </si>
  <si>
    <t>&lt;#dbvalue(6_Instrumentation_OSBL_Data;4;"KEYQUANT";)&gt;</t>
  </si>
  <si>
    <t>&lt;#dbvalue(6_Instrumentation_ISBL_Data;4;"Matl";)&gt;</t>
  </si>
  <si>
    <t>&lt;#dbvalue(6_Instrumentation_OSBL_Data;4;"Matl";)&gt;</t>
  </si>
  <si>
    <t>&lt;#dbvalue(6_Instrumentation_ISBL_Data;4;"MH";)&gt;</t>
  </si>
  <si>
    <t>&lt;#dbvalue(6_Instrumentation_OSBL_Data;4;"MH";)&gt;</t>
  </si>
  <si>
    <t>&lt;#dbvalue(6_Instrumentation_ISBL_Data;4;"Labor";)&gt;</t>
  </si>
  <si>
    <t>&lt;#dbvalue(6_Instrumentation_OSBL_Data;4;"Labor";)&gt;</t>
  </si>
  <si>
    <t>&lt;#dbvalue(6_Instrumentation_ISBL_Data;5;"KEYQUANT";)&gt;</t>
  </si>
  <si>
    <t>&lt;#dbvalue(6_Instrumentation_OSBL_Data;5;"KEYQUANT";)&gt;</t>
  </si>
  <si>
    <t>&lt;#dbvalue(6_Instrumentation_ISBL_Data;5;"Matl";)&gt;</t>
  </si>
  <si>
    <t>&lt;#dbvalue(6_Instrumentation_OSBL_Data;5;"Matl";)&gt;</t>
  </si>
  <si>
    <t>&lt;#dbvalue(6_Instrumentation_ISBL_Data;5;"MH";)&gt;</t>
  </si>
  <si>
    <t>&lt;#dbvalue(6_Instrumentation_OSBL_Data;5;"MH";)&gt;</t>
  </si>
  <si>
    <t>&lt;#dbvalue(6_Instrumentation_ISBL_Data;5;"Labor";)&gt;</t>
  </si>
  <si>
    <t>&lt;#dbvalue(6_Instrumentation_OSBL_Data;5;"Labor";)&gt;</t>
  </si>
  <si>
    <t>&lt;#dbvalue(6_Instrumentation_ISBL_Data;6;"Matl";)&gt;</t>
  </si>
  <si>
    <t>&lt;#dbvalue(6_Instrumentation_OSBL_Data;6;"Matl";)&gt;</t>
  </si>
  <si>
    <t>&lt;#dbvalue(6_Instrumentation_ISBL_Data;6;"MH";)&gt;</t>
  </si>
  <si>
    <t>&lt;#dbvalue(6_Instrumentation_OSBL_Data;6;"MH";)&gt;</t>
  </si>
  <si>
    <t>&lt;#dbvalue(6_Instrumentation_ISBL_Data;6;"Labor";)&gt;</t>
  </si>
  <si>
    <t>&lt;#dbvalue(6_Instrumentation_OSBL_Data;6;"Labor";)&gt;</t>
  </si>
  <si>
    <t>&lt;#dbvalue(6_Instrumentation_ISBL_Data;7;"Matl";)&gt;</t>
  </si>
  <si>
    <t>&lt;#dbvalue(6_Instrumentation_OSBL_Data;7;"Matl";)&gt;</t>
  </si>
  <si>
    <t>&lt;#dbvalue(6_Instrumentation_ISBL_Data;7;"MH";)&gt;</t>
  </si>
  <si>
    <t>&lt;#dbvalue(6_Instrumentation_OSBL_Data;7;"MH";)&gt;</t>
  </si>
  <si>
    <t>&lt;#dbvalue(6_Instrumentation_ISBL_Data;7;"Labor";)&gt;</t>
  </si>
  <si>
    <t>&lt;#dbvalue(6_Instrumentation_OSBL_Data;7;"Labor";)&gt;</t>
  </si>
  <si>
    <t>&lt;#dbvalue(6_Instrumentation_ISBL_Data;8;"Matl";)&gt;</t>
  </si>
  <si>
    <t>&lt;#dbvalue(6_Instrumentation_OSBL_Data;8;"Matl";)&gt;</t>
  </si>
  <si>
    <t>&lt;#dbvalue(6_Instrumentation_ISBL_Data;8;"MH";)&gt;</t>
  </si>
  <si>
    <t>&lt;#dbvalue(6_Instrumentation_OSBL_Data;8;"MH";)&gt;</t>
  </si>
  <si>
    <t>&lt;#dbvalue(6_Instrumentation_ISBL_Data;8;"Labor";)&gt;</t>
  </si>
  <si>
    <t>&lt;#dbvalue(6_Instrumentation_OSBL_Data;8;"Labor";)&gt;</t>
  </si>
  <si>
    <t>&lt;#dbvalue(6_Instrumentation_ISBL_Data;9;"Matl";)&gt;</t>
  </si>
  <si>
    <t>&lt;#dbvalue(6_Instrumentation_OSBL_Data;9;"Matl";)&gt;</t>
  </si>
  <si>
    <t>&lt;#dbvalue(6_Instrumentation_ISBL_Data;9;"MH";)&gt;</t>
  </si>
  <si>
    <t>&lt;#dbvalue(6_Instrumentation_OSBL_Data;9;"MH";)&gt;</t>
  </si>
  <si>
    <t>&lt;#dbvalue(6_Instrumentation_ISBL_Data;9;"Labor";)&gt;</t>
  </si>
  <si>
    <t>&lt;#dbvalue(6_Instrumentation_OSBL_Data;9;"Labor";)&gt;</t>
  </si>
  <si>
    <t>&lt;#dbvalue(7_Electrical_ISBL_Data;0;"KEYQUANT";)&gt;</t>
  </si>
  <si>
    <t>&lt;#dbvalue(7_Electrical_OSBL_Data;0;"KEYQUANT";)&gt;</t>
  </si>
  <si>
    <t>&lt;#dbvalue(7_Electrical_ISBL_Data;0;"Matl";)&gt;</t>
  </si>
  <si>
    <t>&lt;#dbvalue(7_Electrical_OSBL_Data;0;"Matl";)&gt;</t>
  </si>
  <si>
    <t>&lt;#dbvalue(7_Electrical_ISBL_Data;0;"MH";)&gt;</t>
  </si>
  <si>
    <t>&lt;#dbvalue(7_Electrical_OSBL_Data;0;"MH";)&gt;</t>
  </si>
  <si>
    <t>&lt;#dbvalue(7_Electrical_ISBL_Data;0;"Labor";)&gt;</t>
  </si>
  <si>
    <t>&lt;#dbvalue(7_Electrical_OSBL_Data;0;"Labor";)&gt;</t>
  </si>
  <si>
    <t>&lt;#dbvalue(7_Electrical_ISBL_Data;1;"KEYQUANT";)&gt;</t>
  </si>
  <si>
    <t>&lt;#dbvalue(7_Electrical_OSBL_Data;1;"KEYQUANT";)&gt;</t>
  </si>
  <si>
    <t>&lt;#dbvalue(7_Electrical_ISBL_Data;1;"Matl";)&gt;</t>
  </si>
  <si>
    <t>&lt;#dbvalue(7_Electrical_OSBL_Data;1;"Matl";)&gt;</t>
  </si>
  <si>
    <t>&lt;#dbvalue(7_Electrical_ISBL_Data;1;"MH";)&gt;</t>
  </si>
  <si>
    <t>&lt;#dbvalue(7_Electrical_OSBL_Data;1;"MH";)&gt;</t>
  </si>
  <si>
    <t>&lt;#dbvalue(7_Electrical_ISBL_Data;1;"Labor";)&gt;</t>
  </si>
  <si>
    <t>&lt;#dbvalue(7_Electrical_OSBL_Data;1;"Labor";)&gt;</t>
  </si>
  <si>
    <t>&lt;#dbvalue(7_Electrical_ISBL_Data;2;"KEYQUANT";)&gt;</t>
  </si>
  <si>
    <t>&lt;#dbvalue(7_Electrical_OSBL_Data;2;"KEYQUANT";)&gt;</t>
  </si>
  <si>
    <t>&lt;#dbvalue(7_Electrical_ISBL_Data;2;"Matl";)&gt;</t>
  </si>
  <si>
    <t>&lt;#dbvalue(7_Electrical_OSBL_Data;2;"Matl";)&gt;</t>
  </si>
  <si>
    <t>&lt;#dbvalue(7_Electrical_ISBL_Data;2;"MH";)&gt;</t>
  </si>
  <si>
    <t>&lt;#dbvalue(7_Electrical_OSBL_Data;2;"MH";)&gt;</t>
  </si>
  <si>
    <t>&lt;#dbvalue(7_Electrical_ISBL_Data;2;"Labor";)&gt;</t>
  </si>
  <si>
    <t>&lt;#dbvalue(7_Electrical_OSBL_Data;2;"Labor";)&gt;</t>
  </si>
  <si>
    <t>&lt;#dbvalue(7_Electrical_ISBL_Data;3;"KEYQUANT";)&gt;</t>
  </si>
  <si>
    <t>&lt;#dbvalue(7_Electrical_OSBL_Data;3;"KEYQUANT";)&gt;</t>
  </si>
  <si>
    <t>&lt;#dbvalue(7_Electrical_ISBL_Data;3;"Matl";)&gt;</t>
  </si>
  <si>
    <t>&lt;#dbvalue(7_Electrical_OSBL_Data;3;"Matl";)&gt;</t>
  </si>
  <si>
    <t>&lt;#dbvalue(7_Electrical_ISBL_Data;3;"MH";)&gt;</t>
  </si>
  <si>
    <t>&lt;#dbvalue(7_Electrical_OSBL_Data;3;"MH";)&gt;</t>
  </si>
  <si>
    <t>&lt;#dbvalue(7_Electrical_ISBL_Data;3;"Labor";)&gt;</t>
  </si>
  <si>
    <t>&lt;#dbvalue(7_Electrical_OSBL_Data;3;"Labor";)&gt;</t>
  </si>
  <si>
    <t>&lt;#dbvalue(7_Electrical_ISBL_Data;4;"KEYQUANT";)&gt;</t>
  </si>
  <si>
    <t>&lt;#dbvalue(7_Electrical_OSBL_Data;4;"KEYQUANT";)&gt;</t>
  </si>
  <si>
    <t>&lt;#dbvalue(7_Electrical_ISBL_Data;4;"Matl";)&gt;</t>
  </si>
  <si>
    <t>&lt;#dbvalue(7_Electrical_OSBL_Data;4;"Matl";)&gt;</t>
  </si>
  <si>
    <t>&lt;#dbvalue(7_Electrical_ISBL_Data;4;"MH";)&gt;</t>
  </si>
  <si>
    <t>&lt;#dbvalue(7_Electrical_OSBL_Data;4;"MH";)&gt;</t>
  </si>
  <si>
    <t>&lt;#dbvalue(7_Electrical_ISBL_Data;4;"Labor";)&gt;</t>
  </si>
  <si>
    <t>&lt;#dbvalue(7_Electrical_OSBL_Data;4;"Labor";)&gt;</t>
  </si>
  <si>
    <t>&lt;#dbvalue(7_Electrical_ISBL_Data;5;"KEYQUANT";)&gt;</t>
  </si>
  <si>
    <t>&lt;#dbvalue(7_Electrical_OSBL_Data;5;"KEYQUANT";)&gt;</t>
  </si>
  <si>
    <t>&lt;#dbvalue(7_Electrical_ISBL_Data;5;"Matl";)&gt;</t>
  </si>
  <si>
    <t>&lt;#dbvalue(7_Electrical_OSBL_Data;5;"Matl";)&gt;</t>
  </si>
  <si>
    <t>&lt;#dbvalue(7_Electrical_ISBL_Data;5;"MH";)&gt;</t>
  </si>
  <si>
    <t>&lt;#dbvalue(7_Electrical_OSBL_Data;5;"MH";)&gt;</t>
  </si>
  <si>
    <t>&lt;#dbvalue(7_Electrical_ISBL_Data;5;"Labor";)&gt;</t>
  </si>
  <si>
    <t>&lt;#dbvalue(7_Electrical_OSBL_Data;5;"Labor";)&gt;</t>
  </si>
  <si>
    <t>&lt;#dbvalue(7_Electrical_ISBL_Data;6;"KEYQUANT";)&gt;</t>
  </si>
  <si>
    <t>&lt;#dbvalue(7_Electrical_OSBL_Data;6;"KEYQUANT";)&gt;</t>
  </si>
  <si>
    <t>&lt;#dbvalue(7_Electrical_ISBL_Data;6;"Matl";)&gt;</t>
  </si>
  <si>
    <t>&lt;#dbvalue(7_Electrical_OSBL_Data;6;"Matl";)&gt;</t>
  </si>
  <si>
    <t>&lt;#dbvalue(7_Electrical_ISBL_Data;6;"MH";)&gt;</t>
  </si>
  <si>
    <t>&lt;#dbvalue(7_Electrical_OSBL_Data;6;"MH";)&gt;</t>
  </si>
  <si>
    <t>&lt;#dbvalue(7_Electrical_ISBL_Data;6;"Labor";)&gt;</t>
  </si>
  <si>
    <t>&lt;#dbvalue(7_Electrical_OSBL_Data;6;"Labor";)&gt;</t>
  </si>
  <si>
    <t>&lt;#dbvalue(7_Electrical_ISBL_Data;7;"KEYQUANT";)&gt;</t>
  </si>
  <si>
    <t>&lt;#dbvalue(7_Electrical_OSBL_Data;7;"KEYQUANT";)&gt;</t>
  </si>
  <si>
    <t>&lt;#dbvalue(7_Electrical_ISBL_Data;7;"Matl";)&gt;</t>
  </si>
  <si>
    <t>&lt;#dbvalue(7_Electrical_OSBL_Data;7;"Matl";)&gt;</t>
  </si>
  <si>
    <t>&lt;#dbvalue(7_Electrical_ISBL_Data;7;"MH";)&gt;</t>
  </si>
  <si>
    <t>&lt;#dbvalue(7_Electrical_OSBL_Data;7;"MH";)&gt;</t>
  </si>
  <si>
    <t>&lt;#dbvalue(7_Electrical_ISBL_Data;7;"Labor";)&gt;</t>
  </si>
  <si>
    <t>&lt;#dbvalue(7_Electrical_OSBL_Data;7;"Labor";)&gt;</t>
  </si>
  <si>
    <t>&lt;#dbvalue(7_Electrical_ISBL_Data;8;"KEYQUANT";)&gt;</t>
  </si>
  <si>
    <t>&lt;#dbvalue(7_Electrical_OSBL_Data;8;"KEYQUANT";)&gt;</t>
  </si>
  <si>
    <t>&lt;#dbvalue(7_Electrical_ISBL_Data;8;"Matl";)&gt;</t>
  </si>
  <si>
    <t>&lt;#dbvalue(7_Electrical_OSBL_Data;8;"Matl";)&gt;</t>
  </si>
  <si>
    <t>&lt;#dbvalue(7_Electrical_ISBL_Data;8;"MH";)&gt;</t>
  </si>
  <si>
    <t>&lt;#dbvalue(7_Electrical_OSBL_Data;8;"MH";)&gt;</t>
  </si>
  <si>
    <t>&lt;#dbvalue(7_Electrical_ISBL_Data;8;"Labor";)&gt;</t>
  </si>
  <si>
    <t>&lt;#dbvalue(7_Electrical_OSBL_Data;8;"Labor";)&gt;</t>
  </si>
  <si>
    <t>&lt;#dbvalue(7_Electrical_ISBL_Data;9;"KEYQUANT";)&gt;</t>
  </si>
  <si>
    <t>&lt;#dbvalue(7_Electrical_OSBL_Data;9;"KEYQUANT";)&gt;</t>
  </si>
  <si>
    <t>&lt;#dbvalue(7_Electrical_ISBL_Data;9;"Matl";)&gt;</t>
  </si>
  <si>
    <t>&lt;#dbvalue(7_Electrical_OSBL_Data;9;"Matl";)&gt;</t>
  </si>
  <si>
    <t>&lt;#dbvalue(7_Electrical_ISBL_Data;9;"MH";)&gt;</t>
  </si>
  <si>
    <t>&lt;#dbvalue(7_Electrical_OSBL_Data;9;"MH";)&gt;</t>
  </si>
  <si>
    <t>&lt;#dbvalue(7_Electrical_ISBL_Data;9;"Labor";)&gt;</t>
  </si>
  <si>
    <t>&lt;#dbvalue(7_Electrical_OSBL_Data;9;"Labor";)&gt;</t>
  </si>
  <si>
    <t>&lt;#dbvalue(7_Electrical_ISBL_Data;10;"KEYQUANT";)&gt;</t>
  </si>
  <si>
    <t>&lt;#dbvalue(7_Electrical_OSBL_Data;10;"KEYQUANT";)&gt;</t>
  </si>
  <si>
    <t>&lt;#dbvalue(7_Electrical_ISBL_Data;10;"Matl";)&gt;</t>
  </si>
  <si>
    <t>&lt;#dbvalue(7_Electrical_OSBL_Data;10;"Matl";)&gt;</t>
  </si>
  <si>
    <t>&lt;#dbvalue(7_Electrical_ISBL_Data;10;"MH";)&gt;</t>
  </si>
  <si>
    <t>&lt;#dbvalue(7_Electrical_OSBL_Data;10;"MH";)&gt;</t>
  </si>
  <si>
    <t>&lt;#dbvalue(7_Electrical_ISBL_Data;10;"Labor";)&gt;</t>
  </si>
  <si>
    <t>&lt;#dbvalue(7_Electrical_OSBL_Data;10;"Labor";)&gt;</t>
  </si>
  <si>
    <t>&lt;#dbvalue(7_Electrical_ISBL_Data;11;"Matl";)&gt;</t>
  </si>
  <si>
    <t>&lt;#dbvalue(7_Electrical_OSBL_Data;11;"Matl";)&gt;</t>
  </si>
  <si>
    <t>&lt;#dbvalue(7_Electrical_ISBL_Data;11;"MH";)&gt;</t>
  </si>
  <si>
    <t>&lt;#dbvalue(7_Electrical_OSBL_Data;11;"MH";)&gt;</t>
  </si>
  <si>
    <t>&lt;#dbvalue(7_Electrical_ISBL_Data;11;"Labor";)&gt;</t>
  </si>
  <si>
    <t>&lt;#dbvalue(7_Electrical_OSBL_Data;11;"Labor";)&gt;</t>
  </si>
  <si>
    <t>&lt;#dbvalue(7_Electrical_ISBL_Data;12;"Matl";)&gt;</t>
  </si>
  <si>
    <t>&lt;#dbvalue(7_Electrical_OSBL_Data;12;"Matl";)&gt;</t>
  </si>
  <si>
    <t>&lt;#dbvalue(7_Electrical_ISBL_Data;12;"MH";)&gt;</t>
  </si>
  <si>
    <t>&lt;#dbvalue(7_Electrical_OSBL_Data;12;"MH";)&gt;</t>
  </si>
  <si>
    <t>&lt;#dbvalue(7_Electrical_ISBL_Data;12;"Labor";)&gt;</t>
  </si>
  <si>
    <t>&lt;#dbvalue(7_Electrical_OSBL_Data;12;"Labor";)&gt;</t>
  </si>
  <si>
    <t>&lt;#dbvalue(7_ElectricalByInstall_OSBL_Data;0;"KEYQUANT";)&gt;</t>
  </si>
  <si>
    <t>&lt;#dbvalue(7_ElectricalByInstall_OSBL_Data;0;"Matl";)&gt;</t>
  </si>
  <si>
    <t>&lt;#dbvalue(7_ElectricalByInstall_ISBL_Data;0;"MH";)&gt;</t>
  </si>
  <si>
    <t>&lt;#dbvalue(7_ElectricalByInstall_OSBL_Data;0;"MH";)&gt;</t>
  </si>
  <si>
    <t>&lt;#dbvalue(7_ElectricalByInstall_ISBL_Data;0;"Labor";)&gt;</t>
  </si>
  <si>
    <t>&lt;#dbvalue(7_ElectricalByInstall_OSBL_Data;0;"Labor";)&gt;</t>
  </si>
  <si>
    <t>&lt;#dbvalue(7_ElectricalByInstall_OSBL_Data;1;"KEYQUANT";)&gt;</t>
  </si>
  <si>
    <t>&lt;#dbvalue(7_ElectricalByInstall_OSBL_Data;1;"Matl";)&gt;</t>
  </si>
  <si>
    <t>&lt;#dbvalue(7_ElectricalByInstall_ISBL_Data;1;"MH";)&gt;</t>
  </si>
  <si>
    <t>&lt;#dbvalue(7_ElectricalByInstall_OSBL_Data;1;"MH";)&gt;</t>
  </si>
  <si>
    <t>&lt;#dbvalue(7_ElectricalByInstall_ISBL_Data;1;"Labor";)&gt;</t>
  </si>
  <si>
    <t>&lt;#dbvalue(7_ElectricalByInstall_OSBL_Data;1;"Labor";)&gt;</t>
  </si>
  <si>
    <t>&lt;#dbvalue(8_Insulation_OSBL_Data;0;"KEYQUANT";)&gt;</t>
  </si>
  <si>
    <t>&lt;#dbvalue(8_Insulation_ISBL_Data;0;"Matl";)&gt;</t>
  </si>
  <si>
    <t>&lt;#dbvalue(8_Insulation_OSBL_Data;0;"Matl";)&gt;</t>
  </si>
  <si>
    <t>&lt;#dbvalue(8_Insulation_ISBL_Data;0;"MH";)&gt;</t>
  </si>
  <si>
    <t>&lt;#dbvalue(8_Insulation_OSBL_Data;0;"MH";)&gt;</t>
  </si>
  <si>
    <t>&lt;#dbvalue(8_Insulation_ISBL_Data;0;"Labor";)&gt;</t>
  </si>
  <si>
    <t>&lt;#dbvalue(8_Insulation_OSBL_Data;0;"Labor";)&gt;</t>
  </si>
  <si>
    <t>&lt;#dbvalue(8_Insulation_OSBL_Data;1;"KEYQUANT";)&gt;</t>
  </si>
  <si>
    <t>&lt;#dbvalue(8_Insulation_ISBL_Data;1;"Matl";)&gt;</t>
  </si>
  <si>
    <t>&lt;#dbvalue(8_Insulation_OSBL_Data;1;"Matl";)&gt;</t>
  </si>
  <si>
    <t>&lt;#dbvalue(8_Insulation_ISBL_Data;1;"MH";)&gt;</t>
  </si>
  <si>
    <t>&lt;#dbvalue(8_Insulation_OSBL_Data;1;"MH";)&gt;</t>
  </si>
  <si>
    <t>&lt;#dbvalue(8_Insulation_ISBL_Data;1;"Labor";)&gt;</t>
  </si>
  <si>
    <t>&lt;#dbvalue(8_Insulation_OSBL_Data;1;"Labor";)&gt;</t>
  </si>
  <si>
    <t>&lt;#dbvalue(8_Insulation_OSBL_Data;2;"KEYQUANT";)&gt;</t>
  </si>
  <si>
    <t>&lt;#dbvalue(8_Insulation_ISBL_Data;2;"Matl";)&gt;</t>
  </si>
  <si>
    <t>&lt;#dbvalue(8_Insulation_OSBL_Data;2;"Matl";)&gt;</t>
  </si>
  <si>
    <t>&lt;#dbvalue(8_Insulation_ISBL_Data;2;"MH";)&gt;</t>
  </si>
  <si>
    <t>&lt;#dbvalue(8_Insulation_OSBL_Data;2;"MH";)&gt;</t>
  </si>
  <si>
    <t>&lt;#dbvalue(8_Insulation_ISBL_Data;2;"Labor";)&gt;</t>
  </si>
  <si>
    <t>&lt;#dbvalue(8_Insulation_OSBL_Data;2;"Labor";)&gt;</t>
  </si>
  <si>
    <t>&lt;#dbvalue(8_Insulation_OSBL_Data;3;"KEYQUANT";)&gt;</t>
  </si>
  <si>
    <t>&lt;#dbvalue(8_Insulation_ISBL_Data;3;"Matl";)&gt;</t>
  </si>
  <si>
    <t>&lt;#dbvalue(8_Insulation_OSBL_Data;3;"Matl";)&gt;</t>
  </si>
  <si>
    <t>&lt;#dbvalue(8_Insulation_ISBL_Data;3;"MH";)&gt;</t>
  </si>
  <si>
    <t>&lt;#dbvalue(8_Insulation_OSBL_Data;3;"MH";)&gt;</t>
  </si>
  <si>
    <t>&lt;#dbvalue(8_Insulation_ISBL_Data;3;"Labor";)&gt;</t>
  </si>
  <si>
    <t>&lt;#dbvalue(8_Insulation_OSBL_Data;3;"Labor";)&gt;</t>
  </si>
  <si>
    <t>&lt;#dbvalue(8_Insulation_ISBL_Data;4;"Matl";)&gt;</t>
  </si>
  <si>
    <t>&lt;#dbvalue(8_Insulation_OSBL_Data;4;"Matl";)&gt;</t>
  </si>
  <si>
    <t>&lt;#dbvalue(8_Insulation_ISBL_Data;4;"MH";)&gt;</t>
  </si>
  <si>
    <t>&lt;#dbvalue(8_Insulation_OSBL_Data;4;"MH";)&gt;</t>
  </si>
  <si>
    <t>&lt;#dbvalue(8_Insulation_ISBL_Data;4;"Labor";)&gt;</t>
  </si>
  <si>
    <t>&lt;#dbvalue(8_Insulation_OSBL_Data;4;"Labor";)&gt;</t>
  </si>
  <si>
    <t>&lt;#dbvalue(8_Insulation_ISBL_Data;5;"Matl";)&gt;</t>
  </si>
  <si>
    <t>&lt;#dbvalue(8_Insulation_OSBL_Data;5;"Matl";)&gt;</t>
  </si>
  <si>
    <t>&lt;#dbvalue(8_Insulation_ISBL_Data;5;"MH";)&gt;</t>
  </si>
  <si>
    <t>&lt;#dbvalue(8_Insulation_OSBL_Data;5;"MH";)&gt;</t>
  </si>
  <si>
    <t>&lt;#dbvalue(8_Insulation_ISBL_Data;5;"Labor";)&gt;</t>
  </si>
  <si>
    <t>&lt;#dbvalue(8_Insulation_OSBL_Data;5;"Labor";)&gt;</t>
  </si>
  <si>
    <t>&lt;#dbvalue(9_Paint_ISBL_Data;0;"KEYQUANT";)&gt;</t>
  </si>
  <si>
    <t>&lt;#dbvalue(9_Paint_OSBL_Data;0;"KEYQUANT";)&gt;</t>
  </si>
  <si>
    <t>&lt;#dbvalue(9_Paint_ISBL_Data;0;"Matl";)&gt;</t>
  </si>
  <si>
    <t>&lt;#dbvalue(9_Paint_OSBL_Data;0;"Matl";)&gt;</t>
  </si>
  <si>
    <t>&lt;#dbvalue(9_Paint_ISBL_Data;0;"MH";)&gt;</t>
  </si>
  <si>
    <t>&lt;#dbvalue(9_Paint_OSBL_Data;0;"MH";)&gt;</t>
  </si>
  <si>
    <t>&lt;#dbvalue(9_Paint_ISBL_Data;0;"Labor";)&gt;</t>
  </si>
  <si>
    <t>&lt;#dbvalue(9_Paint_OSBL_Data;0;"Labor";)&gt;</t>
  </si>
  <si>
    <t>&lt;#dbvalue(9_Paint_ISBL_Data;1;"KEYQUANT";)&gt;</t>
  </si>
  <si>
    <t>&lt;#dbvalue(9_Paint_OSBL_Data;1;"KEYQUANT";)&gt;</t>
  </si>
  <si>
    <t>&lt;#dbvalue(9_Paint_ISBL_Data;1;"Matl";)&gt;</t>
  </si>
  <si>
    <t>&lt;#dbvalue(9_Paint_OSBL_Data;1;"Matl";)&gt;</t>
  </si>
  <si>
    <t>&lt;#dbvalue(9_Paint_ISBL_Data;1;"MH";)&gt;</t>
  </si>
  <si>
    <t>&lt;#dbvalue(9_Paint_OSBL_Data;1;"MH";)&gt;</t>
  </si>
  <si>
    <t>&lt;#dbvalue(9_Paint_ISBL_Data;1;"Labor";)&gt;</t>
  </si>
  <si>
    <t>&lt;#dbvalue(9_Paint_OSBL_Data;1;"Labor";)&gt;</t>
  </si>
  <si>
    <t>&lt;#dbvalue(9_Paint_ISBL_Data;2;"KEYQUANT";)&gt;</t>
  </si>
  <si>
    <t>&lt;#dbvalue(9_Paint_OSBL_Data;2;"KEYQUANT";)&gt;</t>
  </si>
  <si>
    <t>&lt;#dbvalue(9_Paint_ISBL_Data;2;"Matl";)&gt;</t>
  </si>
  <si>
    <t>&lt;#dbvalue(9_Paint_OSBL_Data;2;"Matl";)&gt;</t>
  </si>
  <si>
    <t>&lt;#dbvalue(9_Paint_ISBL_Data;2;"MH";)&gt;</t>
  </si>
  <si>
    <t>&lt;#dbvalue(9_Paint_OSBL_Data;2;"MH";)&gt;</t>
  </si>
  <si>
    <t>&lt;#dbvalue(9_Paint_ISBL_Data;2;"Labor";)&gt;</t>
  </si>
  <si>
    <t>&lt;#dbvalue(9_Paint_OSBL_Data;2;"Labor";)&gt;</t>
  </si>
  <si>
    <t>&lt;#dbvalue(9_Paint_ISBL_Data;3;"KEYQUANT";)&gt;</t>
  </si>
  <si>
    <t>&lt;#dbvalue(9_Paint_OSBL_Data;3;"KEYQUANT";)&gt;</t>
  </si>
  <si>
    <t>&lt;#dbvalue(9_Paint_ISBL_Data;3;"Matl";)&gt;</t>
  </si>
  <si>
    <t>&lt;#dbvalue(9_Paint_OSBL_Data;3;"Matl";)&gt;</t>
  </si>
  <si>
    <t>&lt;#dbvalue(9_Paint_ISBL_Data;3;"MH";)&gt;</t>
  </si>
  <si>
    <t>&lt;#dbvalue(9_Paint_OSBL_Data;3;"MH";)&gt;</t>
  </si>
  <si>
    <t>&lt;#dbvalue(9_Paint_ISBL_Data;3;"Labor";)&gt;</t>
  </si>
  <si>
    <t>&lt;#dbvalue(9_Paint_OSBL_Data;3;"Labor";)&gt;</t>
  </si>
  <si>
    <t>&lt;#dbvalue(9_Paint_ISBL_Data;4;"KEYQUANT";)&gt;</t>
  </si>
  <si>
    <t>&lt;#dbvalue(9_Paint_OSBL_Data;4;"KEYQUANT";)&gt;</t>
  </si>
  <si>
    <t>&lt;#dbvalue(9_Paint_ISBL_Data;4;"Matl";)&gt;</t>
  </si>
  <si>
    <t>&lt;#dbvalue(9_Paint_OSBL_Data;4;"Matl";)&gt;</t>
  </si>
  <si>
    <t>&lt;#dbvalue(9_Paint_ISBL_Data;4;"MH";)&gt;</t>
  </si>
  <si>
    <t>&lt;#dbvalue(9_Paint_OSBL_Data;4;"MH";)&gt;</t>
  </si>
  <si>
    <t>&lt;#dbvalue(9_Paint_ISBL_Data;4;"Labor";)&gt;</t>
  </si>
  <si>
    <t>&lt;#dbvalue(9_Paint_OSBL_Data;4;"Labor";)&gt;</t>
  </si>
  <si>
    <t>&lt;#dbvalue(9_Paint_ISBL_Data;5;"KEYQUANT";)&gt;</t>
  </si>
  <si>
    <t>&lt;#dbvalue(9_Paint_OSBL_Data;5;"KEYQUANT";)&gt;</t>
  </si>
  <si>
    <t>&lt;#dbvalue(9_Paint_ISBL_Data;5;"Matl";)&gt;</t>
  </si>
  <si>
    <t>&lt;#dbvalue(9_Paint_OSBL_Data;5;"Matl";)&gt;</t>
  </si>
  <si>
    <t>&lt;#dbvalue(9_Paint_ISBL_Data;5;"MH";)&gt;</t>
  </si>
  <si>
    <t>&lt;#dbvalue(9_Paint_OSBL_Data;5;"MH";)&gt;</t>
  </si>
  <si>
    <t>&lt;#dbvalue(9_Paint_ISBL_Data;5;"Labor";)&gt;</t>
  </si>
  <si>
    <t>&lt;#dbvalue(9_Paint_OSBL_Data;5;"Labor";)&gt;</t>
  </si>
  <si>
    <t>&lt;#dbvalue(9_Paint_ISBL_Data;6;"KEYQUANT";)&gt;</t>
  </si>
  <si>
    <t>&lt;#dbvalue(9_Paint_OSBL_Data;6;"KEYQUANT";)&gt;</t>
  </si>
  <si>
    <t>&lt;#dbvalue(9_Paint_ISBL_Data;6;"Matl";)&gt;</t>
  </si>
  <si>
    <t>&lt;#dbvalue(9_Paint_OSBL_Data;6;"Matl";)&gt;</t>
  </si>
  <si>
    <t>&lt;#dbvalue(9_Paint_ISBL_Data;6;"MH";)&gt;</t>
  </si>
  <si>
    <t>&lt;#dbvalue(9_Paint_OSBL_Data;6;"MH";)&gt;</t>
  </si>
  <si>
    <t>&lt;#dbvalue(9_Paint_ISBL_Data;6;"Labor";)&gt;</t>
  </si>
  <si>
    <t>&lt;#dbvalue(9_Paint_OSBL_Data;6;"Labor";)&gt;</t>
  </si>
  <si>
    <t>&lt;#dbvalue(0_FieldOfficeIndirects;0;"DESCRIPTION";)&gt;</t>
  </si>
  <si>
    <t>&lt;#dbvalue(0_FieldOfficeIndirects;0;"MH";)&gt;</t>
  </si>
  <si>
    <t>&lt;#dbvalue(0_FieldOfficeIndirects;0;"Cost";)&gt;</t>
  </si>
  <si>
    <t>&lt;#dbvalue(0_FieldOfficeIndirects;1;"DESCRIPTION";)&gt;</t>
  </si>
  <si>
    <t>&lt;#dbvalue(0_FieldOfficeIndirects;1;"MH";)&gt;</t>
  </si>
  <si>
    <t>&lt;#dbvalue(0_FieldOfficeIndirects;1;"Cost";)&gt;</t>
  </si>
  <si>
    <t>&lt;#dbvalue(0_EngineeringAndProcurement;0;"DESCRIPTION";)&gt;</t>
  </si>
  <si>
    <t>&lt;#dbvalue(0_EngineeringAndProcurement;0;"MH";)&gt;</t>
  </si>
  <si>
    <t>&lt;#dbvalue(0_EngineeringAndProcurement;0;"Cost";)&gt;</t>
  </si>
  <si>
    <t>&lt;#dbvalue(0_EngineeringAndProcurement;1;"DESCRIPTION";)&gt;</t>
  </si>
  <si>
    <t>&lt;#dbvalue(0_EngineeringAndProcurement;1;"MH";)&gt;</t>
  </si>
  <si>
    <t>&lt;#dbvalue(0_EngineeringAndProcurement;1;"Cost";)&gt;</t>
  </si>
  <si>
    <t>&lt;#dbvalue(0_EngineeringAndProcurement;2;"DESCRIPTION";)&gt;</t>
  </si>
  <si>
    <t>&lt;#dbvalue(0_EngineeringAndProcurement;2;"MH";)&gt;</t>
  </si>
  <si>
    <t>&lt;#dbvalue(0_EngineeringAndProcurement;2;"Cost";)&gt;</t>
  </si>
  <si>
    <t>&lt;#dbvalue(0_EngineeringAndProcurement;3;"DESCRIPTION";)&gt;</t>
  </si>
  <si>
    <t>&lt;#dbvalue(0_EngineeringAndProcurement;3;"MH";)&gt;</t>
  </si>
  <si>
    <t>&lt;#dbvalue(0_EngineeringAndProcurement;3;"Cost";)&gt;</t>
  </si>
  <si>
    <t>&lt;#dbvalue(0_EngineeringAndProcurement;4;"DESCRIPTION";)&gt;</t>
  </si>
  <si>
    <t>&lt;#dbvalue(0_EngineeringAndProcurement;4;"MH";)&gt;</t>
  </si>
  <si>
    <t>&lt;#dbvalue(0_EngineeringAndProcurement;4;"Cost";)&gt;</t>
  </si>
  <si>
    <t>&lt;#dbvalue(0_EngineeringAndProcurement;5;"DESCRIPTION";)&gt;</t>
  </si>
  <si>
    <t>&lt;#dbvalue(0_EngineeringAndProcurement;5;"MH";)&gt;</t>
  </si>
  <si>
    <t>&lt;#dbvalue(0_EngineeringAndProcurement;5;"Cost";)&gt;</t>
  </si>
  <si>
    <t>&lt;#dbvalue(0_FreightIndirects;0;"DESCRIPTION";)&gt;</t>
  </si>
  <si>
    <t>&lt;#dbvalue(0_FreightIndirects;0;"MH";)&gt;</t>
  </si>
  <si>
    <t>&lt;#dbvalue(0_FreightIndirects;0;"Cost";)&gt;</t>
  </si>
  <si>
    <t>&lt;#dbvalue(0_FreightIndirects;1;"DESCRIPTION";)&gt;</t>
  </si>
  <si>
    <t>&lt;#dbvalue(0_FreightIndirects;1;"MH";)&gt;</t>
  </si>
  <si>
    <t>&lt;#dbvalue(0_FreightIndirects;1;"Cost";)&gt;</t>
  </si>
  <si>
    <t>&lt;#dbvalue(0_FreightIndirects;2;"DESCRIPTION";)&gt;</t>
  </si>
  <si>
    <t>&lt;#dbvalue(0_FreightIndirects;2;"MH";)&gt;</t>
  </si>
  <si>
    <t>&lt;#dbvalue(0_FreightIndirects;2;"Cost";)&gt;</t>
  </si>
  <si>
    <t>&lt;#dbvalue(0_FreightIndirects;3;"DESCRIPTION";)&gt;</t>
  </si>
  <si>
    <t>&lt;#dbvalue(0_FreightIndirects;3;"MH";)&gt;</t>
  </si>
  <si>
    <t>&lt;#dbvalue(0_FreightIndirects;3;"Cost";)&gt;</t>
  </si>
  <si>
    <t>&lt;#dbvalue(0_FreightIndirects;4;"DESCRIPTION";)&gt;</t>
  </si>
  <si>
    <t>&lt;#dbvalue(0_FreightIndirects;4;"MH";)&gt;</t>
  </si>
  <si>
    <t>&lt;#dbvalue(0_FreightIndirects;4;"Cost";)&gt;</t>
  </si>
  <si>
    <t>&lt;#dbvalue(0_FreightIndirects;5;"DESCRIPTION";)&gt;</t>
  </si>
  <si>
    <t>&lt;#dbvalue(0_FreightIndirects;5;"MH";)&gt;</t>
  </si>
  <si>
    <t>&lt;#dbvalue(0_FreightIndirects;5;"Cost";)&gt;</t>
  </si>
  <si>
    <t>&lt;#dbvalue(0_TaxesAndPermits;0;"DESCRIPTION";)&gt;</t>
  </si>
  <si>
    <t>&lt;#dbvalue(0_TaxesAndPermits;0;"MH";)&gt;</t>
  </si>
  <si>
    <t>&lt;#dbvalue(0_TaxesAndPermits;0;"Cost";)&gt;</t>
  </si>
  <si>
    <t>&lt;#dbvalue(0_TaxesAndPermits;1;"DESCRIPTION";)&gt;</t>
  </si>
  <si>
    <t>&lt;#dbvalue(0_TaxesAndPermits;1;"MH";)&gt;</t>
  </si>
  <si>
    <t>&lt;#dbvalue(0_TaxesAndPermits;1;"Cost";)&gt;</t>
  </si>
  <si>
    <t>&lt;#dbvalue(0_TaxesAndPermits;2;"DESCRIPTION";)&gt;</t>
  </si>
  <si>
    <t>&lt;#dbvalue(0_TaxesAndPermits;2;"MH";)&gt;</t>
  </si>
  <si>
    <t>&lt;#dbvalue(0_TaxesAndPermits;2;"Cost";)&gt;</t>
  </si>
  <si>
    <t>&lt;#dbvalue(0_TaxesAndPermits;3;"DESCRIPTION";)&gt;</t>
  </si>
  <si>
    <t>&lt;#dbvalue(0_TaxesAndPermits;3;"MH";)&gt;</t>
  </si>
  <si>
    <t>&lt;#dbvalue(0_TaxesAndPermits;3;"Cost";)&gt;</t>
  </si>
  <si>
    <t>&lt;#dbvalue(0_TaxesAndPermits;4;"DESCRIPTION";)&gt;</t>
  </si>
  <si>
    <t>&lt;#dbvalue(0_TaxesAndPermits;4;"MH";)&gt;</t>
  </si>
  <si>
    <t>&lt;#dbvalue(0_TaxesAndPermits;4;"Cost";)&gt;</t>
  </si>
  <si>
    <t>&lt;#dbvalue(0_TaxesAndPermits;5;"DESCRIPTION";)&gt;</t>
  </si>
  <si>
    <t>&lt;#dbvalue(0_TaxesAndPermits;5;"MH";)&gt;</t>
  </si>
  <si>
    <t>&lt;#dbvalue(0_TaxesAndPermits;5;"Cost";)&gt;</t>
  </si>
  <si>
    <t>&lt;#dbvalue(0_OtherIndirects;0;"DESCRIPTION";)&gt;</t>
  </si>
  <si>
    <t>&lt;#dbvalue(0_OtherIndirects;0;"MH";)&gt;</t>
  </si>
  <si>
    <t>&lt;#dbvalue(0_OtherIndirects;0;"Cost";)&gt;</t>
  </si>
  <si>
    <t>&lt;#dbvalue(0_OtherIndirects;1;"DESCRIPTION";)&gt;</t>
  </si>
  <si>
    <t>&lt;#dbvalue(0_OtherIndirects;1;"MH";)&gt;</t>
  </si>
  <si>
    <t>&lt;#dbvalue(0_OtherIndirects;1;"Cost";)&gt;</t>
  </si>
  <si>
    <t>&lt;#dbvalue(0_OtherIndirects;2;"DESCRIPTION";)&gt;</t>
  </si>
  <si>
    <t>&lt;#dbvalue(0_OtherIndirects;2;"MH";)&gt;</t>
  </si>
  <si>
    <t>&lt;#dbvalue(0_OtherIndirects;2;"Cost";)&gt;</t>
  </si>
  <si>
    <t>&lt;#dbvalue(0_OtherIndirects;3;"DESCRIPTION";)&gt;</t>
  </si>
  <si>
    <t>&lt;#dbvalue(0_OtherIndirects;3;"MH";)&gt;</t>
  </si>
  <si>
    <t>&lt;#dbvalue(0_OtherIndirects;3;"Cost";)&gt;</t>
  </si>
  <si>
    <t>&lt;#dbvalue(0_OtherIndirects;4;"DESCRIPTION";)&gt;</t>
  </si>
  <si>
    <t>&lt;#dbvalue(0_OtherIndirects;4;"MH";)&gt;</t>
  </si>
  <si>
    <t>&lt;#dbvalue(0_OtherIndirects;4;"Cost";)&gt;</t>
  </si>
  <si>
    <t>&lt;#dbvalue(0_OtherIndirects;5;"DESCRIPTION";)&gt;</t>
  </si>
  <si>
    <t>&lt;#dbvalue(0_OtherIndirects;5;"MH";)&gt;</t>
  </si>
  <si>
    <t>&lt;#dbvalue(0_OtherIndirects;5;"Cost";)&gt;</t>
  </si>
  <si>
    <t>&lt;#dbvalue(0_EscalationAndContingency;0;"DESCRIPTION";)&gt;</t>
  </si>
  <si>
    <t>&lt;#dbvalue(0_EscalationAndContingency;0;"MH";)&gt;</t>
  </si>
  <si>
    <t>&lt;#dbvalue(0_EscalationAndContingency;0;"Cost";)&gt;</t>
  </si>
  <si>
    <t>&lt;#dbvalue(0_EscalationAndContingency;1;"DESCRIPTION";)&gt;</t>
  </si>
  <si>
    <t>&lt;#dbvalue(0_EscalationAndContingency;1;"MH";)&gt;</t>
  </si>
  <si>
    <t>&lt;#dbvalue(0_EscalationAndContingency;1;"Cost";)&gt;</t>
  </si>
  <si>
    <t>&lt;#dbvalue(7_ElectricalByInstall_ISBL_Data;0;"KEYQUANT";)&gt;</t>
  </si>
  <si>
    <t>&lt;#dbvalue(7_ElectricalByInstall_ISBL_Data;1;"KEYQUANT";)&gt;</t>
  </si>
  <si>
    <t>&lt;#dbvalue(8_Insulation_ISBL_Data;0;"KEYQUANT";)&gt;</t>
  </si>
  <si>
    <t>&lt;#dbvalue(8_Insulation_ISBL_Data;1;"KEYQUANT";)&gt;</t>
  </si>
  <si>
    <t>&lt;#dbvalue(8_Insulation_ISBL_Data;2;"KEYQUANT";)&gt;</t>
  </si>
  <si>
    <t>&lt;#dbvalue(8_Insulation_ISBL_Data;3;"KEYQUANT";)&gt;</t>
  </si>
  <si>
    <t>&lt;#dbvalue(8_Insulation_ISBL_Data;0;"KEYUNITS";)&gt;</t>
  </si>
  <si>
    <t>&lt;#dbvalue(8_Insulation_ISBL_Data;1;"KEYUNITS";)&gt;</t>
  </si>
  <si>
    <t>&lt;#dbvalue(8_Insulation_ISBL_Data;2;"KEYUNITS";)&gt;</t>
  </si>
  <si>
    <t>&lt;#dbvalue(8_Insulation_ISBL_Data;3;"KEYUNITS";)&gt;</t>
  </si>
  <si>
    <t>&lt;#dbvalue(3_Piping_ISBL_Data;4;"KEYQUANT";)&gt;</t>
  </si>
  <si>
    <t>&lt;#dbvalue(3_Piping_ISBL_Data;5;"KEYQUANT";)&gt;</t>
  </si>
  <si>
    <t>&lt;#dbvalue(3_Piping_ISBL_Data;6;"KEYQUANT";)&gt;</t>
  </si>
  <si>
    <t>&lt;#dbvalue(3_Piping_ISBL_Data;7;"KEYQUANT";)&gt;</t>
  </si>
  <si>
    <t>&lt;#dbvalue(3_Piping_ISBL_Data;8;"KEYQUANT";)&gt;</t>
  </si>
  <si>
    <t>&lt;#dbvalue(3_Piping_ISBL_Data;9;"KEYQUANT";)&gt;</t>
  </si>
  <si>
    <t>&lt;#dbvalue(3_Piping_ISBL_Data;10;"KEYQUANT";)&gt;</t>
  </si>
  <si>
    <t>&lt;#dbvalue(3_Piping_ISBL_Data;11;"KEYQUANT";)&gt;</t>
  </si>
  <si>
    <t>&lt;#dbvalue(3_Piping_ISBL_Data;12;"KEYQUANT";)&gt;</t>
  </si>
  <si>
    <t>&lt;#dbvalue(3_Piping_ISBL_Data;13;"KEYQUANT";)&gt;</t>
  </si>
  <si>
    <t>&lt;#dbvalue(3_Piping_ISBL_Data;14;"KEYQUANT";)&gt;</t>
  </si>
  <si>
    <t>&lt;#dbvalue(7_ElectricalByInstall_ISBL_Data;0;"Matl";)&gt;</t>
  </si>
  <si>
    <t>&lt;#dbvalue(7_ElectricalByInstall_ISBL_Data;1;"Matl";)&gt;</t>
  </si>
  <si>
    <t>&lt;#dbvalue(0_SeismicHorizontalAcceleration;0;"VALUER";)&gt;</t>
  </si>
  <si>
    <t>&lt;#TBL_0_ConstructionIndirects.DESCRIPTION;&gt;</t>
  </si>
  <si>
    <t>&lt;#TBL_0_ConstructionIndirects.MH;&gt;</t>
  </si>
  <si>
    <t>&lt;#TBL_0_ConstructionIndirects.Cost;&gt;</t>
  </si>
  <si>
    <t>&lt;#IF(OR(NOT(ISBLANK($B61)), NOT(ISBLANK($C61)));&lt;#dbvalue(4_Civil_ISBL_Data;0;"KEYUNITS";)&gt;;)&gt;</t>
  </si>
  <si>
    <t>&lt;#IF(OR(NOT(ISBLANK($B62)), NOT(ISBLANK($C62)));&lt;#dbvalue(4_Civil_ISBL_Data;1;"KEYUNITS";)&gt;;)&gt;</t>
  </si>
  <si>
    <t>&lt;#IF(OR(NOT(ISBLANK($B63)), NOT(ISBLANK($C63)));&lt;#dbvalue(4_Civil_ISBL_Data;2;"KEYUNITS";)&gt;;)&gt;</t>
  </si>
  <si>
    <t>&lt;#IF(OR(NOT(ISBLANK($B64)), NOT(ISBLANK($C64)));&lt;#dbvalue(4_Civil_ISBL_Data;3;"KEYUNITS";)&gt;;)&gt;</t>
  </si>
  <si>
    <t>&lt;#IF(OR(NOT(ISBLANK($B65)), NOT(ISBLANK($C65)));&lt;#dbvalue(4_Civil_ISBL_Data;4;"KEYUNITS";)&gt;;)&gt;</t>
  </si>
  <si>
    <t>&lt;#IF(OR(NOT(ISBLANK($B66)), NOT(ISBLANK($C66)));&lt;#dbvalue(4_Civil_ISBL_Data;5;"KEYUNITS";)&gt;;)&gt;</t>
  </si>
  <si>
    <t>&lt;#IF(OR(NOT(ISBLANK($B67)), NOT(ISBLANK($C67)));&lt;#dbvalue(4_Civil_ISBL_Data;6;"KEYUNITS";)&gt;;)&gt;</t>
  </si>
  <si>
    <t>&lt;#IF(OR(NOT(ISBLANK($B68)), NOT(ISBLANK($C68)));&lt;#dbvalue(4_Civil_ISBL_Data;7;"KEYUNITS";)&gt;;)&gt;</t>
  </si>
  <si>
    <t>&lt;#dbvalue(TBL_0_ConstructionIndirects;0;"MH";)&gt;</t>
  </si>
  <si>
    <t>&lt;#dbvalue(TBL_0_ConstructionIndirects;1;"MH";)&gt;</t>
  </si>
  <si>
    <t>&lt;#dbvalue(TBL_0_ConstructionIndirects;2;"MH";)&gt;</t>
  </si>
  <si>
    <t>&lt;#dbvalue(TBL_0_ConstructionIndirects;3;"MH";)&gt;</t>
  </si>
  <si>
    <t>&lt;#dbvalue(TBL_0_ConstructionIndirects;4;"MH";)&gt;</t>
  </si>
  <si>
    <t>&lt;#dbvalue(TBL_0_ConstructionIndirects;5;"MH";)&gt;</t>
  </si>
  <si>
    <t>&lt;#dbvalue(TBL_0_ConstructionIndirects;6;"MH";)&gt;</t>
  </si>
  <si>
    <t>&lt;#dbvalue(TBL_0_ConstructionIndirects;7;"MH";)&gt;</t>
  </si>
  <si>
    <t>&lt;#dbvalue(TBL_0_ConstructionIndirects;8;"MH";)&gt;</t>
  </si>
  <si>
    <t>&lt;#dbvalue(TBL_0_ConstructionIndirects;9;"MH";)&gt;</t>
  </si>
  <si>
    <t>&lt;#dbvalue(TBL_0_ConstructionIndirects;10;"MH";)&gt;</t>
  </si>
  <si>
    <t>&lt;#dbvalue(TBL_0_ConstructionIndirects;11;"MH";)&gt;</t>
  </si>
  <si>
    <t>&lt;#dbvalue(TBL_0_ConstructionIndirects;12;"MH";)&gt;</t>
  </si>
  <si>
    <t>&lt;#dbvalue(TBL_0_ConstructionIndirects;13;"MH";)&gt;</t>
  </si>
  <si>
    <t>&lt;#dbvalue(TBL_0_ConstructionIndirects;0;"Cost";)&gt;</t>
  </si>
  <si>
    <t>&lt;#dbvalue(TBL_0_ConstructionIndirects;1;"Cost";)&gt;</t>
  </si>
  <si>
    <t>&lt;#dbvalue(TBL_0_ConstructionIndirects;2;"Cost";)&gt;</t>
  </si>
  <si>
    <t>&lt;#dbvalue(TBL_0_ConstructionIndirects;3;"Cost";)&gt;</t>
  </si>
  <si>
    <t>&lt;#dbvalue(TBL_0_ConstructionIndirects;4;"Cost";)&gt;</t>
  </si>
  <si>
    <t>&lt;#dbvalue(TBL_0_ConstructionIndirects;5;"Cost";)&gt;</t>
  </si>
  <si>
    <t>&lt;#dbvalue(TBL_0_ConstructionIndirects;6;"Cost";)&gt;</t>
  </si>
  <si>
    <t>&lt;#dbvalue(TBL_0_ConstructionIndirects;7;"Cost";)&gt;</t>
  </si>
  <si>
    <t>&lt;#dbvalue(TBL_0_ConstructionIndirects;8;"Cost";)&gt;</t>
  </si>
  <si>
    <t>&lt;#dbvalue(TBL_0_ConstructionIndirects;9;"Cost";)&gt;</t>
  </si>
  <si>
    <t>&lt;#dbvalue(TBL_0_ConstructionIndirects;10;"Cost";)&gt;</t>
  </si>
  <si>
    <t>&lt;#dbvalue(TBL_0_ConstructionIndirects;11;"Cost";)&gt;</t>
  </si>
  <si>
    <t>&lt;#dbvalue(TBL_0_ConstructionIndirects;12;"Cost";)&gt;</t>
  </si>
  <si>
    <t>&lt;#dbvalue(TBL_0_ConstructionIndirects;13;"Cost";)&gt;</t>
  </si>
  <si>
    <t>EQP_units</t>
  </si>
  <si>
    <t>KEYQUANT &gt; 0</t>
  </si>
  <si>
    <t>PIP_units</t>
  </si>
  <si>
    <t>STL_units</t>
  </si>
  <si>
    <t>&lt;#dbvalue(EQP_units;0;"KEYUNITS";)&gt;</t>
  </si>
  <si>
    <t>&lt;#dbvalue(PIP_units;0;"KEYUNITS";)&gt;</t>
  </si>
  <si>
    <t>&lt;#dbvalue(STL_units;0;"KEYUNITS";)&gt;</t>
  </si>
  <si>
    <t>ELC_units</t>
  </si>
  <si>
    <t>INS_units</t>
  </si>
  <si>
    <t>&lt;#dbvalue(ELC_units;0;"KEYUNITS";)&gt;</t>
  </si>
  <si>
    <t>&lt;#dbvalue(INS_units;0;"KEYUNITS";)&gt;</t>
  </si>
  <si>
    <t>PNT_units</t>
  </si>
  <si>
    <t>&lt;#dbvalue(PNT_units;0;"KEYUNITS";)&gt;</t>
  </si>
  <si>
    <t>2_Equipment_ISBL_Data</t>
  </si>
  <si>
    <t>3_PipingByInstall_ISBL_Data</t>
  </si>
  <si>
    <t>5_Steel_ISBL_Data</t>
  </si>
  <si>
    <t>7_ElectricalByInstall_ISBL_Data</t>
  </si>
  <si>
    <t>6_Instrumentation_ISBL_Data</t>
  </si>
  <si>
    <t>9_Paint_ISBL_Data</t>
  </si>
  <si>
    <t>KEYQUANT &gt; 0 AND KEYUNITS &lt;&gt; 'EACH'</t>
  </si>
  <si>
    <t>M2</t>
  </si>
  <si>
    <t>M3</t>
  </si>
  <si>
    <t>SY</t>
  </si>
  <si>
    <t>&lt;#IF(OR(NOT(ISBLANK($B109)), NOT(ISBLANK($C109)));&lt;#dbvalue(7_Electrical_ISBL_Data;10;"KEYUNITS";)&gt;;)&gt;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</si>
</sst>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7">
    <font>
      <sz val="11"/>
      <color indexed="8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FFFFFF"/>
      <name val="Calibri"/>
      <family val="2"/>
    </font>
    <font>
      <b/>
      <sz val="13"/>
      <color theme="3"/>
      <name val="等线"/>
      <family val="2"/>
      <scheme val="minor"/>
    </font>
    <font>
      <b/>
      <sz val="11"/>
      <color indexed="8"/>
      <name val="等线"/>
      <family val="2"/>
      <scheme val="minor"/>
    </font>
    <font>
      <sz val="11"/>
      <color rgb="FF3F3F76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2"/>
      <color indexed="8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rgb="FFC00000"/>
      <name val="等线"/>
      <family val="2"/>
      <scheme val="minor"/>
    </font>
    <font>
      <sz val="11"/>
      <name val="等线"/>
      <family val="2"/>
      <scheme val="minor"/>
    </font>
    <font>
      <sz val="12"/>
      <name val="等线"/>
      <family val="2"/>
      <scheme val="minor"/>
    </font>
    <font>
      <b/>
      <sz val="12"/>
      <name val="等线"/>
      <family val="2"/>
      <scheme val="minor"/>
    </font>
    <font>
      <b/>
      <sz val="11"/>
      <color rgb="FFC00000"/>
      <name val="Calibri"/>
      <family val="2"/>
    </font>
    <font>
      <b/>
      <sz val="11"/>
      <color theme="7" tint="-0.499984740745262"/>
      <name val="Calibri"/>
      <family val="2"/>
    </font>
    <font>
      <b/>
      <sz val="11"/>
      <color theme="0"/>
      <name val="Calibri"/>
      <family val="2"/>
    </font>
    <font>
      <b/>
      <sz val="11"/>
      <color theme="8" tint="-0.499984740745262"/>
      <name val="Calibri"/>
      <family val="2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AACE2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auto="1"/>
      </patternFill>
    </fill>
    <fill>
      <patternFill patternType="solid">
        <fgColor theme="4" tint="0.39994506668294322"/>
        <bgColor auto="1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theme="1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</borders>
  <cellStyleXfs count="10">
    <xf numFmtId="0" fontId="0" fillId="0" borderId="0"/>
    <xf numFmtId="0" fontId="11" fillId="0" borderId="1" applyNumberFormat="0" applyFill="0" applyAlignment="0" applyProtection="0"/>
    <xf numFmtId="0" fontId="13" fillId="4" borderId="2" applyNumberFormat="0" applyAlignment="0" applyProtection="0"/>
    <xf numFmtId="0" fontId="9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3" borderId="0" applyNumberFormat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</cellStyleXfs>
  <cellXfs count="141">
    <xf numFmtId="0" fontId="0" fillId="0" borderId="0" xfId="0"/>
    <xf numFmtId="0" fontId="10" fillId="2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Border="1"/>
    <xf numFmtId="0" fontId="0" fillId="3" borderId="7" xfId="0" applyFill="1" applyBorder="1"/>
    <xf numFmtId="0" fontId="0" fillId="3" borderId="7" xfId="0" applyFont="1" applyFill="1" applyBorder="1"/>
    <xf numFmtId="0" fontId="12" fillId="3" borderId="12" xfId="0" applyFont="1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12" xfId="0" applyFont="1" applyFill="1" applyBorder="1"/>
    <xf numFmtId="0" fontId="0" fillId="3" borderId="13" xfId="0" applyFill="1" applyBorder="1"/>
    <xf numFmtId="0" fontId="15" fillId="3" borderId="13" xfId="0" applyFont="1" applyFill="1" applyBorder="1"/>
    <xf numFmtId="0" fontId="13" fillId="4" borderId="17" xfId="2" applyBorder="1"/>
    <xf numFmtId="0" fontId="13" fillId="4" borderId="20" xfId="2" applyBorder="1"/>
    <xf numFmtId="0" fontId="12" fillId="3" borderId="11" xfId="0" applyFont="1" applyFill="1" applyBorder="1"/>
    <xf numFmtId="0" fontId="12" fillId="3" borderId="3" xfId="0" applyFont="1" applyFill="1" applyBorder="1"/>
    <xf numFmtId="0" fontId="0" fillId="3" borderId="34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3" xfId="0" applyFont="1" applyFill="1" applyBorder="1"/>
    <xf numFmtId="0" fontId="0" fillId="3" borderId="40" xfId="0" applyFill="1" applyBorder="1"/>
    <xf numFmtId="0" fontId="11" fillId="3" borderId="0" xfId="1" applyFill="1" applyBorder="1"/>
    <xf numFmtId="0" fontId="16" fillId="5" borderId="11" xfId="3" applyFont="1" applyBorder="1"/>
    <xf numFmtId="0" fontId="16" fillId="5" borderId="6" xfId="3" applyFont="1" applyBorder="1" applyAlignment="1">
      <alignment horizontal="center"/>
    </xf>
    <xf numFmtId="0" fontId="16" fillId="5" borderId="13" xfId="3" applyFont="1" applyBorder="1"/>
    <xf numFmtId="0" fontId="16" fillId="5" borderId="14" xfId="3" applyFont="1" applyBorder="1" applyAlignment="1">
      <alignment horizontal="center"/>
    </xf>
    <xf numFmtId="0" fontId="16" fillId="5" borderId="15" xfId="3" applyFont="1" applyBorder="1" applyAlignment="1">
      <alignment horizontal="center"/>
    </xf>
    <xf numFmtId="0" fontId="16" fillId="5" borderId="10" xfId="3" applyFont="1" applyBorder="1" applyAlignment="1">
      <alignment horizontal="center"/>
    </xf>
    <xf numFmtId="0" fontId="16" fillId="5" borderId="3" xfId="3" applyFont="1" applyBorder="1"/>
    <xf numFmtId="0" fontId="16" fillId="5" borderId="33" xfId="3" applyFont="1" applyBorder="1"/>
    <xf numFmtId="0" fontId="0" fillId="0" borderId="0" xfId="0" applyAlignment="1">
      <alignment wrapText="1"/>
    </xf>
    <xf numFmtId="0" fontId="17" fillId="3" borderId="36" xfId="0" applyFont="1" applyFill="1" applyBorder="1" applyAlignment="1">
      <alignment horizontal="right"/>
    </xf>
    <xf numFmtId="0" fontId="18" fillId="3" borderId="4" xfId="0" applyFont="1" applyFill="1" applyBorder="1"/>
    <xf numFmtId="0" fontId="18" fillId="3" borderId="36" xfId="0" applyFont="1" applyFill="1" applyBorder="1"/>
    <xf numFmtId="0" fontId="18" fillId="3" borderId="7" xfId="0" applyFont="1" applyFill="1" applyBorder="1"/>
    <xf numFmtId="0" fontId="18" fillId="3" borderId="25" xfId="0" applyFont="1" applyFill="1" applyBorder="1"/>
    <xf numFmtId="0" fontId="18" fillId="3" borderId="26" xfId="0" applyFont="1" applyFill="1" applyBorder="1"/>
    <xf numFmtId="0" fontId="19" fillId="6" borderId="40" xfId="2" applyFont="1" applyFill="1" applyBorder="1"/>
    <xf numFmtId="0" fontId="19" fillId="6" borderId="34" xfId="2" applyFont="1" applyFill="1" applyBorder="1"/>
    <xf numFmtId="0" fontId="19" fillId="6" borderId="9" xfId="2" applyFont="1" applyFill="1" applyBorder="1"/>
    <xf numFmtId="0" fontId="15" fillId="3" borderId="3" xfId="0" applyFont="1" applyFill="1" applyBorder="1"/>
    <xf numFmtId="0" fontId="15" fillId="3" borderId="40" xfId="0" applyFont="1" applyFill="1" applyBorder="1"/>
    <xf numFmtId="3" fontId="18" fillId="4" borderId="16" xfId="2" applyNumberFormat="1" applyFont="1" applyBorder="1"/>
    <xf numFmtId="3" fontId="18" fillId="4" borderId="21" xfId="2" applyNumberFormat="1" applyFont="1" applyBorder="1"/>
    <xf numFmtId="3" fontId="18" fillId="4" borderId="22" xfId="2" applyNumberFormat="1" applyFont="1" applyBorder="1"/>
    <xf numFmtId="3" fontId="18" fillId="6" borderId="41" xfId="2" applyNumberFormat="1" applyFont="1" applyFill="1" applyBorder="1"/>
    <xf numFmtId="2" fontId="18" fillId="6" borderId="27" xfId="2" applyNumberFormat="1" applyFont="1" applyFill="1" applyBorder="1"/>
    <xf numFmtId="2" fontId="18" fillId="6" borderId="29" xfId="2" applyNumberFormat="1" applyFont="1" applyFill="1" applyBorder="1"/>
    <xf numFmtId="49" fontId="18" fillId="6" borderId="17" xfId="2" applyNumberFormat="1" applyFont="1" applyFill="1" applyBorder="1"/>
    <xf numFmtId="49" fontId="18" fillId="4" borderId="2" xfId="2" applyNumberFormat="1" applyFont="1"/>
    <xf numFmtId="49" fontId="18" fillId="6" borderId="28" xfId="2" quotePrefix="1" applyNumberFormat="1" applyFont="1" applyFill="1" applyBorder="1"/>
    <xf numFmtId="2" fontId="0" fillId="3" borderId="4" xfId="0" applyNumberFormat="1" applyFill="1" applyBorder="1"/>
    <xf numFmtId="2" fontId="0" fillId="3" borderId="35" xfId="0" applyNumberFormat="1" applyFill="1" applyBorder="1"/>
    <xf numFmtId="2" fontId="0" fillId="3" borderId="34" xfId="0" applyNumberFormat="1" applyFill="1" applyBorder="1"/>
    <xf numFmtId="2" fontId="0" fillId="3" borderId="0" xfId="0" applyNumberFormat="1" applyFill="1" applyBorder="1"/>
    <xf numFmtId="2" fontId="0" fillId="3" borderId="33" xfId="0" applyNumberFormat="1" applyFill="1" applyBorder="1"/>
    <xf numFmtId="2" fontId="0" fillId="3" borderId="37" xfId="0" applyNumberFormat="1" applyFill="1" applyBorder="1"/>
    <xf numFmtId="2" fontId="0" fillId="3" borderId="6" xfId="0" applyNumberFormat="1" applyFill="1" applyBorder="1"/>
    <xf numFmtId="2" fontId="0" fillId="3" borderId="5" xfId="0" applyNumberFormat="1" applyFill="1" applyBorder="1"/>
    <xf numFmtId="2" fontId="18" fillId="3" borderId="4" xfId="0" applyNumberFormat="1" applyFont="1" applyFill="1" applyBorder="1"/>
    <xf numFmtId="2" fontId="18" fillId="3" borderId="35" xfId="0" applyNumberFormat="1" applyFont="1" applyFill="1" applyBorder="1"/>
    <xf numFmtId="2" fontId="18" fillId="3" borderId="7" xfId="0" applyNumberFormat="1" applyFont="1" applyFill="1" applyBorder="1"/>
    <xf numFmtId="2" fontId="18" fillId="3" borderId="39" xfId="0" applyNumberFormat="1" applyFont="1" applyFill="1" applyBorder="1"/>
    <xf numFmtId="2" fontId="18" fillId="3" borderId="24" xfId="0" applyNumberFormat="1" applyFont="1" applyFill="1" applyBorder="1"/>
    <xf numFmtId="2" fontId="18" fillId="3" borderId="8" xfId="0" applyNumberFormat="1" applyFont="1" applyFill="1" applyBorder="1"/>
    <xf numFmtId="2" fontId="18" fillId="3" borderId="38" xfId="0" applyNumberFormat="1" applyFont="1" applyFill="1" applyBorder="1"/>
    <xf numFmtId="2" fontId="0" fillId="3" borderId="8" xfId="0" applyNumberFormat="1" applyFill="1" applyBorder="1"/>
    <xf numFmtId="49" fontId="18" fillId="6" borderId="32" xfId="2" applyNumberFormat="1" applyFont="1" applyFill="1" applyBorder="1"/>
    <xf numFmtId="49" fontId="0" fillId="3" borderId="34" xfId="0" applyNumberFormat="1" applyFill="1" applyBorder="1"/>
    <xf numFmtId="49" fontId="18" fillId="3" borderId="35" xfId="0" applyNumberFormat="1" applyFont="1" applyFill="1" applyBorder="1"/>
    <xf numFmtId="49" fontId="18" fillId="3" borderId="39" xfId="0" applyNumberFormat="1" applyFont="1" applyFill="1" applyBorder="1"/>
    <xf numFmtId="49" fontId="18" fillId="3" borderId="38" xfId="0" applyNumberFormat="1" applyFont="1" applyFill="1" applyBorder="1"/>
    <xf numFmtId="49" fontId="18" fillId="4" borderId="17" xfId="2" applyNumberFormat="1" applyFont="1" applyBorder="1"/>
    <xf numFmtId="49" fontId="0" fillId="3" borderId="0" xfId="0" applyNumberFormat="1" applyFill="1" applyBorder="1"/>
    <xf numFmtId="49" fontId="19" fillId="6" borderId="33" xfId="2" applyNumberFormat="1" applyFont="1" applyFill="1" applyBorder="1"/>
    <xf numFmtId="0" fontId="18" fillId="3" borderId="0" xfId="0" applyFont="1" applyFill="1" applyBorder="1"/>
    <xf numFmtId="0" fontId="18" fillId="3" borderId="8" xfId="0" applyFont="1" applyFill="1" applyBorder="1"/>
    <xf numFmtId="0" fontId="18" fillId="3" borderId="0" xfId="0" applyFont="1" applyFill="1"/>
    <xf numFmtId="0" fontId="0" fillId="0" borderId="12" xfId="0" applyBorder="1"/>
    <xf numFmtId="0" fontId="20" fillId="5" borderId="3" xfId="3" applyFont="1" applyBorder="1"/>
    <xf numFmtId="0" fontId="18" fillId="3" borderId="6" xfId="0" applyFont="1" applyFill="1" applyBorder="1"/>
    <xf numFmtId="2" fontId="0" fillId="0" borderId="0" xfId="0" applyNumberFormat="1"/>
    <xf numFmtId="0" fontId="12" fillId="0" borderId="0" xfId="0" applyFont="1"/>
    <xf numFmtId="3" fontId="0" fillId="0" borderId="0" xfId="0" applyNumberFormat="1"/>
    <xf numFmtId="0" fontId="10" fillId="7" borderId="0" xfId="0" applyFont="1" applyFill="1" applyAlignment="1">
      <alignment vertical="center" wrapText="1"/>
    </xf>
    <xf numFmtId="0" fontId="18" fillId="6" borderId="17" xfId="2" applyNumberFormat="1" applyFont="1" applyFill="1" applyBorder="1"/>
    <xf numFmtId="0" fontId="0" fillId="6" borderId="8" xfId="0" applyNumberFormat="1" applyFill="1" applyBorder="1"/>
    <xf numFmtId="0" fontId="22" fillId="8" borderId="0" xfId="0" applyFont="1" applyFill="1" applyAlignment="1">
      <alignment vertical="center" wrapText="1"/>
    </xf>
    <xf numFmtId="0" fontId="23" fillId="9" borderId="0" xfId="0" applyFont="1" applyFill="1" applyAlignment="1">
      <alignment vertical="center" wrapText="1"/>
    </xf>
    <xf numFmtId="0" fontId="24" fillId="10" borderId="0" xfId="0" applyFont="1" applyFill="1" applyAlignment="1">
      <alignment vertical="center" wrapText="1"/>
    </xf>
    <xf numFmtId="0" fontId="0" fillId="0" borderId="43" xfId="0" applyBorder="1"/>
    <xf numFmtId="2" fontId="0" fillId="0" borderId="43" xfId="0" applyNumberFormat="1" applyBorder="1"/>
    <xf numFmtId="0" fontId="8" fillId="11" borderId="0" xfId="4" applyAlignment="1">
      <alignment wrapText="1"/>
    </xf>
    <xf numFmtId="0" fontId="8" fillId="12" borderId="0" xfId="5" applyAlignment="1">
      <alignment wrapText="1"/>
    </xf>
    <xf numFmtId="0" fontId="7" fillId="12" borderId="0" xfId="5" applyFont="1" applyAlignment="1">
      <alignment wrapText="1"/>
    </xf>
    <xf numFmtId="3" fontId="18" fillId="6" borderId="23" xfId="2" applyNumberFormat="1" applyFont="1" applyFill="1" applyBorder="1"/>
    <xf numFmtId="3" fontId="18" fillId="6" borderId="25" xfId="2" applyNumberFormat="1" applyFont="1" applyFill="1" applyBorder="1"/>
    <xf numFmtId="3" fontId="18" fillId="6" borderId="24" xfId="2" applyNumberFormat="1" applyFont="1" applyFill="1" applyBorder="1"/>
    <xf numFmtId="3" fontId="18" fillId="6" borderId="26" xfId="2" applyNumberFormat="1" applyFont="1" applyFill="1" applyBorder="1"/>
    <xf numFmtId="0" fontId="6" fillId="0" borderId="0" xfId="7"/>
    <xf numFmtId="0" fontId="6" fillId="0" borderId="44" xfId="7" applyBorder="1"/>
    <xf numFmtId="176" fontId="6" fillId="0" borderId="0" xfId="7" applyNumberFormat="1"/>
    <xf numFmtId="4" fontId="6" fillId="0" borderId="0" xfId="7" applyNumberFormat="1"/>
    <xf numFmtId="3" fontId="18" fillId="0" borderId="0" xfId="7" applyNumberFormat="1" applyFont="1" applyAlignment="1">
      <alignment horizontal="right"/>
    </xf>
    <xf numFmtId="0" fontId="6" fillId="0" borderId="0" xfId="7" applyAlignment="1">
      <alignment horizontal="left"/>
    </xf>
    <xf numFmtId="0" fontId="25" fillId="13" borderId="0" xfId="6"/>
    <xf numFmtId="0" fontId="6" fillId="14" borderId="0" xfId="8"/>
    <xf numFmtId="0" fontId="6" fillId="15" borderId="0" xfId="9"/>
    <xf numFmtId="3" fontId="18" fillId="4" borderId="2" xfId="2" applyNumberFormat="1" applyFont="1"/>
    <xf numFmtId="0" fontId="0" fillId="6" borderId="45" xfId="0" applyNumberFormat="1" applyFill="1" applyBorder="1"/>
    <xf numFmtId="0" fontId="18" fillId="6" borderId="45" xfId="2" applyNumberFormat="1" applyFont="1" applyFill="1" applyBorder="1"/>
    <xf numFmtId="0" fontId="18" fillId="6" borderId="46" xfId="2" applyNumberFormat="1" applyFont="1" applyFill="1" applyBorder="1"/>
    <xf numFmtId="0" fontId="18" fillId="6" borderId="30" xfId="2" applyNumberFormat="1" applyFont="1" applyFill="1" applyBorder="1"/>
    <xf numFmtId="0" fontId="18" fillId="6" borderId="47" xfId="2" applyNumberFormat="1" applyFont="1" applyFill="1" applyBorder="1"/>
    <xf numFmtId="3" fontId="18" fillId="4" borderId="17" xfId="2" applyNumberFormat="1" applyFont="1" applyBorder="1"/>
    <xf numFmtId="3" fontId="18" fillId="4" borderId="30" xfId="2" applyNumberFormat="1" applyFont="1" applyBorder="1"/>
    <xf numFmtId="3" fontId="18" fillId="4" borderId="18" xfId="2" applyNumberFormat="1" applyFont="1" applyBorder="1"/>
    <xf numFmtId="3" fontId="18" fillId="4" borderId="20" xfId="2" applyNumberFormat="1" applyFont="1" applyBorder="1"/>
    <xf numFmtId="3" fontId="18" fillId="6" borderId="31" xfId="2" applyNumberFormat="1" applyFont="1" applyFill="1" applyBorder="1"/>
    <xf numFmtId="3" fontId="19" fillId="6" borderId="41" xfId="2" applyNumberFormat="1" applyFont="1" applyFill="1" applyBorder="1"/>
    <xf numFmtId="3" fontId="18" fillId="6" borderId="27" xfId="2" applyNumberFormat="1" applyFont="1" applyFill="1" applyBorder="1"/>
    <xf numFmtId="3" fontId="18" fillId="6" borderId="29" xfId="2" applyNumberFormat="1" applyFont="1" applyFill="1" applyBorder="1"/>
    <xf numFmtId="3" fontId="18" fillId="4" borderId="19" xfId="2" applyNumberFormat="1" applyFont="1" applyBorder="1"/>
    <xf numFmtId="3" fontId="18" fillId="6" borderId="40" xfId="2" applyNumberFormat="1" applyFont="1" applyFill="1" applyBorder="1"/>
    <xf numFmtId="3" fontId="18" fillId="6" borderId="34" xfId="2" applyNumberFormat="1" applyFont="1" applyFill="1" applyBorder="1"/>
    <xf numFmtId="3" fontId="18" fillId="6" borderId="28" xfId="2" quotePrefix="1" applyNumberFormat="1" applyFont="1" applyFill="1" applyBorder="1"/>
    <xf numFmtId="3" fontId="18" fillId="6" borderId="42" xfId="2" applyNumberFormat="1" applyFont="1" applyFill="1" applyBorder="1"/>
    <xf numFmtId="0" fontId="5" fillId="0" borderId="0" xfId="7" applyFont="1"/>
    <xf numFmtId="0" fontId="13" fillId="4" borderId="17" xfId="2" applyNumberFormat="1" applyBorder="1"/>
    <xf numFmtId="0" fontId="4" fillId="0" borderId="0" xfId="7" applyFont="1"/>
    <xf numFmtId="0" fontId="3" fillId="0" borderId="0" xfId="7" applyFont="1"/>
    <xf numFmtId="0" fontId="2" fillId="0" borderId="0" xfId="7" applyFont="1"/>
    <xf numFmtId="0" fontId="1" fillId="0" borderId="0" xfId="7" applyFont="1"/>
    <xf numFmtId="3" fontId="19" fillId="6" borderId="40" xfId="2" applyNumberFormat="1" applyFont="1" applyFill="1" applyBorder="1" applyAlignment="1">
      <alignment horizontal="center"/>
    </xf>
    <xf numFmtId="3" fontId="19" fillId="6" borderId="34" xfId="2" applyNumberFormat="1" applyFont="1" applyFill="1" applyBorder="1" applyAlignment="1">
      <alignment horizontal="center"/>
    </xf>
    <xf numFmtId="3" fontId="19" fillId="6" borderId="33" xfId="2" applyNumberFormat="1" applyFont="1" applyFill="1" applyBorder="1" applyAlignment="1">
      <alignment horizontal="center"/>
    </xf>
    <xf numFmtId="0" fontId="16" fillId="5" borderId="4" xfId="3" applyFont="1" applyBorder="1" applyAlignment="1">
      <alignment horizontal="center"/>
    </xf>
    <xf numFmtId="0" fontId="16" fillId="5" borderId="5" xfId="3" applyFont="1" applyBorder="1" applyAlignment="1">
      <alignment horizontal="center"/>
    </xf>
    <xf numFmtId="0" fontId="16" fillId="5" borderId="6" xfId="3" applyFont="1" applyBorder="1" applyAlignment="1">
      <alignment horizontal="center"/>
    </xf>
    <xf numFmtId="3" fontId="19" fillId="6" borderId="40" xfId="2" applyNumberFormat="1" applyFont="1" applyFill="1" applyBorder="1"/>
    <xf numFmtId="3" fontId="19" fillId="6" borderId="33" xfId="2" applyNumberFormat="1" applyFont="1" applyFill="1" applyBorder="1"/>
  </cellXfs>
  <cellStyles count="10">
    <cellStyle name="20% - Accent5 2" xfId="8" xr:uid="{65146CCC-4CBC-42F6-9375-B7791B0A7EA8}"/>
    <cellStyle name="40% - Accent1" xfId="3" builtinId="31"/>
    <cellStyle name="60% - Accent1 2" xfId="9" xr:uid="{1D4B52F9-690B-41AE-9A5E-E80442FC9FBC}"/>
    <cellStyle name="60% - Accent2" xfId="4" builtinId="36"/>
    <cellStyle name="60% - Accent5" xfId="5" builtinId="48"/>
    <cellStyle name="Accent5" xfId="6" builtinId="45"/>
    <cellStyle name="Heading 2" xfId="1" builtinId="17"/>
    <cellStyle name="Input" xfId="2" builtinId="20"/>
    <cellStyle name="Normal" xfId="0" builtinId="0"/>
    <cellStyle name="Normal 2" xfId="7" xr:uid="{2E390B59-5750-400D-9278-18423C34F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IR2"/>
  <sheetViews>
    <sheetView workbookViewId="0"/>
  </sheetViews>
  <sheetFormatPr defaultRowHeight="14.25"/>
  <cols>
    <col min="1" max="9" width="10.75" customWidth="1" collapsed="1"/>
    <col min="10" max="13" width="10.75" customWidth="1"/>
    <col min="151" max="151" width="9.125" customWidth="1"/>
    <col min="915" max="915" width="9.125" customWidth="1"/>
    <col min="918" max="918" width="9.125" customWidth="1"/>
    <col min="924" max="924" width="9.125" customWidth="1"/>
  </cols>
  <sheetData>
    <row r="1" spans="1:928" s="30" customFormat="1" ht="75" customHeight="1">
      <c r="A1" s="1" t="s">
        <v>0</v>
      </c>
      <c r="B1" s="1" t="s">
        <v>1</v>
      </c>
      <c r="C1" s="1" t="s">
        <v>199</v>
      </c>
      <c r="D1" s="1" t="s">
        <v>200</v>
      </c>
      <c r="E1" s="1" t="s">
        <v>215</v>
      </c>
      <c r="F1" s="1" t="s">
        <v>206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20</v>
      </c>
      <c r="N1" s="1" t="s">
        <v>21</v>
      </c>
      <c r="O1" s="1" t="s">
        <v>24</v>
      </c>
      <c r="P1" s="1" t="s">
        <v>25</v>
      </c>
      <c r="Q1" s="1" t="s">
        <v>27</v>
      </c>
      <c r="R1" s="1" t="s">
        <v>26</v>
      </c>
      <c r="S1" s="1" t="s">
        <v>28</v>
      </c>
      <c r="T1" s="1" t="s">
        <v>29</v>
      </c>
      <c r="U1" s="1" t="s">
        <v>22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84" t="s">
        <v>297</v>
      </c>
      <c r="AB1" s="84" t="s">
        <v>298</v>
      </c>
      <c r="AC1" s="84" t="s">
        <v>299</v>
      </c>
      <c r="AD1" s="84" t="s">
        <v>300</v>
      </c>
      <c r="AE1" s="84" t="s">
        <v>301</v>
      </c>
      <c r="AF1" s="84" t="s">
        <v>302</v>
      </c>
      <c r="AG1" s="84" t="s">
        <v>303</v>
      </c>
      <c r="AH1" s="84" t="s">
        <v>304</v>
      </c>
      <c r="AI1" s="84" t="s">
        <v>305</v>
      </c>
      <c r="AJ1" s="84" t="s">
        <v>306</v>
      </c>
      <c r="AK1" s="84" t="s">
        <v>307</v>
      </c>
      <c r="AL1" s="84" t="s">
        <v>308</v>
      </c>
      <c r="AM1" s="84" t="s">
        <v>309</v>
      </c>
      <c r="AN1" s="84" t="s">
        <v>310</v>
      </c>
      <c r="AO1" s="84" t="s">
        <v>311</v>
      </c>
      <c r="AP1" s="84" t="s">
        <v>312</v>
      </c>
      <c r="AQ1" s="84" t="s">
        <v>313</v>
      </c>
      <c r="AR1" s="84" t="s">
        <v>314</v>
      </c>
      <c r="AS1" s="84" t="s">
        <v>315</v>
      </c>
      <c r="AT1" s="84" t="s">
        <v>316</v>
      </c>
      <c r="AU1" s="84" t="s">
        <v>317</v>
      </c>
      <c r="AV1" s="84" t="s">
        <v>318</v>
      </c>
      <c r="AW1" s="84" t="s">
        <v>319</v>
      </c>
      <c r="AX1" s="84" t="s">
        <v>320</v>
      </c>
      <c r="AY1" s="84" t="s">
        <v>321</v>
      </c>
      <c r="AZ1" s="84" t="s">
        <v>322</v>
      </c>
      <c r="BA1" s="84" t="s">
        <v>323</v>
      </c>
      <c r="BB1" s="84" t="s">
        <v>324</v>
      </c>
      <c r="BC1" s="84" t="s">
        <v>325</v>
      </c>
      <c r="BD1" s="84" t="s">
        <v>326</v>
      </c>
      <c r="BE1" s="84" t="s">
        <v>327</v>
      </c>
      <c r="BF1" s="84" t="s">
        <v>328</v>
      </c>
      <c r="BG1" s="84" t="s">
        <v>329</v>
      </c>
      <c r="BH1" s="84" t="s">
        <v>330</v>
      </c>
      <c r="BI1" s="84" t="s">
        <v>331</v>
      </c>
      <c r="BJ1" s="84" t="s">
        <v>332</v>
      </c>
      <c r="BK1" s="84" t="s">
        <v>333</v>
      </c>
      <c r="BL1" s="84" t="s">
        <v>334</v>
      </c>
      <c r="BM1" s="84" t="s">
        <v>335</v>
      </c>
      <c r="BN1" s="84" t="s">
        <v>336</v>
      </c>
      <c r="BO1" s="84" t="s">
        <v>337</v>
      </c>
      <c r="BP1" s="84" t="s">
        <v>338</v>
      </c>
      <c r="BQ1" s="84" t="s">
        <v>290</v>
      </c>
      <c r="BR1" s="84" t="s">
        <v>291</v>
      </c>
      <c r="BS1" s="84" t="s">
        <v>292</v>
      </c>
      <c r="BT1" s="84" t="s">
        <v>293</v>
      </c>
      <c r="BU1" s="84" t="s">
        <v>294</v>
      </c>
      <c r="BV1" s="84" t="s">
        <v>295</v>
      </c>
      <c r="BW1" s="84" t="s">
        <v>296</v>
      </c>
      <c r="BX1" s="84" t="s">
        <v>341</v>
      </c>
      <c r="BY1" s="84" t="s">
        <v>342</v>
      </c>
      <c r="BZ1" s="84" t="s">
        <v>343</v>
      </c>
      <c r="CA1" s="84" t="s">
        <v>344</v>
      </c>
      <c r="CB1" s="84" t="s">
        <v>345</v>
      </c>
      <c r="CC1" s="84" t="s">
        <v>346</v>
      </c>
      <c r="CD1" s="84" t="s">
        <v>347</v>
      </c>
      <c r="CE1" s="84" t="s">
        <v>348</v>
      </c>
      <c r="CF1" s="84" t="s">
        <v>349</v>
      </c>
      <c r="CG1" s="84" t="s">
        <v>350</v>
      </c>
      <c r="CH1" s="84" t="s">
        <v>351</v>
      </c>
      <c r="CI1" s="84" t="s">
        <v>352</v>
      </c>
      <c r="CJ1" s="84" t="s">
        <v>353</v>
      </c>
      <c r="CK1" s="84" t="s">
        <v>354</v>
      </c>
      <c r="CL1" s="84" t="s">
        <v>355</v>
      </c>
      <c r="CM1" s="84" t="s">
        <v>356</v>
      </c>
      <c r="CN1" s="84" t="s">
        <v>357</v>
      </c>
      <c r="CO1" s="84" t="s">
        <v>358</v>
      </c>
      <c r="CP1" s="84" t="s">
        <v>359</v>
      </c>
      <c r="CQ1" s="84" t="s">
        <v>360</v>
      </c>
      <c r="CR1" s="84" t="s">
        <v>361</v>
      </c>
      <c r="CS1" s="84" t="s">
        <v>362</v>
      </c>
      <c r="CT1" s="84" t="s">
        <v>363</v>
      </c>
      <c r="CU1" s="84" t="s">
        <v>364</v>
      </c>
      <c r="CV1" s="84" t="s">
        <v>365</v>
      </c>
      <c r="CW1" s="84" t="s">
        <v>366</v>
      </c>
      <c r="CX1" s="84" t="s">
        <v>367</v>
      </c>
      <c r="CY1" s="84" t="s">
        <v>368</v>
      </c>
      <c r="CZ1" s="84" t="s">
        <v>369</v>
      </c>
      <c r="DA1" s="84" t="s">
        <v>370</v>
      </c>
      <c r="DB1" s="84" t="s">
        <v>371</v>
      </c>
      <c r="DC1" s="84" t="s">
        <v>372</v>
      </c>
      <c r="DD1" s="84" t="s">
        <v>373</v>
      </c>
      <c r="DE1" s="84" t="s">
        <v>374</v>
      </c>
      <c r="DF1" s="84" t="s">
        <v>375</v>
      </c>
      <c r="DG1" s="84" t="s">
        <v>376</v>
      </c>
      <c r="DH1" s="84" t="s">
        <v>377</v>
      </c>
      <c r="DI1" s="84" t="s">
        <v>378</v>
      </c>
      <c r="DJ1" s="84" t="s">
        <v>379</v>
      </c>
      <c r="DK1" s="84" t="s">
        <v>388</v>
      </c>
      <c r="DL1" s="84" t="s">
        <v>389</v>
      </c>
      <c r="DM1" s="84" t="s">
        <v>390</v>
      </c>
      <c r="DN1" s="84" t="s">
        <v>391</v>
      </c>
      <c r="DO1" s="84" t="s">
        <v>392</v>
      </c>
      <c r="DP1" s="84" t="s">
        <v>393</v>
      </c>
      <c r="DQ1" s="84" t="s">
        <v>394</v>
      </c>
      <c r="DR1" s="84" t="s">
        <v>395</v>
      </c>
      <c r="DS1" s="84" t="s">
        <v>396</v>
      </c>
      <c r="DT1" s="84" t="s">
        <v>397</v>
      </c>
      <c r="DU1" s="84" t="s">
        <v>398</v>
      </c>
      <c r="DV1" s="84" t="s">
        <v>399</v>
      </c>
      <c r="DW1" s="84" t="s">
        <v>400</v>
      </c>
      <c r="DX1" s="84" t="s">
        <v>401</v>
      </c>
      <c r="DY1" s="84" t="s">
        <v>402</v>
      </c>
      <c r="DZ1" s="84" t="s">
        <v>403</v>
      </c>
      <c r="EA1" s="84" t="s">
        <v>404</v>
      </c>
      <c r="EB1" s="84" t="s">
        <v>405</v>
      </c>
      <c r="EC1" s="84" t="s">
        <v>406</v>
      </c>
      <c r="ED1" s="84" t="s">
        <v>407</v>
      </c>
      <c r="EE1" s="84" t="s">
        <v>408</v>
      </c>
      <c r="EF1" s="84" t="s">
        <v>409</v>
      </c>
      <c r="EG1" s="84" t="s">
        <v>410</v>
      </c>
      <c r="EH1" s="84" t="s">
        <v>411</v>
      </c>
      <c r="EI1" s="84" t="s">
        <v>412</v>
      </c>
      <c r="EJ1" s="84" t="s">
        <v>413</v>
      </c>
      <c r="EK1" s="84" t="s">
        <v>414</v>
      </c>
      <c r="EL1" s="84" t="s">
        <v>415</v>
      </c>
      <c r="EM1" s="84" t="s">
        <v>416</v>
      </c>
      <c r="EN1" s="84" t="s">
        <v>417</v>
      </c>
      <c r="EO1" s="84" t="s">
        <v>418</v>
      </c>
      <c r="EP1" s="84" t="s">
        <v>419</v>
      </c>
      <c r="EQ1" s="84" t="s">
        <v>421</v>
      </c>
      <c r="ER1" s="84" t="s">
        <v>422</v>
      </c>
      <c r="ES1" s="84" t="s">
        <v>423</v>
      </c>
      <c r="ET1" s="84" t="s">
        <v>424</v>
      </c>
      <c r="EU1" s="84" t="s">
        <v>437</v>
      </c>
      <c r="EV1" s="84" t="s">
        <v>438</v>
      </c>
      <c r="EW1" s="84" t="s">
        <v>427</v>
      </c>
      <c r="EX1" s="84" t="s">
        <v>428</v>
      </c>
      <c r="EY1" s="84" t="s">
        <v>429</v>
      </c>
      <c r="EZ1" s="84" t="s">
        <v>430</v>
      </c>
      <c r="FA1" s="84" t="s">
        <v>439</v>
      </c>
      <c r="FB1" s="84" t="s">
        <v>440</v>
      </c>
      <c r="FC1" s="84" t="s">
        <v>441</v>
      </c>
      <c r="FD1" s="84" t="s">
        <v>442</v>
      </c>
      <c r="FE1" s="84" t="s">
        <v>443</v>
      </c>
      <c r="FF1" s="84" t="s">
        <v>444</v>
      </c>
      <c r="FG1" s="84" t="s">
        <v>445</v>
      </c>
      <c r="FH1" s="84" t="s">
        <v>425</v>
      </c>
      <c r="FI1" s="84" t="s">
        <v>426</v>
      </c>
      <c r="FJ1" s="84" t="s">
        <v>446</v>
      </c>
      <c r="FK1" s="84" t="s">
        <v>447</v>
      </c>
      <c r="FL1" s="84" t="s">
        <v>448</v>
      </c>
      <c r="FM1" s="84" t="s">
        <v>449</v>
      </c>
      <c r="FN1" s="84" t="s">
        <v>450</v>
      </c>
      <c r="FO1" s="84" t="s">
        <v>451</v>
      </c>
      <c r="FP1" s="84" t="s">
        <v>452</v>
      </c>
      <c r="FQ1" s="84" t="s">
        <v>453</v>
      </c>
      <c r="FR1" s="84" t="s">
        <v>454</v>
      </c>
      <c r="FS1" s="84" t="s">
        <v>455</v>
      </c>
      <c r="FT1" s="84" t="s">
        <v>456</v>
      </c>
      <c r="FU1" s="84" t="s">
        <v>431</v>
      </c>
      <c r="FV1" s="84" t="s">
        <v>432</v>
      </c>
      <c r="FW1" s="84" t="s">
        <v>457</v>
      </c>
      <c r="FX1" s="84" t="s">
        <v>458</v>
      </c>
      <c r="FY1" s="84" t="s">
        <v>459</v>
      </c>
      <c r="FZ1" s="84" t="s">
        <v>460</v>
      </c>
      <c r="GA1" s="84" t="s">
        <v>461</v>
      </c>
      <c r="GB1" s="84" t="s">
        <v>462</v>
      </c>
      <c r="GC1" s="84" t="s">
        <v>463</v>
      </c>
      <c r="GD1" s="84" t="s">
        <v>464</v>
      </c>
      <c r="GE1" s="84" t="s">
        <v>465</v>
      </c>
      <c r="GF1" s="84" t="s">
        <v>466</v>
      </c>
      <c r="GG1" s="84" t="s">
        <v>467</v>
      </c>
      <c r="GH1" s="84" t="s">
        <v>468</v>
      </c>
      <c r="GI1" s="84" t="s">
        <v>469</v>
      </c>
      <c r="GJ1" s="84" t="s">
        <v>470</v>
      </c>
      <c r="GK1" s="84" t="s">
        <v>471</v>
      </c>
      <c r="GL1" s="84" t="s">
        <v>472</v>
      </c>
      <c r="GM1" s="84" t="s">
        <v>473</v>
      </c>
      <c r="GN1" s="84" t="s">
        <v>474</v>
      </c>
      <c r="GO1" s="84" t="s">
        <v>475</v>
      </c>
      <c r="GP1" s="84" t="s">
        <v>476</v>
      </c>
      <c r="GQ1" s="84" t="s">
        <v>477</v>
      </c>
      <c r="GR1" s="84" t="s">
        <v>478</v>
      </c>
      <c r="GS1" s="84" t="s">
        <v>479</v>
      </c>
      <c r="GT1" s="84" t="s">
        <v>480</v>
      </c>
      <c r="GU1" s="84" t="s">
        <v>481</v>
      </c>
      <c r="GV1" s="84" t="s">
        <v>482</v>
      </c>
      <c r="GW1" s="84" t="s">
        <v>483</v>
      </c>
      <c r="GX1" s="84" t="s">
        <v>484</v>
      </c>
      <c r="GY1" s="87" t="s">
        <v>489</v>
      </c>
      <c r="GZ1" s="87" t="s">
        <v>490</v>
      </c>
      <c r="HA1" s="87" t="s">
        <v>491</v>
      </c>
      <c r="HB1" s="87" t="s">
        <v>492</v>
      </c>
      <c r="HC1" s="87" t="s">
        <v>493</v>
      </c>
      <c r="HD1" s="87" t="s">
        <v>494</v>
      </c>
      <c r="HE1" s="87" t="s">
        <v>495</v>
      </c>
      <c r="HF1" s="87" t="s">
        <v>496</v>
      </c>
      <c r="HG1" s="87" t="s">
        <v>497</v>
      </c>
      <c r="HH1" s="87" t="s">
        <v>498</v>
      </c>
      <c r="HI1" s="87" t="s">
        <v>499</v>
      </c>
      <c r="HJ1" s="87" t="s">
        <v>500</v>
      </c>
      <c r="HK1" s="87" t="s">
        <v>501</v>
      </c>
      <c r="HL1" s="87" t="s">
        <v>502</v>
      </c>
      <c r="HM1" s="87" t="s">
        <v>503</v>
      </c>
      <c r="HN1" s="87" t="s">
        <v>504</v>
      </c>
      <c r="HO1" s="87" t="s">
        <v>505</v>
      </c>
      <c r="HP1" s="87" t="s">
        <v>506</v>
      </c>
      <c r="HQ1" s="87" t="s">
        <v>507</v>
      </c>
      <c r="HR1" s="87" t="s">
        <v>508</v>
      </c>
      <c r="HS1" s="87" t="s">
        <v>509</v>
      </c>
      <c r="HT1" s="87" t="s">
        <v>510</v>
      </c>
      <c r="HU1" s="87" t="s">
        <v>511</v>
      </c>
      <c r="HV1" s="87" t="s">
        <v>512</v>
      </c>
      <c r="HW1" s="87" t="s">
        <v>513</v>
      </c>
      <c r="HX1" s="87" t="s">
        <v>514</v>
      </c>
      <c r="HY1" s="87" t="s">
        <v>515</v>
      </c>
      <c r="HZ1" s="87" t="s">
        <v>516</v>
      </c>
      <c r="IA1" s="87" t="s">
        <v>517</v>
      </c>
      <c r="IB1" s="87" t="s">
        <v>518</v>
      </c>
      <c r="IC1" s="87" t="s">
        <v>519</v>
      </c>
      <c r="ID1" s="87" t="s">
        <v>520</v>
      </c>
      <c r="IE1" s="87" t="s">
        <v>521</v>
      </c>
      <c r="IF1" s="87" t="s">
        <v>522</v>
      </c>
      <c r="IG1" s="87" t="s">
        <v>523</v>
      </c>
      <c r="IH1" s="87" t="s">
        <v>524</v>
      </c>
      <c r="II1" s="87" t="s">
        <v>525</v>
      </c>
      <c r="IJ1" s="87" t="s">
        <v>526</v>
      </c>
      <c r="IK1" s="87" t="s">
        <v>527</v>
      </c>
      <c r="IL1" s="87" t="s">
        <v>528</v>
      </c>
      <c r="IM1" s="87" t="s">
        <v>529</v>
      </c>
      <c r="IN1" s="87" t="s">
        <v>530</v>
      </c>
      <c r="IO1" s="87" t="s">
        <v>531</v>
      </c>
      <c r="IP1" s="87" t="s">
        <v>532</v>
      </c>
      <c r="IQ1" s="87" t="s">
        <v>533</v>
      </c>
      <c r="IR1" s="87" t="s">
        <v>534</v>
      </c>
      <c r="IS1" s="87" t="s">
        <v>535</v>
      </c>
      <c r="IT1" s="87" t="s">
        <v>536</v>
      </c>
      <c r="IU1" s="87" t="s">
        <v>537</v>
      </c>
      <c r="IV1" s="87" t="s">
        <v>538</v>
      </c>
      <c r="IW1" s="87" t="s">
        <v>539</v>
      </c>
      <c r="IX1" s="87" t="s">
        <v>540</v>
      </c>
      <c r="IY1" s="87" t="s">
        <v>541</v>
      </c>
      <c r="IZ1" s="87" t="s">
        <v>542</v>
      </c>
      <c r="JA1" s="87" t="s">
        <v>543</v>
      </c>
      <c r="JB1" s="87" t="s">
        <v>544</v>
      </c>
      <c r="JC1" s="87" t="s">
        <v>545</v>
      </c>
      <c r="JD1" s="87" t="s">
        <v>546</v>
      </c>
      <c r="JE1" s="87" t="s">
        <v>547</v>
      </c>
      <c r="JF1" s="87" t="s">
        <v>548</v>
      </c>
      <c r="JG1" s="87" t="s">
        <v>549</v>
      </c>
      <c r="JH1" s="87" t="s">
        <v>550</v>
      </c>
      <c r="JI1" s="87" t="s">
        <v>551</v>
      </c>
      <c r="JJ1" s="87" t="s">
        <v>552</v>
      </c>
      <c r="JK1" s="87" t="s">
        <v>553</v>
      </c>
      <c r="JL1" s="87" t="s">
        <v>554</v>
      </c>
      <c r="JM1" s="87" t="s">
        <v>555</v>
      </c>
      <c r="JN1" s="87" t="s">
        <v>556</v>
      </c>
      <c r="JO1" s="87" t="s">
        <v>557</v>
      </c>
      <c r="JP1" s="87" t="s">
        <v>558</v>
      </c>
      <c r="JQ1" s="87" t="s">
        <v>559</v>
      </c>
      <c r="JR1" s="87" t="s">
        <v>560</v>
      </c>
      <c r="JS1" s="87" t="s">
        <v>561</v>
      </c>
      <c r="JT1" s="87" t="s">
        <v>562</v>
      </c>
      <c r="JU1" s="87" t="s">
        <v>563</v>
      </c>
      <c r="JV1" s="87" t="s">
        <v>564</v>
      </c>
      <c r="JW1" s="87" t="s">
        <v>565</v>
      </c>
      <c r="JX1" s="87" t="s">
        <v>566</v>
      </c>
      <c r="JY1" s="87" t="s">
        <v>567</v>
      </c>
      <c r="JZ1" s="87" t="s">
        <v>568</v>
      </c>
      <c r="KA1" s="87" t="s">
        <v>569</v>
      </c>
      <c r="KB1" s="87" t="s">
        <v>570</v>
      </c>
      <c r="KC1" s="87" t="s">
        <v>571</v>
      </c>
      <c r="KD1" s="87" t="s">
        <v>572</v>
      </c>
      <c r="KE1" s="87" t="s">
        <v>573</v>
      </c>
      <c r="KF1" s="87" t="s">
        <v>574</v>
      </c>
      <c r="KG1" s="87" t="s">
        <v>575</v>
      </c>
      <c r="KH1" s="87" t="s">
        <v>576</v>
      </c>
      <c r="KI1" s="87" t="s">
        <v>577</v>
      </c>
      <c r="KJ1" s="87" t="s">
        <v>578</v>
      </c>
      <c r="KK1" s="87" t="s">
        <v>579</v>
      </c>
      <c r="KL1" s="87" t="s">
        <v>580</v>
      </c>
      <c r="KM1" s="87" t="s">
        <v>581</v>
      </c>
      <c r="KN1" s="87" t="s">
        <v>582</v>
      </c>
      <c r="KO1" s="87" t="s">
        <v>583</v>
      </c>
      <c r="KP1" s="87" t="s">
        <v>584</v>
      </c>
      <c r="KQ1" s="87" t="s">
        <v>585</v>
      </c>
      <c r="KR1" s="87" t="s">
        <v>586</v>
      </c>
      <c r="KS1" s="87" t="s">
        <v>587</v>
      </c>
      <c r="KT1" s="87" t="s">
        <v>588</v>
      </c>
      <c r="KU1" s="87" t="s">
        <v>589</v>
      </c>
      <c r="KV1" s="87" t="s">
        <v>590</v>
      </c>
      <c r="KW1" s="87" t="s">
        <v>591</v>
      </c>
      <c r="KX1" s="87" t="s">
        <v>592</v>
      </c>
      <c r="KY1" s="87" t="s">
        <v>593</v>
      </c>
      <c r="KZ1" s="87" t="s">
        <v>594</v>
      </c>
      <c r="LA1" s="87" t="s">
        <v>595</v>
      </c>
      <c r="LB1" s="87" t="s">
        <v>596</v>
      </c>
      <c r="LC1" s="87" t="s">
        <v>597</v>
      </c>
      <c r="LD1" s="87" t="s">
        <v>598</v>
      </c>
      <c r="LE1" s="87" t="s">
        <v>599</v>
      </c>
      <c r="LF1" s="87" t="s">
        <v>600</v>
      </c>
      <c r="LG1" s="87" t="s">
        <v>601</v>
      </c>
      <c r="LH1" s="87" t="s">
        <v>602</v>
      </c>
      <c r="LI1" s="87" t="s">
        <v>603</v>
      </c>
      <c r="LJ1" s="87" t="s">
        <v>604</v>
      </c>
      <c r="LK1" s="87" t="s">
        <v>616</v>
      </c>
      <c r="LL1" s="87" t="s">
        <v>617</v>
      </c>
      <c r="LM1" s="87" t="s">
        <v>618</v>
      </c>
      <c r="LN1" s="87" t="s">
        <v>619</v>
      </c>
      <c r="LO1" s="87" t="s">
        <v>620</v>
      </c>
      <c r="LP1" s="87" t="s">
        <v>605</v>
      </c>
      <c r="LQ1" s="87" t="s">
        <v>606</v>
      </c>
      <c r="LR1" s="87" t="s">
        <v>607</v>
      </c>
      <c r="LS1" s="87" t="s">
        <v>621</v>
      </c>
      <c r="LT1" s="87" t="s">
        <v>622</v>
      </c>
      <c r="LU1" s="87" t="s">
        <v>623</v>
      </c>
      <c r="LV1" s="87" t="s">
        <v>624</v>
      </c>
      <c r="LW1" s="87" t="s">
        <v>625</v>
      </c>
      <c r="LX1" s="87" t="s">
        <v>608</v>
      </c>
      <c r="LY1" s="87" t="s">
        <v>609</v>
      </c>
      <c r="LZ1" s="87" t="s">
        <v>610</v>
      </c>
      <c r="MA1" s="87" t="s">
        <v>628</v>
      </c>
      <c r="MB1" s="87" t="s">
        <v>629</v>
      </c>
      <c r="MC1" s="87" t="s">
        <v>630</v>
      </c>
      <c r="MD1" s="87" t="s">
        <v>631</v>
      </c>
      <c r="ME1" s="87" t="s">
        <v>632</v>
      </c>
      <c r="MF1" s="87" t="s">
        <v>633</v>
      </c>
      <c r="MG1" s="87" t="s">
        <v>634</v>
      </c>
      <c r="MH1" s="87" t="s">
        <v>635</v>
      </c>
      <c r="MI1" s="87" t="s">
        <v>636</v>
      </c>
      <c r="MJ1" s="87" t="s">
        <v>637</v>
      </c>
      <c r="MK1" s="87" t="s">
        <v>638</v>
      </c>
      <c r="ML1" s="87" t="s">
        <v>639</v>
      </c>
      <c r="MM1" s="87" t="s">
        <v>640</v>
      </c>
      <c r="MN1" s="87" t="s">
        <v>641</v>
      </c>
      <c r="MO1" s="87" t="s">
        <v>642</v>
      </c>
      <c r="MP1" s="87" t="s">
        <v>643</v>
      </c>
      <c r="MQ1" s="87" t="s">
        <v>644</v>
      </c>
      <c r="MR1" s="87" t="s">
        <v>645</v>
      </c>
      <c r="MS1" s="87" t="s">
        <v>646</v>
      </c>
      <c r="MT1" s="87" t="s">
        <v>647</v>
      </c>
      <c r="MU1" s="87" t="s">
        <v>654</v>
      </c>
      <c r="MV1" s="87" t="s">
        <v>655</v>
      </c>
      <c r="MW1" s="87" t="s">
        <v>656</v>
      </c>
      <c r="MX1" s="87" t="s">
        <v>657</v>
      </c>
      <c r="MY1" s="87" t="s">
        <v>658</v>
      </c>
      <c r="MZ1" s="87" t="s">
        <v>659</v>
      </c>
      <c r="NA1" s="87" t="s">
        <v>660</v>
      </c>
      <c r="NB1" s="87" t="s">
        <v>661</v>
      </c>
      <c r="NC1" s="87" t="s">
        <v>662</v>
      </c>
      <c r="ND1" s="87" t="s">
        <v>663</v>
      </c>
      <c r="NE1" s="87" t="s">
        <v>664</v>
      </c>
      <c r="NF1" s="87" t="s">
        <v>665</v>
      </c>
      <c r="NG1" s="87" t="s">
        <v>666</v>
      </c>
      <c r="NH1" s="87" t="s">
        <v>667</v>
      </c>
      <c r="NI1" s="87" t="s">
        <v>668</v>
      </c>
      <c r="NJ1" s="87" t="s">
        <v>669</v>
      </c>
      <c r="NK1" s="87" t="s">
        <v>670</v>
      </c>
      <c r="NL1" s="87" t="s">
        <v>671</v>
      </c>
      <c r="NM1" s="87" t="s">
        <v>672</v>
      </c>
      <c r="NN1" s="87" t="s">
        <v>673</v>
      </c>
      <c r="NO1" s="87" t="s">
        <v>674</v>
      </c>
      <c r="NP1" s="87" t="s">
        <v>675</v>
      </c>
      <c r="NQ1" s="87" t="s">
        <v>676</v>
      </c>
      <c r="NR1" s="87" t="s">
        <v>677</v>
      </c>
      <c r="NS1" s="87" t="s">
        <v>678</v>
      </c>
      <c r="NT1" s="87" t="s">
        <v>679</v>
      </c>
      <c r="NU1" s="87" t="s">
        <v>680</v>
      </c>
      <c r="NV1" s="87" t="s">
        <v>681</v>
      </c>
      <c r="NW1" s="87" t="s">
        <v>682</v>
      </c>
      <c r="NX1" s="87" t="s">
        <v>683</v>
      </c>
      <c r="NY1" s="87" t="s">
        <v>684</v>
      </c>
      <c r="NZ1" s="87" t="s">
        <v>685</v>
      </c>
      <c r="OA1" s="87" t="s">
        <v>686</v>
      </c>
      <c r="OB1" s="87" t="s">
        <v>687</v>
      </c>
      <c r="OC1" s="87" t="s">
        <v>688</v>
      </c>
      <c r="OD1" s="87" t="s">
        <v>689</v>
      </c>
      <c r="OE1" s="87" t="s">
        <v>690</v>
      </c>
      <c r="OF1" s="87" t="s">
        <v>691</v>
      </c>
      <c r="OG1" s="87" t="s">
        <v>692</v>
      </c>
      <c r="OH1" s="87" t="s">
        <v>693</v>
      </c>
      <c r="OI1" s="87" t="s">
        <v>694</v>
      </c>
      <c r="OJ1" s="87" t="s">
        <v>695</v>
      </c>
      <c r="OK1" s="87" t="s">
        <v>696</v>
      </c>
      <c r="OL1" s="87" t="s">
        <v>697</v>
      </c>
      <c r="OM1" s="87" t="s">
        <v>698</v>
      </c>
      <c r="ON1" s="87" t="s">
        <v>699</v>
      </c>
      <c r="OO1" s="87" t="s">
        <v>700</v>
      </c>
      <c r="OP1" s="87" t="s">
        <v>701</v>
      </c>
      <c r="OQ1" s="87" t="s">
        <v>702</v>
      </c>
      <c r="OR1" s="87" t="s">
        <v>703</v>
      </c>
      <c r="OS1" s="87" t="s">
        <v>704</v>
      </c>
      <c r="OT1" s="87" t="s">
        <v>705</v>
      </c>
      <c r="OU1" s="87" t="s">
        <v>706</v>
      </c>
      <c r="OV1" s="87" t="s">
        <v>707</v>
      </c>
      <c r="OW1" s="87" t="s">
        <v>708</v>
      </c>
      <c r="OX1" s="87" t="s">
        <v>709</v>
      </c>
      <c r="OY1" s="88" t="s">
        <v>711</v>
      </c>
      <c r="OZ1" s="88" t="s">
        <v>712</v>
      </c>
      <c r="PA1" s="88" t="s">
        <v>713</v>
      </c>
      <c r="PB1" s="88" t="s">
        <v>714</v>
      </c>
      <c r="PC1" s="88" t="s">
        <v>715</v>
      </c>
      <c r="PD1" s="88" t="s">
        <v>716</v>
      </c>
      <c r="PE1" s="88" t="s">
        <v>717</v>
      </c>
      <c r="PF1" s="88" t="s">
        <v>718</v>
      </c>
      <c r="PG1" s="88" t="s">
        <v>719</v>
      </c>
      <c r="PH1" s="88" t="s">
        <v>720</v>
      </c>
      <c r="PI1" s="88" t="s">
        <v>721</v>
      </c>
      <c r="PJ1" s="88" t="s">
        <v>722</v>
      </c>
      <c r="PK1" s="88" t="s">
        <v>723</v>
      </c>
      <c r="PL1" s="88" t="s">
        <v>724</v>
      </c>
      <c r="PM1" s="88" t="s">
        <v>725</v>
      </c>
      <c r="PN1" s="88" t="s">
        <v>726</v>
      </c>
      <c r="PO1" s="88" t="s">
        <v>727</v>
      </c>
      <c r="PP1" s="88" t="s">
        <v>728</v>
      </c>
      <c r="PQ1" s="88" t="s">
        <v>729</v>
      </c>
      <c r="PR1" s="88" t="s">
        <v>730</v>
      </c>
      <c r="PS1" s="88" t="s">
        <v>731</v>
      </c>
      <c r="PT1" s="88" t="s">
        <v>732</v>
      </c>
      <c r="PU1" s="88" t="s">
        <v>733</v>
      </c>
      <c r="PV1" s="88" t="s">
        <v>815</v>
      </c>
      <c r="PW1" s="88" t="s">
        <v>816</v>
      </c>
      <c r="PX1" s="88" t="s">
        <v>817</v>
      </c>
      <c r="PY1" s="88" t="s">
        <v>818</v>
      </c>
      <c r="PZ1" s="88" t="s">
        <v>819</v>
      </c>
      <c r="QA1" s="88" t="s">
        <v>820</v>
      </c>
      <c r="QB1" s="88" t="s">
        <v>821</v>
      </c>
      <c r="QC1" s="88" t="s">
        <v>822</v>
      </c>
      <c r="QD1" s="88" t="s">
        <v>823</v>
      </c>
      <c r="QE1" s="88" t="s">
        <v>824</v>
      </c>
      <c r="QF1" s="88" t="s">
        <v>825</v>
      </c>
      <c r="QG1" s="88" t="s">
        <v>826</v>
      </c>
      <c r="QH1" s="88" t="s">
        <v>827</v>
      </c>
      <c r="QI1" s="88" t="s">
        <v>828</v>
      </c>
      <c r="QJ1" s="88" t="s">
        <v>829</v>
      </c>
      <c r="QK1" s="88" t="s">
        <v>830</v>
      </c>
      <c r="QL1" s="88" t="s">
        <v>831</v>
      </c>
      <c r="QM1" s="88" t="s">
        <v>832</v>
      </c>
      <c r="QN1" s="88" t="s">
        <v>833</v>
      </c>
      <c r="QO1" s="88" t="s">
        <v>834</v>
      </c>
      <c r="QP1" s="88" t="s">
        <v>835</v>
      </c>
      <c r="QQ1" s="88" t="s">
        <v>836</v>
      </c>
      <c r="QR1" s="88" t="s">
        <v>837</v>
      </c>
      <c r="QS1" s="88" t="s">
        <v>734</v>
      </c>
      <c r="QT1" s="88" t="s">
        <v>735</v>
      </c>
      <c r="QU1" s="88" t="s">
        <v>736</v>
      </c>
      <c r="QV1" s="88" t="s">
        <v>737</v>
      </c>
      <c r="QW1" s="88" t="s">
        <v>738</v>
      </c>
      <c r="QX1" s="88" t="s">
        <v>739</v>
      </c>
      <c r="QY1" s="88" t="s">
        <v>740</v>
      </c>
      <c r="QZ1" s="88" t="s">
        <v>741</v>
      </c>
      <c r="RA1" s="88" t="s">
        <v>742</v>
      </c>
      <c r="RB1" s="88" t="s">
        <v>743</v>
      </c>
      <c r="RC1" s="88" t="s">
        <v>744</v>
      </c>
      <c r="RD1" s="88" t="s">
        <v>745</v>
      </c>
      <c r="RE1" s="88" t="s">
        <v>746</v>
      </c>
      <c r="RF1" s="88" t="s">
        <v>747</v>
      </c>
      <c r="RG1" s="88" t="s">
        <v>748</v>
      </c>
      <c r="RH1" s="88" t="s">
        <v>749</v>
      </c>
      <c r="RI1" s="88" t="s">
        <v>750</v>
      </c>
      <c r="RJ1" s="88" t="s">
        <v>751</v>
      </c>
      <c r="RK1" s="88" t="s">
        <v>752</v>
      </c>
      <c r="RL1" s="88" t="s">
        <v>753</v>
      </c>
      <c r="RM1" s="88" t="s">
        <v>754</v>
      </c>
      <c r="RN1" s="88" t="s">
        <v>755</v>
      </c>
      <c r="RO1" s="88" t="s">
        <v>756</v>
      </c>
      <c r="RP1" s="88" t="s">
        <v>757</v>
      </c>
      <c r="RQ1" s="88" t="s">
        <v>838</v>
      </c>
      <c r="RR1" s="88" t="s">
        <v>839</v>
      </c>
      <c r="RS1" s="88" t="s">
        <v>840</v>
      </c>
      <c r="RT1" s="88" t="s">
        <v>841</v>
      </c>
      <c r="RU1" s="88" t="s">
        <v>842</v>
      </c>
      <c r="RV1" s="88" t="s">
        <v>843</v>
      </c>
      <c r="RW1" s="88" t="s">
        <v>844</v>
      </c>
      <c r="RX1" s="88" t="s">
        <v>845</v>
      </c>
      <c r="RY1" s="88" t="s">
        <v>846</v>
      </c>
      <c r="RZ1" s="88" t="s">
        <v>847</v>
      </c>
      <c r="SA1" s="88" t="s">
        <v>848</v>
      </c>
      <c r="SB1" s="88" t="s">
        <v>849</v>
      </c>
      <c r="SC1" s="88" t="s">
        <v>850</v>
      </c>
      <c r="SD1" s="88" t="s">
        <v>851</v>
      </c>
      <c r="SE1" s="88" t="s">
        <v>852</v>
      </c>
      <c r="SF1" s="88" t="s">
        <v>853</v>
      </c>
      <c r="SG1" s="88" t="s">
        <v>854</v>
      </c>
      <c r="SH1" s="88" t="s">
        <v>855</v>
      </c>
      <c r="SI1" s="88" t="s">
        <v>856</v>
      </c>
      <c r="SJ1" s="88" t="s">
        <v>857</v>
      </c>
      <c r="SK1" s="88" t="s">
        <v>858</v>
      </c>
      <c r="SL1" s="88" t="s">
        <v>859</v>
      </c>
      <c r="SM1" s="88" t="s">
        <v>860</v>
      </c>
      <c r="SN1" s="88" t="s">
        <v>861</v>
      </c>
      <c r="SO1" s="88" t="s">
        <v>758</v>
      </c>
      <c r="SP1" s="88" t="s">
        <v>759</v>
      </c>
      <c r="SQ1" s="88" t="s">
        <v>760</v>
      </c>
      <c r="SR1" s="88" t="s">
        <v>761</v>
      </c>
      <c r="SS1" s="88" t="s">
        <v>762</v>
      </c>
      <c r="ST1" s="88" t="s">
        <v>763</v>
      </c>
      <c r="SU1" s="88" t="s">
        <v>764</v>
      </c>
      <c r="SV1" s="88" t="s">
        <v>765</v>
      </c>
      <c r="SW1" s="88" t="s">
        <v>766</v>
      </c>
      <c r="SX1" s="88" t="s">
        <v>767</v>
      </c>
      <c r="SY1" s="88" t="s">
        <v>768</v>
      </c>
      <c r="SZ1" s="88" t="s">
        <v>862</v>
      </c>
      <c r="TA1" s="88" t="s">
        <v>863</v>
      </c>
      <c r="TB1" s="88" t="s">
        <v>864</v>
      </c>
      <c r="TC1" s="88" t="s">
        <v>865</v>
      </c>
      <c r="TD1" s="88" t="s">
        <v>866</v>
      </c>
      <c r="TE1" s="88" t="s">
        <v>867</v>
      </c>
      <c r="TF1" s="88" t="s">
        <v>868</v>
      </c>
      <c r="TG1" s="88" t="s">
        <v>869</v>
      </c>
      <c r="TH1" s="88" t="s">
        <v>870</v>
      </c>
      <c r="TI1" s="88" t="s">
        <v>871</v>
      </c>
      <c r="TJ1" s="88" t="s">
        <v>872</v>
      </c>
      <c r="TK1" s="88" t="s">
        <v>769</v>
      </c>
      <c r="TL1" s="88" t="s">
        <v>770</v>
      </c>
      <c r="TM1" s="88" t="s">
        <v>771</v>
      </c>
      <c r="TN1" s="88" t="s">
        <v>772</v>
      </c>
      <c r="TO1" s="88" t="s">
        <v>773</v>
      </c>
      <c r="TP1" s="88" t="s">
        <v>774</v>
      </c>
      <c r="TQ1" s="88" t="s">
        <v>775</v>
      </c>
      <c r="TR1" s="88" t="s">
        <v>776</v>
      </c>
      <c r="TS1" s="88" t="s">
        <v>873</v>
      </c>
      <c r="TT1" s="88" t="s">
        <v>874</v>
      </c>
      <c r="TU1" s="88" t="s">
        <v>875</v>
      </c>
      <c r="TV1" s="88" t="s">
        <v>876</v>
      </c>
      <c r="TW1" s="88" t="s">
        <v>877</v>
      </c>
      <c r="TX1" s="88" t="s">
        <v>878</v>
      </c>
      <c r="TY1" s="88" t="s">
        <v>879</v>
      </c>
      <c r="TZ1" s="88" t="s">
        <v>880</v>
      </c>
      <c r="UA1" s="88" t="s">
        <v>777</v>
      </c>
      <c r="UB1" s="88" t="s">
        <v>778</v>
      </c>
      <c r="UC1" s="88" t="s">
        <v>779</v>
      </c>
      <c r="UD1" s="88" t="s">
        <v>780</v>
      </c>
      <c r="UE1" s="88" t="s">
        <v>781</v>
      </c>
      <c r="UF1" s="88" t="s">
        <v>782</v>
      </c>
      <c r="UG1" s="88" t="s">
        <v>783</v>
      </c>
      <c r="UH1" s="88" t="s">
        <v>784</v>
      </c>
      <c r="UI1" s="88" t="s">
        <v>785</v>
      </c>
      <c r="UJ1" s="88" t="s">
        <v>786</v>
      </c>
      <c r="UK1" s="88" t="s">
        <v>881</v>
      </c>
      <c r="UL1" s="88" t="s">
        <v>882</v>
      </c>
      <c r="UM1" s="88" t="s">
        <v>883</v>
      </c>
      <c r="UN1" s="88" t="s">
        <v>884</v>
      </c>
      <c r="UO1" s="88" t="s">
        <v>885</v>
      </c>
      <c r="UP1" s="88" t="s">
        <v>886</v>
      </c>
      <c r="UQ1" s="88" t="s">
        <v>887</v>
      </c>
      <c r="UR1" s="88" t="s">
        <v>888</v>
      </c>
      <c r="US1" s="88" t="s">
        <v>889</v>
      </c>
      <c r="UT1" s="88" t="s">
        <v>890</v>
      </c>
      <c r="UU1" s="88" t="s">
        <v>787</v>
      </c>
      <c r="UV1" s="88" t="s">
        <v>788</v>
      </c>
      <c r="UW1" s="88" t="s">
        <v>789</v>
      </c>
      <c r="UX1" s="88" t="s">
        <v>790</v>
      </c>
      <c r="UY1" s="88" t="s">
        <v>791</v>
      </c>
      <c r="UZ1" s="88" t="s">
        <v>792</v>
      </c>
      <c r="VA1" s="88" t="s">
        <v>793</v>
      </c>
      <c r="VB1" s="88" t="s">
        <v>794</v>
      </c>
      <c r="VC1" s="88" t="s">
        <v>795</v>
      </c>
      <c r="VD1" s="88" t="s">
        <v>796</v>
      </c>
      <c r="VE1" s="88" t="s">
        <v>797</v>
      </c>
      <c r="VF1" s="88" t="s">
        <v>798</v>
      </c>
      <c r="VG1" s="88" t="s">
        <v>799</v>
      </c>
      <c r="VH1" s="88" t="s">
        <v>800</v>
      </c>
      <c r="VI1" s="88" t="s">
        <v>801</v>
      </c>
      <c r="VJ1" s="88" t="s">
        <v>891</v>
      </c>
      <c r="VK1" s="88" t="s">
        <v>892</v>
      </c>
      <c r="VL1" s="88" t="s">
        <v>893</v>
      </c>
      <c r="VM1" s="88" t="s">
        <v>894</v>
      </c>
      <c r="VN1" s="88" t="s">
        <v>895</v>
      </c>
      <c r="VO1" s="88" t="s">
        <v>896</v>
      </c>
      <c r="VP1" s="88" t="s">
        <v>897</v>
      </c>
      <c r="VQ1" s="88" t="s">
        <v>898</v>
      </c>
      <c r="VR1" s="88" t="s">
        <v>899</v>
      </c>
      <c r="VS1" s="88" t="s">
        <v>900</v>
      </c>
      <c r="VT1" s="88" t="s">
        <v>901</v>
      </c>
      <c r="VU1" s="88" t="s">
        <v>902</v>
      </c>
      <c r="VV1" s="88" t="s">
        <v>903</v>
      </c>
      <c r="VW1" s="88" t="s">
        <v>904</v>
      </c>
      <c r="VX1" s="88" t="s">
        <v>905</v>
      </c>
      <c r="VY1" s="88" t="s">
        <v>802</v>
      </c>
      <c r="VZ1" s="88" t="s">
        <v>803</v>
      </c>
      <c r="WA1" s="88" t="s">
        <v>804</v>
      </c>
      <c r="WB1" s="88" t="s">
        <v>805</v>
      </c>
      <c r="WC1" s="88" t="s">
        <v>806</v>
      </c>
      <c r="WD1" s="88" t="s">
        <v>807</v>
      </c>
      <c r="WE1" s="88" t="s">
        <v>906</v>
      </c>
      <c r="WF1" s="88" t="s">
        <v>907</v>
      </c>
      <c r="WG1" s="88" t="s">
        <v>908</v>
      </c>
      <c r="WH1" s="88" t="s">
        <v>909</v>
      </c>
      <c r="WI1" s="88" t="s">
        <v>910</v>
      </c>
      <c r="WJ1" s="88" t="s">
        <v>911</v>
      </c>
      <c r="WK1" s="88" t="s">
        <v>808</v>
      </c>
      <c r="WL1" s="88" t="s">
        <v>809</v>
      </c>
      <c r="WM1" s="88" t="s">
        <v>810</v>
      </c>
      <c r="WN1" s="88" t="s">
        <v>811</v>
      </c>
      <c r="WO1" s="88" t="s">
        <v>812</v>
      </c>
      <c r="WP1" s="88" t="s">
        <v>813</v>
      </c>
      <c r="WQ1" s="88" t="s">
        <v>814</v>
      </c>
      <c r="WR1" s="88" t="s">
        <v>912</v>
      </c>
      <c r="WS1" s="88" t="s">
        <v>913</v>
      </c>
      <c r="WT1" s="88" t="s">
        <v>914</v>
      </c>
      <c r="WU1" s="88" t="s">
        <v>915</v>
      </c>
      <c r="WV1" s="88" t="s">
        <v>916</v>
      </c>
      <c r="WW1" s="88" t="s">
        <v>917</v>
      </c>
      <c r="WX1" s="88" t="s">
        <v>918</v>
      </c>
      <c r="WY1" s="89" t="s">
        <v>919</v>
      </c>
      <c r="WZ1" s="89" t="s">
        <v>920</v>
      </c>
      <c r="XA1" s="89" t="s">
        <v>921</v>
      </c>
      <c r="XB1" s="89" t="s">
        <v>922</v>
      </c>
      <c r="XC1" s="89" t="s">
        <v>923</v>
      </c>
      <c r="XD1" s="89" t="s">
        <v>924</v>
      </c>
      <c r="XE1" s="89" t="s">
        <v>925</v>
      </c>
      <c r="XF1" s="89" t="s">
        <v>926</v>
      </c>
      <c r="XG1" s="89" t="s">
        <v>927</v>
      </c>
      <c r="XH1" s="89" t="s">
        <v>928</v>
      </c>
      <c r="XI1" s="89" t="s">
        <v>929</v>
      </c>
      <c r="XJ1" s="89" t="s">
        <v>930</v>
      </c>
      <c r="XK1" s="89" t="s">
        <v>931</v>
      </c>
      <c r="XL1" s="89" t="s">
        <v>932</v>
      </c>
      <c r="XM1" s="89" t="s">
        <v>933</v>
      </c>
      <c r="XN1" s="89" t="s">
        <v>934</v>
      </c>
      <c r="XO1" s="89" t="s">
        <v>935</v>
      </c>
      <c r="XP1" s="89" t="s">
        <v>936</v>
      </c>
      <c r="XQ1" s="89" t="s">
        <v>937</v>
      </c>
      <c r="XR1" s="89" t="s">
        <v>938</v>
      </c>
      <c r="XS1" s="89" t="s">
        <v>939</v>
      </c>
      <c r="XT1" s="89" t="s">
        <v>940</v>
      </c>
      <c r="XU1" s="89" t="s">
        <v>941</v>
      </c>
      <c r="XV1" s="89" t="s">
        <v>942</v>
      </c>
      <c r="XW1" s="89" t="s">
        <v>943</v>
      </c>
      <c r="XX1" s="89" t="s">
        <v>944</v>
      </c>
      <c r="XY1" s="89" t="s">
        <v>945</v>
      </c>
      <c r="XZ1" s="89" t="s">
        <v>946</v>
      </c>
      <c r="YA1" s="89" t="s">
        <v>947</v>
      </c>
      <c r="YB1" s="89" t="s">
        <v>948</v>
      </c>
      <c r="YC1" s="89" t="s">
        <v>949</v>
      </c>
      <c r="YD1" s="89" t="s">
        <v>950</v>
      </c>
      <c r="YE1" s="89" t="s">
        <v>951</v>
      </c>
      <c r="YF1" s="89" t="s">
        <v>952</v>
      </c>
      <c r="YG1" s="89" t="s">
        <v>953</v>
      </c>
      <c r="YH1" s="89" t="s">
        <v>954</v>
      </c>
      <c r="YI1" s="89" t="s">
        <v>955</v>
      </c>
      <c r="YJ1" s="89" t="s">
        <v>956</v>
      </c>
      <c r="YK1" s="89" t="s">
        <v>957</v>
      </c>
      <c r="YL1" s="89" t="s">
        <v>958</v>
      </c>
      <c r="YM1" s="89" t="s">
        <v>959</v>
      </c>
      <c r="YN1" s="89" t="s">
        <v>960</v>
      </c>
      <c r="YO1" s="89" t="s">
        <v>961</v>
      </c>
      <c r="YP1" s="89" t="s">
        <v>962</v>
      </c>
      <c r="YQ1" s="89" t="s">
        <v>963</v>
      </c>
      <c r="YR1" s="89" t="s">
        <v>964</v>
      </c>
      <c r="YS1" s="89" t="s">
        <v>965</v>
      </c>
      <c r="YT1" s="89" t="s">
        <v>966</v>
      </c>
      <c r="YU1" s="89" t="s">
        <v>967</v>
      </c>
      <c r="YV1" s="89" t="s">
        <v>968</v>
      </c>
      <c r="YW1" s="89" t="s">
        <v>969</v>
      </c>
      <c r="YX1" s="89" t="s">
        <v>970</v>
      </c>
      <c r="YY1" s="89" t="s">
        <v>971</v>
      </c>
      <c r="YZ1" s="89" t="s">
        <v>972</v>
      </c>
      <c r="ZA1" s="89" t="s">
        <v>973</v>
      </c>
      <c r="ZB1" s="89" t="s">
        <v>974</v>
      </c>
      <c r="ZC1" s="89" t="s">
        <v>975</v>
      </c>
      <c r="ZD1" s="89" t="s">
        <v>976</v>
      </c>
      <c r="ZE1" s="89" t="s">
        <v>977</v>
      </c>
      <c r="ZF1" s="89" t="s">
        <v>978</v>
      </c>
      <c r="ZG1" s="89" t="s">
        <v>979</v>
      </c>
      <c r="ZH1" s="89" t="s">
        <v>980</v>
      </c>
      <c r="ZI1" s="89" t="s">
        <v>981</v>
      </c>
      <c r="ZJ1" s="89" t="s">
        <v>982</v>
      </c>
      <c r="ZK1" s="89" t="s">
        <v>983</v>
      </c>
      <c r="ZL1" s="89" t="s">
        <v>984</v>
      </c>
      <c r="ZM1" s="89" t="s">
        <v>985</v>
      </c>
      <c r="ZN1" s="89" t="s">
        <v>986</v>
      </c>
      <c r="ZO1" s="89" t="s">
        <v>987</v>
      </c>
      <c r="ZP1" s="89" t="s">
        <v>988</v>
      </c>
      <c r="ZQ1" s="89" t="s">
        <v>989</v>
      </c>
      <c r="ZR1" s="89" t="s">
        <v>990</v>
      </c>
      <c r="ZS1" s="89" t="s">
        <v>991</v>
      </c>
      <c r="ZT1" s="89" t="s">
        <v>992</v>
      </c>
      <c r="ZU1" s="89" t="s">
        <v>993</v>
      </c>
      <c r="ZV1" s="89" t="s">
        <v>994</v>
      </c>
      <c r="ZW1" s="89" t="s">
        <v>995</v>
      </c>
      <c r="ZX1" s="89" t="s">
        <v>996</v>
      </c>
      <c r="ZY1" s="89" t="s">
        <v>997</v>
      </c>
      <c r="ZZ1" s="89" t="s">
        <v>998</v>
      </c>
      <c r="AAA1" s="89" t="s">
        <v>999</v>
      </c>
      <c r="AAB1" s="89" t="s">
        <v>1000</v>
      </c>
      <c r="AAC1" s="89" t="s">
        <v>1001</v>
      </c>
      <c r="AAD1" s="89" t="s">
        <v>1002</v>
      </c>
      <c r="AAE1" s="89" t="s">
        <v>1003</v>
      </c>
      <c r="AAF1" s="89" t="s">
        <v>1004</v>
      </c>
      <c r="AAG1" s="89" t="s">
        <v>1005</v>
      </c>
      <c r="AAH1" s="89" t="s">
        <v>1006</v>
      </c>
      <c r="AAI1" s="89" t="s">
        <v>1007</v>
      </c>
      <c r="AAJ1" s="89" t="s">
        <v>1008</v>
      </c>
      <c r="AAK1" s="89" t="s">
        <v>1009</v>
      </c>
      <c r="AAL1" s="89" t="s">
        <v>1010</v>
      </c>
      <c r="AAM1" s="89" t="s">
        <v>1011</v>
      </c>
      <c r="AAN1" s="89" t="s">
        <v>1012</v>
      </c>
      <c r="AAO1" s="89" t="s">
        <v>1013</v>
      </c>
      <c r="AAP1" s="89" t="s">
        <v>1014</v>
      </c>
      <c r="AAQ1" s="89" t="s">
        <v>1015</v>
      </c>
      <c r="AAR1" s="89" t="s">
        <v>1016</v>
      </c>
      <c r="AAS1" s="89" t="s">
        <v>1017</v>
      </c>
      <c r="AAT1" s="89" t="s">
        <v>1018</v>
      </c>
      <c r="AAU1" s="89" t="s">
        <v>1019</v>
      </c>
      <c r="AAV1" s="89" t="s">
        <v>1020</v>
      </c>
      <c r="AAW1" s="89" t="s">
        <v>1021</v>
      </c>
      <c r="AAX1" s="89" t="s">
        <v>1022</v>
      </c>
      <c r="AAY1" s="89" t="s">
        <v>1023</v>
      </c>
      <c r="AAZ1" s="89" t="s">
        <v>1024</v>
      </c>
      <c r="ABA1" s="89" t="s">
        <v>1025</v>
      </c>
      <c r="ABB1" s="89" t="s">
        <v>1026</v>
      </c>
      <c r="ABC1" s="89" t="s">
        <v>1027</v>
      </c>
      <c r="ABD1" s="89" t="s">
        <v>1028</v>
      </c>
      <c r="ABE1" s="89" t="s">
        <v>1029</v>
      </c>
      <c r="ABF1" s="89" t="s">
        <v>1030</v>
      </c>
      <c r="ABG1" s="89" t="s">
        <v>1031</v>
      </c>
      <c r="ABH1" s="89" t="s">
        <v>1032</v>
      </c>
      <c r="ABI1" s="89" t="s">
        <v>1033</v>
      </c>
      <c r="ABJ1" s="89" t="s">
        <v>1034</v>
      </c>
      <c r="ABK1" s="89" t="s">
        <v>1035</v>
      </c>
      <c r="ABL1" s="89" t="s">
        <v>1036</v>
      </c>
      <c r="ABM1" s="89" t="s">
        <v>1037</v>
      </c>
      <c r="ABN1" s="89" t="s">
        <v>1038</v>
      </c>
      <c r="ABO1" s="89" t="s">
        <v>1039</v>
      </c>
      <c r="ABP1" s="89" t="s">
        <v>1040</v>
      </c>
      <c r="ABQ1" s="89" t="s">
        <v>1041</v>
      </c>
      <c r="ABR1" s="89" t="s">
        <v>1042</v>
      </c>
      <c r="ABS1" s="89" t="s">
        <v>1043</v>
      </c>
      <c r="ABT1" s="89" t="s">
        <v>1044</v>
      </c>
      <c r="ABU1" s="89" t="s">
        <v>1045</v>
      </c>
      <c r="ABV1" s="89" t="s">
        <v>1046</v>
      </c>
      <c r="ABW1" s="89" t="s">
        <v>1047</v>
      </c>
      <c r="ABX1" s="89" t="s">
        <v>1048</v>
      </c>
      <c r="ABY1" s="89" t="s">
        <v>1049</v>
      </c>
      <c r="ABZ1" s="89" t="s">
        <v>1050</v>
      </c>
      <c r="ACA1" s="89" t="s">
        <v>1051</v>
      </c>
      <c r="ACB1" s="89" t="s">
        <v>1052</v>
      </c>
      <c r="ACC1" s="89" t="s">
        <v>1053</v>
      </c>
      <c r="ACD1" s="89" t="s">
        <v>1054</v>
      </c>
      <c r="ACE1" s="89" t="s">
        <v>1055</v>
      </c>
      <c r="ACF1" s="89" t="s">
        <v>1056</v>
      </c>
      <c r="ACG1" s="89" t="s">
        <v>1057</v>
      </c>
      <c r="ACH1" s="89" t="s">
        <v>1058</v>
      </c>
      <c r="ACI1" s="89" t="s">
        <v>1059</v>
      </c>
      <c r="ACJ1" s="89" t="s">
        <v>1060</v>
      </c>
      <c r="ACK1" s="89" t="s">
        <v>1061</v>
      </c>
      <c r="ACL1" s="89" t="s">
        <v>1062</v>
      </c>
      <c r="ACM1" s="89" t="s">
        <v>1063</v>
      </c>
      <c r="ACN1" s="89" t="s">
        <v>1064</v>
      </c>
      <c r="ACO1" s="89" t="s">
        <v>1065</v>
      </c>
      <c r="ACP1" s="89" t="s">
        <v>1066</v>
      </c>
      <c r="ACQ1" s="89" t="s">
        <v>1067</v>
      </c>
      <c r="ACR1" s="89" t="s">
        <v>1068</v>
      </c>
      <c r="ACS1" s="89" t="s">
        <v>1069</v>
      </c>
      <c r="ACT1" s="89" t="s">
        <v>1070</v>
      </c>
      <c r="ACU1" s="89" t="s">
        <v>1071</v>
      </c>
      <c r="ACV1" s="89" t="s">
        <v>1072</v>
      </c>
      <c r="ACW1" s="89" t="s">
        <v>1073</v>
      </c>
      <c r="ACX1" s="89" t="s">
        <v>1074</v>
      </c>
      <c r="ACY1" s="89" t="s">
        <v>1075</v>
      </c>
      <c r="ACZ1" s="89" t="s">
        <v>1076</v>
      </c>
      <c r="ADA1" s="89" t="s">
        <v>1077</v>
      </c>
      <c r="ADB1" s="89" t="s">
        <v>1078</v>
      </c>
      <c r="ADC1" s="89" t="s">
        <v>1079</v>
      </c>
      <c r="ADD1" s="89" t="s">
        <v>1080</v>
      </c>
      <c r="ADE1" s="89" t="s">
        <v>1081</v>
      </c>
      <c r="ADF1" s="89" t="s">
        <v>1082</v>
      </c>
      <c r="ADG1" s="89" t="s">
        <v>1083</v>
      </c>
      <c r="ADH1" s="89" t="s">
        <v>1084</v>
      </c>
      <c r="ADI1" s="89" t="s">
        <v>1085</v>
      </c>
      <c r="ADJ1" s="89" t="s">
        <v>1086</v>
      </c>
      <c r="ADK1" s="89" t="s">
        <v>1087</v>
      </c>
      <c r="ADL1" s="89" t="s">
        <v>1088</v>
      </c>
      <c r="ADM1" s="89" t="s">
        <v>1089</v>
      </c>
      <c r="ADN1" s="89" t="s">
        <v>1090</v>
      </c>
      <c r="ADO1" s="89" t="s">
        <v>1091</v>
      </c>
      <c r="ADP1" s="89" t="s">
        <v>1092</v>
      </c>
      <c r="ADQ1" s="89" t="s">
        <v>1093</v>
      </c>
      <c r="ADR1" s="89" t="s">
        <v>1094</v>
      </c>
      <c r="ADS1" s="89" t="s">
        <v>1095</v>
      </c>
      <c r="ADT1" s="89" t="s">
        <v>1096</v>
      </c>
      <c r="ADU1" s="89" t="s">
        <v>1097</v>
      </c>
      <c r="ADV1" s="89" t="s">
        <v>1098</v>
      </c>
      <c r="ADW1" s="89" t="s">
        <v>1099</v>
      </c>
      <c r="ADX1" s="89" t="s">
        <v>1100</v>
      </c>
      <c r="ADY1" s="89" t="s">
        <v>1101</v>
      </c>
      <c r="ADZ1" s="89" t="s">
        <v>1102</v>
      </c>
      <c r="AEA1" s="89" t="s">
        <v>1103</v>
      </c>
      <c r="AEB1" s="89" t="s">
        <v>1104</v>
      </c>
      <c r="AEC1" s="89" t="s">
        <v>1105</v>
      </c>
      <c r="AED1" s="89" t="s">
        <v>1106</v>
      </c>
      <c r="AEE1" s="89" t="s">
        <v>1107</v>
      </c>
      <c r="AEF1" s="89" t="s">
        <v>1108</v>
      </c>
      <c r="AEG1" s="89" t="s">
        <v>1109</v>
      </c>
      <c r="AEH1" s="89" t="s">
        <v>1110</v>
      </c>
      <c r="AEI1" s="89" t="s">
        <v>1111</v>
      </c>
      <c r="AEJ1" s="89" t="s">
        <v>1112</v>
      </c>
      <c r="AEK1" s="89" t="s">
        <v>1113</v>
      </c>
      <c r="AEL1" s="89" t="s">
        <v>1114</v>
      </c>
      <c r="AEM1" s="89" t="s">
        <v>1115</v>
      </c>
      <c r="AEN1" s="89" t="s">
        <v>1116</v>
      </c>
      <c r="AEO1" s="89" t="s">
        <v>1117</v>
      </c>
      <c r="AEP1" s="89" t="s">
        <v>1118</v>
      </c>
      <c r="AEQ1" s="89" t="s">
        <v>1119</v>
      </c>
      <c r="AER1" s="89" t="s">
        <v>1120</v>
      </c>
      <c r="AES1" s="89" t="s">
        <v>1121</v>
      </c>
      <c r="AET1" s="89" t="s">
        <v>1122</v>
      </c>
      <c r="AEU1" s="89" t="s">
        <v>1123</v>
      </c>
      <c r="AEV1" s="89" t="s">
        <v>1124</v>
      </c>
      <c r="AEW1" s="89" t="s">
        <v>1125</v>
      </c>
      <c r="AEX1" s="89" t="s">
        <v>1126</v>
      </c>
      <c r="AEY1" s="92" t="s">
        <v>1131</v>
      </c>
      <c r="AEZ1" s="92" t="s">
        <v>1132</v>
      </c>
      <c r="AFA1" s="92" t="s">
        <v>1133</v>
      </c>
      <c r="AFB1" s="92" t="s">
        <v>1134</v>
      </c>
      <c r="AFC1" s="92" t="s">
        <v>1135</v>
      </c>
      <c r="AFD1" s="92" t="s">
        <v>1136</v>
      </c>
      <c r="AFE1" s="92" t="s">
        <v>1137</v>
      </c>
      <c r="AFF1" s="92" t="s">
        <v>1138</v>
      </c>
      <c r="AFG1" s="92" t="s">
        <v>1139</v>
      </c>
      <c r="AFH1" s="92" t="s">
        <v>1140</v>
      </c>
      <c r="AFI1" s="92" t="s">
        <v>1141</v>
      </c>
      <c r="AFJ1" s="92" t="s">
        <v>1142</v>
      </c>
      <c r="AFK1" s="92" t="s">
        <v>1143</v>
      </c>
      <c r="AFL1" s="92" t="s">
        <v>1144</v>
      </c>
      <c r="AFM1" s="92" t="s">
        <v>1145</v>
      </c>
      <c r="AFN1" s="92" t="s">
        <v>1146</v>
      </c>
      <c r="AFO1" s="92" t="s">
        <v>1147</v>
      </c>
      <c r="AFP1" s="92" t="s">
        <v>1148</v>
      </c>
      <c r="AFQ1" s="92" t="s">
        <v>1149</v>
      </c>
      <c r="AFR1" s="92" t="s">
        <v>1150</v>
      </c>
      <c r="AFS1" s="92" t="s">
        <v>1151</v>
      </c>
      <c r="AFT1" s="92" t="s">
        <v>1152</v>
      </c>
      <c r="AFU1" s="92" t="s">
        <v>1153</v>
      </c>
      <c r="AFV1" s="92" t="s">
        <v>1154</v>
      </c>
      <c r="AFW1" s="92" t="s">
        <v>1155</v>
      </c>
      <c r="AFX1" s="92" t="s">
        <v>1156</v>
      </c>
      <c r="AFY1" s="92" t="s">
        <v>1157</v>
      </c>
      <c r="AFZ1" s="92" t="s">
        <v>1158</v>
      </c>
      <c r="AGA1" s="92" t="s">
        <v>1159</v>
      </c>
      <c r="AGB1" s="92" t="s">
        <v>1160</v>
      </c>
      <c r="AGC1" s="92" t="s">
        <v>1161</v>
      </c>
      <c r="AGD1" s="92" t="s">
        <v>1162</v>
      </c>
      <c r="AGE1" s="92" t="s">
        <v>1163</v>
      </c>
      <c r="AGF1" s="92" t="s">
        <v>1164</v>
      </c>
      <c r="AGG1" s="92" t="s">
        <v>1165</v>
      </c>
      <c r="AGH1" s="92" t="s">
        <v>1166</v>
      </c>
      <c r="AGI1" s="92" t="s">
        <v>1167</v>
      </c>
      <c r="AGJ1" s="92" t="s">
        <v>1168</v>
      </c>
      <c r="AGK1" s="92" t="s">
        <v>1169</v>
      </c>
      <c r="AGL1" s="92" t="s">
        <v>1170</v>
      </c>
      <c r="AGM1" s="92" t="s">
        <v>1171</v>
      </c>
      <c r="AGN1" s="92" t="s">
        <v>1172</v>
      </c>
      <c r="AGO1" s="92" t="s">
        <v>1173</v>
      </c>
      <c r="AGP1" s="92" t="s">
        <v>1174</v>
      </c>
      <c r="AGQ1" s="92" t="s">
        <v>1175</v>
      </c>
      <c r="AGR1" s="92" t="s">
        <v>1176</v>
      </c>
      <c r="AGS1" s="92" t="s">
        <v>1177</v>
      </c>
      <c r="AGT1" s="92" t="s">
        <v>1178</v>
      </c>
      <c r="AGU1" s="92" t="s">
        <v>1179</v>
      </c>
      <c r="AGV1" s="92" t="s">
        <v>1180</v>
      </c>
      <c r="AGW1" s="92" t="s">
        <v>1181</v>
      </c>
      <c r="AGX1" s="92" t="s">
        <v>1182</v>
      </c>
      <c r="AGY1" s="92" t="s">
        <v>1183</v>
      </c>
      <c r="AGZ1" s="92" t="s">
        <v>1184</v>
      </c>
      <c r="AHA1" s="92" t="s">
        <v>1185</v>
      </c>
      <c r="AHB1" s="92" t="s">
        <v>1186</v>
      </c>
      <c r="AHC1" s="92" t="s">
        <v>1187</v>
      </c>
      <c r="AHD1" s="92" t="s">
        <v>1188</v>
      </c>
      <c r="AHE1" s="92" t="s">
        <v>1189</v>
      </c>
      <c r="AHF1" s="92" t="s">
        <v>1190</v>
      </c>
      <c r="AHG1" s="92" t="s">
        <v>1191</v>
      </c>
      <c r="AHH1" s="92" t="s">
        <v>1192</v>
      </c>
      <c r="AHI1" s="92" t="s">
        <v>1193</v>
      </c>
      <c r="AHJ1" s="92" t="s">
        <v>1194</v>
      </c>
      <c r="AHK1" s="92" t="s">
        <v>1195</v>
      </c>
      <c r="AHL1" s="92" t="s">
        <v>1196</v>
      </c>
      <c r="AHM1" s="92" t="s">
        <v>1197</v>
      </c>
      <c r="AHN1" s="92" t="s">
        <v>1198</v>
      </c>
      <c r="AHO1" s="92" t="s">
        <v>1199</v>
      </c>
      <c r="AHP1" s="92" t="s">
        <v>1200</v>
      </c>
      <c r="AHQ1" s="92" t="s">
        <v>1201</v>
      </c>
      <c r="AHR1" s="92" t="s">
        <v>1202</v>
      </c>
      <c r="AHS1" s="92" t="s">
        <v>1203</v>
      </c>
      <c r="AHT1" s="92" t="s">
        <v>1204</v>
      </c>
      <c r="AHU1" s="92" t="s">
        <v>1205</v>
      </c>
      <c r="AHV1" s="92" t="s">
        <v>1206</v>
      </c>
      <c r="AHW1" s="92" t="s">
        <v>1207</v>
      </c>
      <c r="AHX1" s="92" t="s">
        <v>1208</v>
      </c>
      <c r="AHY1" s="92" t="s">
        <v>1209</v>
      </c>
      <c r="AHZ1" s="92" t="s">
        <v>1210</v>
      </c>
      <c r="AIA1" s="92" t="s">
        <v>1211</v>
      </c>
      <c r="AIB1" s="92" t="s">
        <v>1212</v>
      </c>
      <c r="AIC1" s="92" t="s">
        <v>1213</v>
      </c>
      <c r="AID1" s="92" t="s">
        <v>1214</v>
      </c>
      <c r="AIE1" s="94" t="s">
        <v>1222</v>
      </c>
      <c r="AIF1" s="93" t="s">
        <v>1223</v>
      </c>
      <c r="AIG1" s="93" t="s">
        <v>1224</v>
      </c>
      <c r="AIH1" s="93" t="s">
        <v>1225</v>
      </c>
      <c r="AII1" s="93" t="s">
        <v>1226</v>
      </c>
      <c r="AIJ1" s="93" t="s">
        <v>1227</v>
      </c>
      <c r="AIK1" s="93" t="s">
        <v>1228</v>
      </c>
      <c r="AIL1" s="93" t="s">
        <v>1229</v>
      </c>
      <c r="AIM1" s="93" t="s">
        <v>1230</v>
      </c>
      <c r="AIN1" s="93" t="s">
        <v>1231</v>
      </c>
      <c r="AIO1" s="93" t="s">
        <v>1232</v>
      </c>
      <c r="AIP1" s="93" t="s">
        <v>1233</v>
      </c>
      <c r="AIQ1" s="93" t="s">
        <v>1234</v>
      </c>
      <c r="AIR1" s="93" t="s">
        <v>1235</v>
      </c>
    </row>
    <row r="2" spans="1:928">
      <c r="A2" t="str">
        <f>ProjectTitle</f>
        <v>&lt;#TBL_0_ProjectInfo.VALUE;&gt;</v>
      </c>
      <c r="B2">
        <f>ProjectLocation</f>
        <v>0</v>
      </c>
      <c r="C2">
        <f>EstimateOrActuals</f>
        <v>0</v>
      </c>
      <c r="D2">
        <f>ProjectType</f>
        <v>0</v>
      </c>
      <c r="E2">
        <f>ProcessDescription</f>
        <v>0</v>
      </c>
      <c r="F2">
        <f>ConstructionType</f>
        <v>0</v>
      </c>
      <c r="G2">
        <f>CountryBase</f>
        <v>0</v>
      </c>
      <c r="H2">
        <f>BaseUOM</f>
        <v>0</v>
      </c>
      <c r="I2">
        <f>CurrencyName</f>
        <v>0</v>
      </c>
      <c r="J2">
        <f>CurrencySymbol</f>
        <v>0</v>
      </c>
      <c r="K2">
        <f>EstimateClass</f>
        <v>0</v>
      </c>
      <c r="L2">
        <f>PreparedBy</f>
        <v>0</v>
      </c>
      <c r="M2">
        <f>CostBasis</f>
        <v>0</v>
      </c>
      <c r="N2" t="str">
        <f>VesselDesignCode</f>
        <v>&lt;#dbvalue(0_DesignBasisInfo;0;"VALUE";)&gt;</v>
      </c>
      <c r="O2" t="str">
        <f>PipeFlangeRatingStd</f>
        <v>&lt;#dbvalue(0_DesignBasisInfo;1;"VALUE";)&gt;</v>
      </c>
      <c r="P2" t="str">
        <f>PipeWallThicknessStd</f>
        <v>&lt;#dbvalue(0_DesignBasisInfo;2;"VALUE";)&gt;</v>
      </c>
      <c r="Q2" t="str">
        <f>CivilDesignCode</f>
        <v>&lt;#dbvalue(0_DesignBasisInfo;3;"VALUE";)&gt;</v>
      </c>
      <c r="R2" t="str">
        <f>ASCEOccupancyRiskCategory</f>
        <v>&lt;#dbvalue(0_DesignBasisInfo;4;"VALUE";)&gt;</v>
      </c>
      <c r="S2" t="str">
        <f>SeismicHorizontalAcceleration</f>
        <v>&lt;#dbvalue(0_SeismicHorizontalAcceleration;0;"VALUER";)&gt;</v>
      </c>
      <c r="T2" t="str">
        <f>UBCZone</f>
        <v>&lt;#dbvalue(0_DesignBasisInfo;6;"VALUE";)&gt;</v>
      </c>
      <c r="U2" t="str">
        <f>SoilType</f>
        <v>&lt;#dbvalue(0_DesignBasisInfo;7;"VALUE";)&gt;</v>
      </c>
      <c r="V2" t="str">
        <f>PIDDesignLevel</f>
        <v>&lt;#dbvalue(0_DesignBasisInfo;8;"VALUE";)&gt;</v>
      </c>
      <c r="W2" t="str">
        <f>InstrumentationSystem</f>
        <v>&lt;#dbvalue(0_DesignBasisInfo;9;"VALUE";)&gt;</v>
      </c>
      <c r="X2" t="str">
        <f>ElectricalClassDivZone</f>
        <v>&lt;#dbvalue(0_DesignBasisInfo;10;"VALUE";)&gt;</v>
      </c>
      <c r="Y2" t="str">
        <f>PowerSupplyFreq</f>
        <v>&lt;#dbvalue(0_DesignBasisInfo;11;"VALUE";)&gt;</v>
      </c>
      <c r="Z2" t="str">
        <f>ElectricalDistributionSys</f>
        <v>&lt;#dbvalue(0_DesignBasisInfo;12;"VALUE";)&gt;</v>
      </c>
      <c r="AA2" s="83" t="str">
        <f>'Project Direct Metrics'!$B$4</f>
        <v>&lt;#dbvalue(2_Equipment_ISBL_Data;0;"KEYQUANT";)&gt;</v>
      </c>
      <c r="AB2" s="83" t="str">
        <f>'Project Direct Metrics'!$B$5</f>
        <v>&lt;#dbvalue(2_Equipment_ISBL_Data;1;"KEYQUANT";)&gt;</v>
      </c>
      <c r="AC2" s="83" t="str">
        <f>'Project Direct Metrics'!$B$6</f>
        <v>&lt;#dbvalue(2_Equipment_ISBL_Data;2;"KEYQUANT";)&gt;</v>
      </c>
      <c r="AD2" s="83" t="str">
        <f>'Project Direct Metrics'!$B$7</f>
        <v>&lt;#dbvalue(2_Equipment_ISBL_Data;3;"KEYQUANT";)&gt;</v>
      </c>
      <c r="AE2" s="83" t="str">
        <f>'Project Direct Metrics'!$B$8</f>
        <v>&lt;#dbvalue(2_Equipment_ISBL_Data;4;"KEYQUANT";)&gt;</v>
      </c>
      <c r="AF2" s="83" t="str">
        <f>'Project Direct Metrics'!$B$9</f>
        <v>&lt;#dbvalue(2_Equipment_ISBL_Data;5;"KEYQUANT";)&gt;</v>
      </c>
      <c r="AG2" s="83" t="str">
        <f>'Project Direct Metrics'!$B$10</f>
        <v>&lt;#dbvalue(2_Equipment_ISBL_Data;6;"KEYQUANT";)&gt;</v>
      </c>
      <c r="AH2" s="83" t="str">
        <f>'Project Direct Metrics'!$B$11</f>
        <v>&lt;#dbvalue(2_Equipment_ISBL_Data;7;"KEYQUANT";)&gt;</v>
      </c>
      <c r="AI2" s="83" t="str">
        <f>'Project Direct Metrics'!$B$12</f>
        <v>&lt;#dbvalue(2_Equipment_ISBL_Data;8;"KEYQUANT";)&gt;</v>
      </c>
      <c r="AJ2" s="83" t="str">
        <f>'Project Direct Metrics'!$B$13</f>
        <v>&lt;#dbvalue(2_Equipment_ISBL_Data;9;"KEYQUANT";)&gt;</v>
      </c>
      <c r="AK2" s="83" t="str">
        <f>'Project Direct Metrics'!$B$14</f>
        <v>&lt;#dbvalue(2_Equipment_ISBL_Data;10;"KEYQUANT";)&gt;</v>
      </c>
      <c r="AL2" s="83" t="str">
        <f>'Project Direct Metrics'!$B$15</f>
        <v>&lt;#dbvalue(2_Equipment_ISBL_Data;11;"KEYQUANT";)&gt;</v>
      </c>
      <c r="AM2" s="83" t="str">
        <f>'Project Direct Metrics'!$B$16</f>
        <v>&lt;#dbvalue(2_Equipment_ISBL_Data;12;"KEYQUANT";)&gt;</v>
      </c>
      <c r="AN2" s="83" t="str">
        <f>'Project Direct Metrics'!$B$17</f>
        <v>&lt;#dbvalue(2_Equipment_ISBL_Data;13;"KEYQUANT";)&gt;</v>
      </c>
      <c r="AO2" s="83" t="str">
        <f>'Project Direct Metrics'!$B$18</f>
        <v>&lt;#dbvalue(2_Equipment_ISBL_Data;14;"KEYQUANT";)&gt;</v>
      </c>
      <c r="AP2" s="83" t="str">
        <f>'Project Direct Metrics'!$B$19</f>
        <v>&lt;#dbvalue(2_Equipment_ISBL_Data;15;"KEYQUANT";)&gt;</v>
      </c>
      <c r="AQ2" s="83" t="str">
        <f>'Project Direct Metrics'!$B$20</f>
        <v>&lt;#dbvalue(2_Equipment_ISBL_Data;16;"KEYQUANT";)&gt;</v>
      </c>
      <c r="AR2" s="83" t="str">
        <f>'Project Direct Metrics'!$B$21</f>
        <v>&lt;#dbvalue(2_Equipment_ISBL_Data;17;"KEYQUANT";)&gt;</v>
      </c>
      <c r="AS2" s="83" t="str">
        <f>'Project Direct Metrics'!$B$22</f>
        <v>&lt;#dbvalue(2_Equipment_ISBL_Data;18;"KEYQUANT";)&gt;</v>
      </c>
      <c r="AT2" s="83" t="str">
        <f>'Project Direct Metrics'!$B$23</f>
        <v>&lt;#dbvalue(2_Equipment_ISBL_Data;19;"KEYQUANT";)&gt;</v>
      </c>
      <c r="AU2" s="83" t="str">
        <f>'Project Direct Metrics'!$B$26</f>
        <v>&lt;#dbvalue(2_Equipment_ISBL_Data;22;"KEYQUANT";)&gt;</v>
      </c>
      <c r="AV2" s="83" t="str">
        <f>'Project Direct Metrics'!$C$4</f>
        <v>&lt;#dbvalue(2_Equipment_OSBL_Data;0;"KEYQUANT";)&gt;</v>
      </c>
      <c r="AW2" s="83" t="str">
        <f>'Project Direct Metrics'!$C$5</f>
        <v>&lt;#dbvalue(2_Equipment_OSBL_Data;1;"KEYQUANT";)&gt;</v>
      </c>
      <c r="AX2" s="83" t="str">
        <f>'Project Direct Metrics'!$C$6</f>
        <v>&lt;#dbvalue(2_Equipment_OSBL_Data;2;"KEYQUANT";)&gt;</v>
      </c>
      <c r="AY2" s="83" t="str">
        <f>'Project Direct Metrics'!$C$7</f>
        <v>&lt;#dbvalue(2_Equipment_OSBL_Data;3;"KEYQUANT";)&gt;</v>
      </c>
      <c r="AZ2" s="83" t="str">
        <f>'Project Direct Metrics'!$C$8</f>
        <v>&lt;#dbvalue(2_Equipment_OSBL_Data;4;"KEYQUANT";)&gt;</v>
      </c>
      <c r="BA2" s="83" t="str">
        <f>'Project Direct Metrics'!$C$9</f>
        <v>&lt;#dbvalue(2_Equipment_OSBL_Data;5;"KEYQUANT";)&gt;</v>
      </c>
      <c r="BB2" s="83" t="str">
        <f>'Project Direct Metrics'!$C$10</f>
        <v>&lt;#dbvalue(2_Equipment_OSBL_Data;6;"KEYQUANT";)&gt;</v>
      </c>
      <c r="BC2" s="83" t="str">
        <f>'Project Direct Metrics'!$C$11</f>
        <v>&lt;#dbvalue(2_Equipment_OSBL_Data;7;"KEYQUANT";)&gt;</v>
      </c>
      <c r="BD2" s="83" t="str">
        <f>'Project Direct Metrics'!$C$12</f>
        <v>&lt;#dbvalue(2_Equipment_OSBL_Data;8;"KEYQUANT";)&gt;</v>
      </c>
      <c r="BE2" s="83" t="str">
        <f>'Project Direct Metrics'!$C$13</f>
        <v>&lt;#dbvalue(2_Equipment_OSBL_Data;9;"KEYQUANT";)&gt;</v>
      </c>
      <c r="BF2" s="83" t="str">
        <f>'Project Direct Metrics'!$C$14</f>
        <v>&lt;#dbvalue(2_Equipment_OSBL_Data;10;"KEYQUANT";)&gt;</v>
      </c>
      <c r="BG2" s="83" t="str">
        <f>'Project Direct Metrics'!$C$15</f>
        <v>&lt;#dbvalue(2_Equipment_OSBL_Data;11;"KEYQUANT";)&gt;</v>
      </c>
      <c r="BH2" s="83" t="str">
        <f>'Project Direct Metrics'!$C$16</f>
        <v>&lt;#dbvalue(2_Equipment_OSBL_Data;12;"KEYQUANT";)&gt;</v>
      </c>
      <c r="BI2" s="83" t="str">
        <f>'Project Direct Metrics'!$C$17</f>
        <v>&lt;#dbvalue(2_Equipment_OSBL_Data;13;"KEYQUANT";)&gt;</v>
      </c>
      <c r="BJ2" s="83" t="str">
        <f>'Project Direct Metrics'!$C$18</f>
        <v>&lt;#dbvalue(2_Equipment_OSBL_Data;14;"KEYQUANT";)&gt;</v>
      </c>
      <c r="BK2" s="83" t="str">
        <f>'Project Direct Metrics'!$C$19</f>
        <v>&lt;#dbvalue(2_Equipment_OSBL_Data;15;"KEYQUANT";)&gt;</v>
      </c>
      <c r="BL2" s="83" t="str">
        <f>'Project Direct Metrics'!$C$20</f>
        <v>&lt;#dbvalue(2_Equipment_OSBL_Data;16;"KEYQUANT";)&gt;</v>
      </c>
      <c r="BM2" s="83" t="str">
        <f>'Project Direct Metrics'!$C$21</f>
        <v>&lt;#dbvalue(2_Equipment_OSBL_Data;17;"KEYQUANT";)&gt;</v>
      </c>
      <c r="BN2" s="83" t="str">
        <f>'Project Direct Metrics'!$C$22</f>
        <v>&lt;#dbvalue(2_Equipment_OSBL_Data;18;"KEYQUANT";)&gt;</v>
      </c>
      <c r="BO2" s="83" t="str">
        <f>'Project Direct Metrics'!$C$23</f>
        <v>&lt;#dbvalue(2_Equipment_OSBL_Data;19;"KEYQUANT";)&gt;</v>
      </c>
      <c r="BP2" s="83" t="str">
        <f>'Project Direct Metrics'!$C$26</f>
        <v>&lt;#dbvalue(2_Equipment_OSBL_Data;22;"KEYQUANT";)&gt;</v>
      </c>
      <c r="BQ2" s="81" t="str">
        <f>'Project Direct Metrics'!$B$30</f>
        <v>&lt;#dbvalue(3_Piping_ISBL_Data;0;"KEYQUANT";)&gt;</v>
      </c>
      <c r="BR2" s="81" t="str">
        <f>'Project Direct Metrics'!$B$31</f>
        <v>&lt;#dbvalue(3_Piping_ISBL_Data;1;"KEYQUANT";)&gt;</v>
      </c>
      <c r="BS2" s="81" t="str">
        <f>'Project Direct Metrics'!$B$32</f>
        <v>&lt;#dbvalue(3_Piping_ISBL_Data;2;"KEYQUANT";)&gt;</v>
      </c>
      <c r="BT2" s="81" t="str">
        <f>'Project Direct Metrics'!$B$33</f>
        <v>&lt;#dbvalue(3_Piping_ISBL_Data;3;"KEYQUANT";)&gt;</v>
      </c>
      <c r="BU2" s="81" t="str">
        <f>'Project Direct Metrics'!$B$34</f>
        <v>&lt;#dbvalue(3_Piping_ISBL_Data;4;"KEYQUANT";)&gt;</v>
      </c>
      <c r="BV2" s="81" t="str">
        <f>'Project Direct Metrics'!$B$35</f>
        <v>&lt;#dbvalue(3_Piping_ISBL_Data;5;"KEYQUANT";)&gt;</v>
      </c>
      <c r="BW2" s="81" t="str">
        <f>'Project Direct Metrics'!$B$36</f>
        <v>&lt;#dbvalue(3_Piping_ISBL_Data;6;"KEYQUANT";)&gt;</v>
      </c>
      <c r="BX2" s="81" t="str">
        <f>'Project Direct Metrics'!$B$37</f>
        <v>&lt;#dbvalue(3_Piping_ISBL_Data;7;"KEYQUANT";)&gt;</v>
      </c>
      <c r="BY2" s="81" t="str">
        <f>'Project Direct Metrics'!$B$38</f>
        <v>&lt;#dbvalue(3_Piping_ISBL_Data;8;"KEYQUANT";)&gt;</v>
      </c>
      <c r="BZ2" s="81" t="str">
        <f>'Project Direct Metrics'!$B$39</f>
        <v>&lt;#dbvalue(3_Piping_ISBL_Data;9;"KEYQUANT";)&gt;</v>
      </c>
      <c r="CA2" s="81" t="str">
        <f>'Project Direct Metrics'!$B$40</f>
        <v>&lt;#dbvalue(3_Piping_ISBL_Data;10;"KEYQUANT";)&gt;</v>
      </c>
      <c r="CB2" s="81" t="str">
        <f>'Project Direct Metrics'!$B$41</f>
        <v>&lt;#dbvalue(3_Piping_ISBL_Data;11;"KEYQUANT";)&gt;</v>
      </c>
      <c r="CC2" s="81" t="str">
        <f>'Project Direct Metrics'!$B$42</f>
        <v>&lt;#dbvalue(3_Piping_ISBL_Data;12;"KEYQUANT";)&gt;</v>
      </c>
      <c r="CD2" s="81" t="str">
        <f>'Project Direct Metrics'!$B$43</f>
        <v>&lt;#dbvalue(3_Piping_ISBL_Data;13;"KEYQUANT";)&gt;</v>
      </c>
      <c r="CE2" s="81" t="str">
        <f>'Project Direct Metrics'!$B$44</f>
        <v>&lt;#dbvalue(3_Piping_ISBL_Data;14;"KEYQUANT";)&gt;</v>
      </c>
      <c r="CF2" s="81" t="str">
        <f>'Project Direct Metrics'!$B$46</f>
        <v>&lt;#dbvalue(3_Piping_ISBL_Data;16;"KEYQUANT";)&gt;</v>
      </c>
      <c r="CG2" s="81" t="str">
        <f>'Project Direct Metrics'!$C$30</f>
        <v>&lt;#dbvalue(3_Piping_OSBL_Data;0;"KEYQUANT";)&gt;</v>
      </c>
      <c r="CH2" s="81" t="str">
        <f>'Project Direct Metrics'!$C$31</f>
        <v>&lt;#dbvalue(3_Piping_OSBL_Data;1;"KEYQUANT";)&gt;</v>
      </c>
      <c r="CI2" s="81" t="str">
        <f>'Project Direct Metrics'!$C$32</f>
        <v>&lt;#dbvalue(3_Piping_OSBL_Data;2;"KEYQUANT";)&gt;</v>
      </c>
      <c r="CJ2" s="81" t="str">
        <f>'Project Direct Metrics'!$C$33</f>
        <v>&lt;#dbvalue(3_Piping_OSBL_Data;3;"KEYQUANT";)&gt;</v>
      </c>
      <c r="CK2" s="81" t="str">
        <f>'Project Direct Metrics'!$C$34</f>
        <v>&lt;#dbvalue(3_Piping_OSBL_Data;4;"KEYQUANT";)&gt;</v>
      </c>
      <c r="CL2" s="81" t="str">
        <f>'Project Direct Metrics'!$C$35</f>
        <v>&lt;#dbvalue(3_Piping_OSBL_Data;5;"KEYQUANT";)&gt;</v>
      </c>
      <c r="CM2" s="81" t="str">
        <f>'Project Direct Metrics'!$C$36</f>
        <v>&lt;#dbvalue(3_Piping_OSBL_Data;6;"KEYQUANT";)&gt;</v>
      </c>
      <c r="CN2" s="81" t="str">
        <f>'Project Direct Metrics'!$C$37</f>
        <v>&lt;#dbvalue(3_Piping_OSBL_Data;7;"KEYQUANT";)&gt;</v>
      </c>
      <c r="CO2" s="81" t="str">
        <f>'Project Direct Metrics'!$C$38</f>
        <v>&lt;#dbvalue(3_Piping_OSBL_Data;8;"KEYQUANT";)&gt;</v>
      </c>
      <c r="CP2" s="81" t="str">
        <f>'Project Direct Metrics'!$C$39</f>
        <v>&lt;#dbvalue(3_Piping_OSBL_Data;9;"KEYQUANT";)&gt;</v>
      </c>
      <c r="CQ2" s="81" t="str">
        <f>'Project Direct Metrics'!$C$40</f>
        <v>&lt;#dbvalue(3_Piping_OSBL_Data;10;"KEYQUANT";)&gt;</v>
      </c>
      <c r="CR2" s="81" t="str">
        <f>'Project Direct Metrics'!$C$41</f>
        <v>&lt;#dbvalue(3_Piping_OSBL_Data;11;"KEYQUANT";)&gt;</v>
      </c>
      <c r="CS2" s="81" t="str">
        <f>'Project Direct Metrics'!$C$42</f>
        <v>&lt;#dbvalue(3_Piping_OSBL_Data;12;"KEYQUANT";)&gt;</v>
      </c>
      <c r="CT2" s="81" t="str">
        <f>'Project Direct Metrics'!$C$43</f>
        <v>&lt;#dbvalue(3_Piping_OSBL_Data;13;"KEYQUANT";)&gt;</v>
      </c>
      <c r="CU2" s="81" t="str">
        <f>'Project Direct Metrics'!$C$44</f>
        <v>&lt;#dbvalue(3_Piping_OSBL_Data;14;"KEYQUANT";)&gt;</v>
      </c>
      <c r="CV2" s="81" t="str">
        <f>'Project Direct Metrics'!$C$46</f>
        <v>&lt;#dbvalue(3_Piping_OSBL_Data;16;"KEYQUANT";)&gt;</v>
      </c>
      <c r="CW2" s="81" t="str">
        <f>'Project Direct Metrics'!$B$50</f>
        <v>&lt;#dbvalue(3_PipingByInstall_ISBL_Data;0;"KEYQUANT";)&gt;</v>
      </c>
      <c r="CX2" s="81" t="str">
        <f>'Project Direct Metrics'!$B$51</f>
        <v>&lt;#dbvalue(3_PipingByInstall_ISBL_Data;1;"KEYQUANT";)&gt;</v>
      </c>
      <c r="CY2" s="81" t="str">
        <f>'Project Direct Metrics'!$B$54</f>
        <v>&lt;#dbvalue(3_PipingBySize_ISBL_Data;0;"KEYQUANT";)&gt;</v>
      </c>
      <c r="CZ2" s="81" t="str">
        <f>'Project Direct Metrics'!$B$55</f>
        <v>&lt;#dbvalue(3_PipingBySize_ISBL_Data;1;"KEYQUANT";)&gt;</v>
      </c>
      <c r="DA2" s="81" t="str">
        <f>'Project Direct Metrics'!$B$56</f>
        <v>&lt;#dbvalue(3_PipingBySize_ISBL_Data;2;"KEYQUANT";)&gt;</v>
      </c>
      <c r="DB2" s="81" t="str">
        <f>'Project Direct Metrics'!$B$57</f>
        <v>&lt;#dbvalue(3_PipingBySize_ISBL_Data;3;"KEYQUANT";)&gt;</v>
      </c>
      <c r="DC2" s="81" t="str">
        <f>'Project Direct Metrics'!$B$58</f>
        <v>&lt;#dbvalue(3_PipingBySize_ISBL_Data;4;"KEYQUANT";)&gt;</v>
      </c>
      <c r="DD2" s="81" t="str">
        <f>'Project Direct Metrics'!$C$50</f>
        <v>&lt;#dbvalue(3_PipingByInstall_OSBL_Data;0;"KEYQUANT";)&gt;</v>
      </c>
      <c r="DE2" s="81" t="str">
        <f>'Project Direct Metrics'!$C$51</f>
        <v>&lt;#dbvalue(3_PipingByInstall_OSBL_Data;1;"KEYQUANT";)&gt;</v>
      </c>
      <c r="DF2" s="81" t="str">
        <f>'Project Direct Metrics'!$C$54</f>
        <v>&lt;#dbvalue(3_PipingBySize_OSBL_Data;0;"KEYQUANT";)&gt;</v>
      </c>
      <c r="DG2" s="81" t="str">
        <f>'Project Direct Metrics'!$C$55</f>
        <v>&lt;#dbvalue(3_PipingBySize_OSBL_Data;1;"KEYQUANT";)&gt;</v>
      </c>
      <c r="DH2" s="81" t="str">
        <f>'Project Direct Metrics'!$C$56</f>
        <v>&lt;#dbvalue(3_PipingBySize_OSBL_Data;2;"KEYQUANT";)&gt;</v>
      </c>
      <c r="DI2" s="81" t="str">
        <f>'Project Direct Metrics'!$C$57</f>
        <v>&lt;#dbvalue(3_PipingBySize_OSBL_Data;3;"KEYQUANT";)&gt;</v>
      </c>
      <c r="DJ2" s="81" t="str">
        <f>'Project Direct Metrics'!$C$58</f>
        <v>&lt;#dbvalue(3_PipingBySize_OSBL_Data;4;"KEYQUANT";)&gt;</v>
      </c>
      <c r="DK2" s="81" t="str">
        <f>'Project Direct Metrics'!$B$61</f>
        <v>&lt;#dbvalue(4_Civil_ISBL_Data;0;"KEYQUANT";)&gt;</v>
      </c>
      <c r="DL2" s="81" t="str">
        <f>'Project Direct Metrics'!$B$62</f>
        <v>&lt;#dbvalue(4_Civil_ISBL_Data;1;"KEYQUANT";)&gt;</v>
      </c>
      <c r="DM2" s="81" t="str">
        <f>'Project Direct Metrics'!$B$63</f>
        <v>&lt;#dbvalue(4_Civil_ISBL_Data;2;"KEYQUANT";)&gt;</v>
      </c>
      <c r="DN2" s="81" t="str">
        <f>'Project Direct Metrics'!$B$64</f>
        <v>&lt;#dbvalue(4_Civil_ISBL_Data;3;"KEYQUANT";)&gt;</v>
      </c>
      <c r="DO2" s="81" t="str">
        <f>'Project Direct Metrics'!$B$65</f>
        <v>&lt;#dbvalue(4_Civil_ISBL_Data;4;"KEYQUANT";)&gt;</v>
      </c>
      <c r="DP2" s="81" t="str">
        <f>'Project Direct Metrics'!$B$66</f>
        <v>&lt;#dbvalue(4_Civil_ISBL_Data;5;"KEYQUANT";)&gt;</v>
      </c>
      <c r="DQ2" s="81" t="str">
        <f>'Project Direct Metrics'!$B$67</f>
        <v>&lt;#dbvalue(4_Civil_ISBL_Data;6;"KEYQUANT";)&gt;</v>
      </c>
      <c r="DR2" s="81" t="str">
        <f>'Project Direct Metrics'!$B$68</f>
        <v>&lt;#dbvalue(4_Civil_ISBL_Data;7;"KEYQUANT";)&gt;</v>
      </c>
      <c r="DS2" s="81" t="str">
        <f>'Project Direct Metrics'!$C$61</f>
        <v>&lt;#dbvalue(4_Civil_OSBL_Data;0;"KEYQUANT";)&gt;</v>
      </c>
      <c r="DT2" s="81" t="str">
        <f>'Project Direct Metrics'!$C$62</f>
        <v>&lt;#dbvalue(4_Civil_OSBL_Data;1;"KEYQUANT";)&gt;</v>
      </c>
      <c r="DU2" s="81" t="str">
        <f>'Project Direct Metrics'!$C$63</f>
        <v>&lt;#dbvalue(4_Civil_OSBL_Data;2;"KEYQUANT";)&gt;</v>
      </c>
      <c r="DV2" s="81" t="str">
        <f>'Project Direct Metrics'!$C$64</f>
        <v>&lt;#dbvalue(4_Civil_OSBL_Data;3;"KEYQUANT";)&gt;</v>
      </c>
      <c r="DW2" s="81" t="str">
        <f>'Project Direct Metrics'!$C$65</f>
        <v>&lt;#dbvalue(4_Civil_OSBL_Data;4;"KEYQUANT";)&gt;</v>
      </c>
      <c r="DX2" s="81" t="str">
        <f>'Project Direct Metrics'!$C$66</f>
        <v>&lt;#dbvalue(4_Civil_OSBL_Data;5;"KEYQUANT";)&gt;</v>
      </c>
      <c r="DY2" s="81" t="str">
        <f>'Project Direct Metrics'!$C$67</f>
        <v>&lt;#dbvalue(4_Civil_OSBL_Data;6;"KEYQUANT";)&gt;</v>
      </c>
      <c r="DZ2" s="81" t="str">
        <f>'Project Direct Metrics'!$C$68</f>
        <v>&lt;#dbvalue(4_Civil_OSBL_Data;7;"KEYQUANT";)&gt;</v>
      </c>
      <c r="EA2" s="81" t="str">
        <f>'Project Direct Metrics'!$B$75</f>
        <v>&lt;#dbvalue(5_Steel_ISBL_Data;0;"KEYQUANT";)&gt;</v>
      </c>
      <c r="EB2" s="81" t="str">
        <f>'Project Direct Metrics'!$B$76</f>
        <v>&lt;#dbvalue(5_Steel_ISBL_Data;1;"KEYQUANT";)&gt;</v>
      </c>
      <c r="EC2" s="81" t="str">
        <f>'Project Direct Metrics'!$B$77</f>
        <v>&lt;#dbvalue(5_Steel_ISBL_Data;2;"KEYQUANT";)&gt;</v>
      </c>
      <c r="ED2" s="81" t="str">
        <f>'Project Direct Metrics'!$B$78</f>
        <v>&lt;#dbvalue(5_Steel_ISBL_Data;3;"KEYQUANT";)&gt;</v>
      </c>
      <c r="EE2" s="81" t="str">
        <f>'Project Direct Metrics'!$B$79</f>
        <v>&lt;#dbvalue(5_Steel_ISBL_Data;4;"KEYQUANT";)&gt;</v>
      </c>
      <c r="EF2" s="81" t="str">
        <f>'Project Direct Metrics'!$B$80</f>
        <v>&lt;#dbvalue(5_Steel_ISBL_Data;5;"KEYQUANT";)&gt;</v>
      </c>
      <c r="EG2" s="81" t="str">
        <f>'Project Direct Metrics'!$B$81</f>
        <v>&lt;#dbvalue(5_Steel_ISBL_Data;6;"KEYQUANT";)&gt;</v>
      </c>
      <c r="EH2" s="81" t="str">
        <f>'Project Direct Metrics'!$B$82</f>
        <v>&lt;#dbvalue(5_Steel_ISBL_Data;7;"KEYQUANT";)&gt;</v>
      </c>
      <c r="EI2" s="81" t="str">
        <f>'Project Direct Metrics'!$C$75</f>
        <v>&lt;#dbvalue(5_Steel_OSBL_Data;0;"KEYQUANT";)&gt;</v>
      </c>
      <c r="EJ2" s="81" t="str">
        <f>'Project Direct Metrics'!$C$76</f>
        <v>&lt;#dbvalue(5_Steel_OSBL_Data;1;"KEYQUANT";)&gt;</v>
      </c>
      <c r="EK2" s="81" t="str">
        <f>'Project Direct Metrics'!$C$77</f>
        <v>&lt;#dbvalue(5_Steel_OSBL_Data;2;"KEYQUANT";)&gt;</v>
      </c>
      <c r="EL2" s="81" t="str">
        <f>'Project Direct Metrics'!$C$78</f>
        <v>&lt;#dbvalue(5_Steel_OSBL_Data;3;"KEYQUANT";)&gt;</v>
      </c>
      <c r="EM2" s="81" t="str">
        <f>'Project Direct Metrics'!$C$79</f>
        <v>&lt;#dbvalue(5_Steel_OSBL_Data;4;"KEYQUANT";)&gt;</v>
      </c>
      <c r="EN2" s="81" t="str">
        <f>'Project Direct Metrics'!$C$80</f>
        <v>&lt;#dbvalue(5_Steel_OSBL_Data;5;"KEYQUANT";)&gt;</v>
      </c>
      <c r="EO2" s="81" t="str">
        <f>'Project Direct Metrics'!$C$81</f>
        <v>&lt;#dbvalue(5_Steel_OSBL_Data;6;"KEYQUANT";)&gt;</v>
      </c>
      <c r="EP2" s="81" t="str">
        <f>'Project Direct Metrics'!$C$82</f>
        <v>&lt;#dbvalue(5_Steel_OSBL_Data;7;"KEYQUANT";)&gt;</v>
      </c>
      <c r="EQ2" s="81" t="str">
        <f>'Project Direct Metrics'!$B$86</f>
        <v>&lt;#dbvalue(6_Instrumentation_ISBL_Data;0;"KEYQUANT";)&gt;</v>
      </c>
      <c r="ER2" s="81" t="str">
        <f>'Project Direct Metrics'!$B$87</f>
        <v>&lt;#dbvalue(6_Instrumentation_ISBL_Data;1;"KEYQUANT";)&gt;</v>
      </c>
      <c r="ES2" s="81" t="str">
        <f>'Project Direct Metrics'!$B$88</f>
        <v>&lt;#dbvalue(6_Instrumentation_ISBL_Data;2;"KEYQUANT";)&gt;</v>
      </c>
      <c r="ET2" s="81" t="str">
        <f>'Project Direct Metrics'!$B$89</f>
        <v>&lt;#dbvalue(6_Instrumentation_ISBL_Data;3;"KEYQUANT";)&gt;</v>
      </c>
      <c r="EU2" s="81" t="str">
        <f>'Project Direct Metrics'!$B$90</f>
        <v>&lt;#dbvalue(6_Instrumentation_ISBL_Data;4;"KEYQUANT";)&gt;</v>
      </c>
      <c r="EV2" s="81" t="str">
        <f>'Project Direct Metrics'!$B$91</f>
        <v>&lt;#dbvalue(6_Instrumentation_ISBL_Data;5;"KEYQUANT";)&gt;</v>
      </c>
      <c r="EW2" s="81" t="str">
        <f>'Project Direct Metrics'!$C$86</f>
        <v>&lt;#dbvalue(6_Instrumentation_OSBL_Data;0;"KEYQUANT";)&gt;</v>
      </c>
      <c r="EX2" s="81" t="str">
        <f>'Project Direct Metrics'!$C$87</f>
        <v>&lt;#dbvalue(6_Instrumentation_OSBL_Data;1;"KEYQUANT";)&gt;</v>
      </c>
      <c r="EY2" s="81" t="str">
        <f>'Project Direct Metrics'!$C$88</f>
        <v>&lt;#dbvalue(6_Instrumentation_OSBL_Data;2;"KEYQUANT";)&gt;</v>
      </c>
      <c r="EZ2" s="81" t="str">
        <f>'Project Direct Metrics'!$C$89</f>
        <v>&lt;#dbvalue(6_Instrumentation_OSBL_Data;3;"KEYQUANT";)&gt;</v>
      </c>
      <c r="FA2" s="81" t="str">
        <f>'Project Direct Metrics'!$C$90</f>
        <v>&lt;#dbvalue(6_Instrumentation_OSBL_Data;4;"KEYQUANT";)&gt;</v>
      </c>
      <c r="FB2" s="81" t="str">
        <f>'Project Direct Metrics'!$C$91</f>
        <v>&lt;#dbvalue(6_Instrumentation_OSBL_Data;5;"KEYQUANT";)&gt;</v>
      </c>
      <c r="FC2" s="81" t="str">
        <f>'Project Direct Metrics'!$B$99</f>
        <v>&lt;#dbvalue(7_Electrical_ISBL_Data;0;"KEYQUANT";)&gt;</v>
      </c>
      <c r="FD2" s="81" t="str">
        <f>'Project Direct Metrics'!$B$100</f>
        <v>&lt;#dbvalue(7_Electrical_ISBL_Data;1;"KEYQUANT";)&gt;</v>
      </c>
      <c r="FE2" s="81" t="str">
        <f>'Project Direct Metrics'!$B$101</f>
        <v>&lt;#dbvalue(7_Electrical_ISBL_Data;2;"KEYQUANT";)&gt;</v>
      </c>
      <c r="FF2" s="81" t="str">
        <f>'Project Direct Metrics'!$B$102</f>
        <v>&lt;#dbvalue(7_Electrical_ISBL_Data;3;"KEYQUANT";)&gt;</v>
      </c>
      <c r="FG2" s="81" t="str">
        <f>'Project Direct Metrics'!$B$103</f>
        <v>&lt;#dbvalue(7_Electrical_ISBL_Data;4;"KEYQUANT";)&gt;</v>
      </c>
      <c r="FH2" s="81" t="str">
        <f>'Project Direct Metrics'!$B$104</f>
        <v>&lt;#dbvalue(7_Electrical_ISBL_Data;5;"KEYQUANT";)&gt;</v>
      </c>
      <c r="FI2" s="81" t="str">
        <f>'Project Direct Metrics'!$B$105</f>
        <v>&lt;#dbvalue(7_Electrical_ISBL_Data;6;"KEYQUANT";)&gt;</v>
      </c>
      <c r="FJ2" s="81" t="str">
        <f>'Project Direct Metrics'!$B$106</f>
        <v>&lt;#dbvalue(7_Electrical_ISBL_Data;7;"KEYQUANT";)&gt;</v>
      </c>
      <c r="FK2" s="81" t="str">
        <f>'Project Direct Metrics'!$B$107</f>
        <v>&lt;#dbvalue(7_Electrical_ISBL_Data;8;"KEYQUANT";)&gt;</v>
      </c>
      <c r="FL2" s="81" t="str">
        <f>'Project Direct Metrics'!$B$108</f>
        <v>&lt;#dbvalue(7_Electrical_ISBL_Data;9;"KEYQUANT";)&gt;</v>
      </c>
      <c r="FM2" s="81" t="str">
        <f>'Project Direct Metrics'!$B$109</f>
        <v>&lt;#dbvalue(7_Electrical_ISBL_Data;10;"KEYQUANT";)&gt;</v>
      </c>
      <c r="FN2" s="81" t="str">
        <f>'Project Direct Metrics'!$B$115</f>
        <v>&lt;#dbvalue(7_ElectricalByInstall_ISBL_Data;0;"KEYQUANT";)&gt;</v>
      </c>
      <c r="FO2" s="81" t="str">
        <f>'Project Direct Metrics'!$B$116</f>
        <v>&lt;#dbvalue(7_ElectricalByInstall_ISBL_Data;1;"KEYQUANT";)&gt;</v>
      </c>
      <c r="FP2" s="81" t="str">
        <f>'Project Direct Metrics'!$C$99</f>
        <v>&lt;#dbvalue(7_Electrical_OSBL_Data;0;"KEYQUANT";)&gt;</v>
      </c>
      <c r="FQ2" s="81" t="str">
        <f>'Project Direct Metrics'!$C$100</f>
        <v>&lt;#dbvalue(7_Electrical_OSBL_Data;1;"KEYQUANT";)&gt;</v>
      </c>
      <c r="FR2" s="81" t="str">
        <f>'Project Direct Metrics'!$C$101</f>
        <v>&lt;#dbvalue(7_Electrical_OSBL_Data;2;"KEYQUANT";)&gt;</v>
      </c>
      <c r="FS2" s="81" t="str">
        <f>'Project Direct Metrics'!$C$102</f>
        <v>&lt;#dbvalue(7_Electrical_OSBL_Data;3;"KEYQUANT";)&gt;</v>
      </c>
      <c r="FT2" s="81" t="str">
        <f>'Project Direct Metrics'!$C$103</f>
        <v>&lt;#dbvalue(7_Electrical_OSBL_Data;4;"KEYQUANT";)&gt;</v>
      </c>
      <c r="FU2" s="81" t="str">
        <f>'Project Direct Metrics'!$C$104</f>
        <v>&lt;#dbvalue(7_Electrical_OSBL_Data;5;"KEYQUANT";)&gt;</v>
      </c>
      <c r="FV2" s="81" t="str">
        <f>'Project Direct Metrics'!$C$105</f>
        <v>&lt;#dbvalue(7_Electrical_OSBL_Data;6;"KEYQUANT";)&gt;</v>
      </c>
      <c r="FW2" s="81" t="str">
        <f>'Project Direct Metrics'!$C$106</f>
        <v>&lt;#dbvalue(7_Electrical_OSBL_Data;7;"KEYQUANT";)&gt;</v>
      </c>
      <c r="FX2" s="81" t="str">
        <f>'Project Direct Metrics'!$C$107</f>
        <v>&lt;#dbvalue(7_Electrical_OSBL_Data;8;"KEYQUANT";)&gt;</v>
      </c>
      <c r="FY2" s="81" t="str">
        <f>'Project Direct Metrics'!$C$108</f>
        <v>&lt;#dbvalue(7_Electrical_OSBL_Data;9;"KEYQUANT";)&gt;</v>
      </c>
      <c r="FZ2" s="81" t="str">
        <f>'Project Direct Metrics'!$C$109</f>
        <v>&lt;#dbvalue(7_Electrical_OSBL_Data;10;"KEYQUANT";)&gt;</v>
      </c>
      <c r="GA2" s="81" t="str">
        <f>'Project Direct Metrics'!$C$115</f>
        <v>&lt;#dbvalue(7_ElectricalByInstall_OSBL_Data;0;"KEYQUANT";)&gt;</v>
      </c>
      <c r="GB2" s="81" t="str">
        <f>'Project Direct Metrics'!$C$116</f>
        <v>&lt;#dbvalue(7_ElectricalByInstall_OSBL_Data;1;"KEYQUANT";)&gt;</v>
      </c>
      <c r="GC2" s="81" t="str">
        <f>'Project Direct Metrics'!$B$119</f>
        <v>&lt;#dbvalue(8_Insulation_ISBL_Data;0;"KEYQUANT";)&gt;</v>
      </c>
      <c r="GD2" s="81" t="str">
        <f>'Project Direct Metrics'!$B$120</f>
        <v>&lt;#dbvalue(8_Insulation_ISBL_Data;1;"KEYQUANT";)&gt;</v>
      </c>
      <c r="GE2" s="81" t="str">
        <f>'Project Direct Metrics'!$B$121</f>
        <v>&lt;#dbvalue(8_Insulation_ISBL_Data;2;"KEYQUANT";)&gt;</v>
      </c>
      <c r="GF2" s="81" t="str">
        <f>'Project Direct Metrics'!$B$122</f>
        <v>&lt;#dbvalue(8_Insulation_ISBL_Data;3;"KEYQUANT";)&gt;</v>
      </c>
      <c r="GG2" s="81" t="str">
        <f>'Project Direct Metrics'!$C$119</f>
        <v>&lt;#dbvalue(8_Insulation_OSBL_Data;0;"KEYQUANT";)&gt;</v>
      </c>
      <c r="GH2" s="81" t="str">
        <f>'Project Direct Metrics'!$C$120</f>
        <v>&lt;#dbvalue(8_Insulation_OSBL_Data;1;"KEYQUANT";)&gt;</v>
      </c>
      <c r="GI2" s="81" t="str">
        <f>'Project Direct Metrics'!$C$121</f>
        <v>&lt;#dbvalue(8_Insulation_OSBL_Data;2;"KEYQUANT";)&gt;</v>
      </c>
      <c r="GJ2" s="81" t="str">
        <f>'Project Direct Metrics'!$C$122</f>
        <v>&lt;#dbvalue(8_Insulation_OSBL_Data;3;"KEYQUANT";)&gt;</v>
      </c>
      <c r="GK2" s="81" t="str">
        <f>'Project Direct Metrics'!$B$128</f>
        <v>&lt;#dbvalue(9_Paint_ISBL_Data;0;"KEYQUANT";)&gt;</v>
      </c>
      <c r="GL2" s="81" t="str">
        <f>'Project Direct Metrics'!$B$129</f>
        <v>&lt;#dbvalue(9_Paint_ISBL_Data;1;"KEYQUANT";)&gt;</v>
      </c>
      <c r="GM2" s="81" t="str">
        <f>'Project Direct Metrics'!$B$130</f>
        <v>&lt;#dbvalue(9_Paint_ISBL_Data;2;"KEYQUANT";)&gt;</v>
      </c>
      <c r="GN2" s="81" t="str">
        <f>'Project Direct Metrics'!$B$131</f>
        <v>&lt;#dbvalue(9_Paint_ISBL_Data;3;"KEYQUANT";)&gt;</v>
      </c>
      <c r="GO2" s="81" t="str">
        <f>'Project Direct Metrics'!$B$132</f>
        <v>&lt;#dbvalue(9_Paint_ISBL_Data;4;"KEYQUANT";)&gt;</v>
      </c>
      <c r="GP2" s="81" t="str">
        <f>'Project Direct Metrics'!$B$133</f>
        <v>&lt;#dbvalue(9_Paint_ISBL_Data;5;"KEYQUANT";)&gt;</v>
      </c>
      <c r="GQ2" s="81" t="str">
        <f>'Project Direct Metrics'!$B$134</f>
        <v>&lt;#dbvalue(9_Paint_ISBL_Data;6;"KEYQUANT";)&gt;</v>
      </c>
      <c r="GR2" s="81" t="str">
        <f>'Project Direct Metrics'!$C$128</f>
        <v>&lt;#dbvalue(9_Paint_OSBL_Data;0;"KEYQUANT";)&gt;</v>
      </c>
      <c r="GS2" s="81" t="str">
        <f>'Project Direct Metrics'!$C$129</f>
        <v>&lt;#dbvalue(9_Paint_OSBL_Data;1;"KEYQUANT";)&gt;</v>
      </c>
      <c r="GT2" s="81" t="str">
        <f>'Project Direct Metrics'!$C$130</f>
        <v>&lt;#dbvalue(9_Paint_OSBL_Data;2;"KEYQUANT";)&gt;</v>
      </c>
      <c r="GU2" s="81" t="str">
        <f>'Project Direct Metrics'!$C$131</f>
        <v>&lt;#dbvalue(9_Paint_OSBL_Data;3;"KEYQUANT";)&gt;</v>
      </c>
      <c r="GV2" s="81" t="str">
        <f>'Project Direct Metrics'!$C$132</f>
        <v>&lt;#dbvalue(9_Paint_OSBL_Data;4;"KEYQUANT";)&gt;</v>
      </c>
      <c r="GW2" s="81" t="str">
        <f>'Project Direct Metrics'!$C$133</f>
        <v>&lt;#dbvalue(9_Paint_OSBL_Data;5;"KEYQUANT";)&gt;</v>
      </c>
      <c r="GX2" s="81" t="str">
        <f>'Project Direct Metrics'!$C$134</f>
        <v>&lt;#dbvalue(9_Paint_OSBL_Data;6;"KEYQUANT";)&gt;</v>
      </c>
      <c r="GY2" s="81" t="str">
        <f>'Project Direct Metrics'!$E$4</f>
        <v>&lt;#dbvalue(2_Equipment_ISBL_Data;0;"Matl";)&gt;</v>
      </c>
      <c r="GZ2" s="81" t="str">
        <f>'Project Direct Metrics'!$E$5</f>
        <v>&lt;#dbvalue(2_Equipment_ISBL_Data;1;"Matl";)&gt;</v>
      </c>
      <c r="HA2" s="81" t="str">
        <f>'Project Direct Metrics'!$E$6</f>
        <v>&lt;#dbvalue(2_Equipment_ISBL_Data;2;"Matl";)&gt;</v>
      </c>
      <c r="HB2" s="81" t="str">
        <f>'Project Direct Metrics'!$E$7</f>
        <v>&lt;#dbvalue(2_Equipment_ISBL_Data;3;"Matl";)&gt;</v>
      </c>
      <c r="HC2" s="81" t="str">
        <f>'Project Direct Metrics'!$E$8</f>
        <v>&lt;#dbvalue(2_Equipment_ISBL_Data;4;"Matl";)&gt;</v>
      </c>
      <c r="HD2" s="81" t="str">
        <f>'Project Direct Metrics'!$E$9</f>
        <v>&lt;#dbvalue(2_Equipment_ISBL_Data;5;"Matl";)&gt;</v>
      </c>
      <c r="HE2" s="81" t="str">
        <f>'Project Direct Metrics'!$E$10</f>
        <v>&lt;#dbvalue(2_Equipment_ISBL_Data;6;"Matl";)&gt;</v>
      </c>
      <c r="HF2" s="81" t="str">
        <f>'Project Direct Metrics'!$E$11</f>
        <v>&lt;#dbvalue(2_Equipment_ISBL_Data;7;"Matl";)&gt;</v>
      </c>
      <c r="HG2" s="81" t="str">
        <f>'Project Direct Metrics'!$E$12</f>
        <v>&lt;#dbvalue(2_Equipment_ISBL_Data;8;"Matl";)&gt;</v>
      </c>
      <c r="HH2" s="81" t="str">
        <f>'Project Direct Metrics'!$E$13</f>
        <v>&lt;#dbvalue(2_Equipment_ISBL_Data;9;"Matl";)&gt;</v>
      </c>
      <c r="HI2" s="81" t="str">
        <f>'Project Direct Metrics'!$E$14</f>
        <v>&lt;#dbvalue(2_Equipment_ISBL_Data;10;"Matl";)&gt;</v>
      </c>
      <c r="HJ2" s="81" t="str">
        <f>'Project Direct Metrics'!$E$15</f>
        <v>&lt;#dbvalue(2_Equipment_ISBL_Data;11;"Matl";)&gt;</v>
      </c>
      <c r="HK2" s="81" t="str">
        <f>'Project Direct Metrics'!$E$16</f>
        <v>&lt;#dbvalue(2_Equipment_ISBL_Data;12;"Matl";)&gt;</v>
      </c>
      <c r="HL2" s="81" t="str">
        <f>'Project Direct Metrics'!$E$17</f>
        <v>&lt;#dbvalue(2_Equipment_ISBL_Data;13;"Matl";)&gt;</v>
      </c>
      <c r="HM2" s="81" t="str">
        <f>'Project Direct Metrics'!$E$18</f>
        <v>&lt;#dbvalue(2_Equipment_ISBL_Data;14;"Matl";)&gt;</v>
      </c>
      <c r="HN2" s="81" t="str">
        <f>'Project Direct Metrics'!$E$19</f>
        <v>&lt;#dbvalue(2_Equipment_ISBL_Data;15;"Matl";)&gt;</v>
      </c>
      <c r="HO2" s="81" t="str">
        <f>'Project Direct Metrics'!$E$20</f>
        <v>&lt;#dbvalue(2_Equipment_ISBL_Data;16;"Matl";)&gt;</v>
      </c>
      <c r="HP2" s="81" t="str">
        <f>'Project Direct Metrics'!$E$21</f>
        <v>&lt;#dbvalue(2_Equipment_ISBL_Data;17;"Matl";)&gt;</v>
      </c>
      <c r="HQ2" s="81" t="str">
        <f>'Project Direct Metrics'!$E$22</f>
        <v>&lt;#dbvalue(2_Equipment_ISBL_Data;18;"Matl";)&gt;</v>
      </c>
      <c r="HR2" s="81" t="str">
        <f>'Project Direct Metrics'!$E$23</f>
        <v>&lt;#dbvalue(2_Equipment_ISBL_Data;19;"Matl";)&gt;</v>
      </c>
      <c r="HS2" s="81" t="str">
        <f>'Project Direct Metrics'!$E$24</f>
        <v>&lt;#dbvalue(2_Equipment_ISBL_Data;20;"Matl";)&gt;</v>
      </c>
      <c r="HT2" s="81" t="str">
        <f>'Project Direct Metrics'!$E$25</f>
        <v>&lt;#dbvalue(2_Equipment_ISBL_Data;21;"Matl";)&gt;</v>
      </c>
      <c r="HU2" s="81" t="str">
        <f>'Project Direct Metrics'!$E$26</f>
        <v>&lt;#dbvalue(2_Equipment_ISBL_Data;22;"Matl";)&gt;</v>
      </c>
      <c r="HV2" s="81" t="str">
        <f>'Project Direct Metrics'!$F$4</f>
        <v>&lt;#dbvalue(2_Equipment_OSBL_Data;0;"Matl";)&gt;</v>
      </c>
      <c r="HW2" s="81" t="str">
        <f>'Project Direct Metrics'!$F$5</f>
        <v>&lt;#dbvalue(2_Equipment_OSBL_Data;1;"Matl";)&gt;</v>
      </c>
      <c r="HX2" s="81" t="str">
        <f>'Project Direct Metrics'!$F$6</f>
        <v>&lt;#dbvalue(2_Equipment_OSBL_Data;2;"Matl";)&gt;</v>
      </c>
      <c r="HY2" s="81" t="str">
        <f>'Project Direct Metrics'!$F$7</f>
        <v>&lt;#dbvalue(2_Equipment_OSBL_Data;3;"Matl";)&gt;</v>
      </c>
      <c r="HZ2" s="81" t="str">
        <f>'Project Direct Metrics'!$F$8</f>
        <v>&lt;#dbvalue(2_Equipment_OSBL_Data;4;"Matl";)&gt;</v>
      </c>
      <c r="IA2" s="81" t="str">
        <f>'Project Direct Metrics'!$F$9</f>
        <v>&lt;#dbvalue(2_Equipment_OSBL_Data;5;"Matl";)&gt;</v>
      </c>
      <c r="IB2" s="81" t="str">
        <f>'Project Direct Metrics'!$F$10</f>
        <v>&lt;#dbvalue(2_Equipment_OSBL_Data;6;"Matl";)&gt;</v>
      </c>
      <c r="IC2" s="81" t="str">
        <f>'Project Direct Metrics'!$F$11</f>
        <v>&lt;#dbvalue(2_Equipment_OSBL_Data;7;"Matl";)&gt;</v>
      </c>
      <c r="ID2" s="81" t="str">
        <f>'Project Direct Metrics'!$F$12</f>
        <v>&lt;#dbvalue(2_Equipment_OSBL_Data;8;"Matl";)&gt;</v>
      </c>
      <c r="IE2" s="81" t="str">
        <f>'Project Direct Metrics'!$F$13</f>
        <v>&lt;#dbvalue(2_Equipment_OSBL_Data;9;"Matl";)&gt;</v>
      </c>
      <c r="IF2" s="81" t="str">
        <f>'Project Direct Metrics'!$F$14</f>
        <v>&lt;#dbvalue(2_Equipment_OSBL_Data;10;"Matl";)&gt;</v>
      </c>
      <c r="IG2" s="81" t="str">
        <f>'Project Direct Metrics'!$F$15</f>
        <v>&lt;#dbvalue(2_Equipment_OSBL_Data;11;"Matl";)&gt;</v>
      </c>
      <c r="IH2" s="81" t="str">
        <f>'Project Direct Metrics'!$F$16</f>
        <v>&lt;#dbvalue(2_Equipment_OSBL_Data;12;"Matl";)&gt;</v>
      </c>
      <c r="II2" s="81" t="str">
        <f>'Project Direct Metrics'!$F$17</f>
        <v>&lt;#dbvalue(2_Equipment_OSBL_Data;13;"Matl";)&gt;</v>
      </c>
      <c r="IJ2" s="81" t="str">
        <f>'Project Direct Metrics'!$F$18</f>
        <v>&lt;#dbvalue(2_Equipment_OSBL_Data;14;"Matl";)&gt;</v>
      </c>
      <c r="IK2" s="81" t="str">
        <f>'Project Direct Metrics'!$F$19</f>
        <v>&lt;#dbvalue(2_Equipment_OSBL_Data;15;"Matl";)&gt;</v>
      </c>
      <c r="IL2" s="81" t="str">
        <f>'Project Direct Metrics'!$F$20</f>
        <v>&lt;#dbvalue(2_Equipment_OSBL_Data;16;"Matl";)&gt;</v>
      </c>
      <c r="IM2" s="81" t="str">
        <f>'Project Direct Metrics'!$F$21</f>
        <v>&lt;#dbvalue(2_Equipment_OSBL_Data;17;"Matl";)&gt;</v>
      </c>
      <c r="IN2" s="81" t="str">
        <f>'Project Direct Metrics'!$F$22</f>
        <v>&lt;#dbvalue(2_Equipment_OSBL_Data;18;"Matl";)&gt;</v>
      </c>
      <c r="IO2" s="81" t="str">
        <f>'Project Direct Metrics'!$F$23</f>
        <v>&lt;#dbvalue(2_Equipment_OSBL_Data;19;"Matl";)&gt;</v>
      </c>
      <c r="IP2" s="81" t="str">
        <f>'Project Direct Metrics'!$F$24</f>
        <v>&lt;#dbvalue(2_Equipment_OSBL_Data;20;"Matl";)&gt;</v>
      </c>
      <c r="IQ2" s="81" t="str">
        <f>'Project Direct Metrics'!$F$25</f>
        <v>&lt;#dbvalue(2_Equipment_OSBL_Data;21;"Matl";)&gt;</v>
      </c>
      <c r="IR2" s="81" t="str">
        <f>'Project Direct Metrics'!$F$26</f>
        <v>&lt;#dbvalue(2_Equipment_OSBL_Data;22;"Matl";)&gt;</v>
      </c>
      <c r="IS2" s="81" t="str">
        <f>'Project Direct Metrics'!$E$30</f>
        <v>&lt;#dbvalue(3_Piping_ISBL_Data;0;"Matl";)&gt;</v>
      </c>
      <c r="IT2" s="81" t="str">
        <f>'Project Direct Metrics'!$E$31</f>
        <v>&lt;#dbvalue(3_Piping_ISBL_Data;1;"Matl";)&gt;</v>
      </c>
      <c r="IU2" s="81" t="str">
        <f>'Project Direct Metrics'!$E$32</f>
        <v>&lt;#dbvalue(3_Piping_ISBL_Data;2;"Matl";)&gt;</v>
      </c>
      <c r="IV2" s="81" t="str">
        <f>'Project Direct Metrics'!$E$33</f>
        <v>&lt;#dbvalue(3_Piping_ISBL_Data;3;"Matl";)&gt;</v>
      </c>
      <c r="IW2" s="81" t="str">
        <f>'Project Direct Metrics'!$E$34</f>
        <v>&lt;#dbvalue(3_Piping_ISBL_Data;4;"Matl";)&gt;</v>
      </c>
      <c r="IX2" s="81" t="str">
        <f>'Project Direct Metrics'!$E$35</f>
        <v>&lt;#dbvalue(3_Piping_ISBL_Data;5;"Matl";)&gt;</v>
      </c>
      <c r="IY2" s="81" t="str">
        <f>'Project Direct Metrics'!$E$36</f>
        <v>&lt;#dbvalue(3_Piping_ISBL_Data;6;"Matl";)&gt;</v>
      </c>
      <c r="IZ2" s="81" t="str">
        <f>'Project Direct Metrics'!$E$37</f>
        <v>&lt;#dbvalue(3_Piping_ISBL_Data;7;"Matl";)&gt;</v>
      </c>
      <c r="JA2" s="81" t="str">
        <f>'Project Direct Metrics'!$E$38</f>
        <v>&lt;#dbvalue(3_Piping_ISBL_Data;8;"Matl";)&gt;</v>
      </c>
      <c r="JB2" s="81" t="str">
        <f>'Project Direct Metrics'!$E$39</f>
        <v>&lt;#dbvalue(3_Piping_ISBL_Data;9;"Matl";)&gt;</v>
      </c>
      <c r="JC2" s="81" t="str">
        <f>'Project Direct Metrics'!$E$40</f>
        <v>&lt;#dbvalue(3_Piping_ISBL_Data;10;"Matl";)&gt;</v>
      </c>
      <c r="JD2" s="81" t="str">
        <f>'Project Direct Metrics'!$E$41</f>
        <v>&lt;#dbvalue(3_Piping_ISBL_Data;11;"Matl";)&gt;</v>
      </c>
      <c r="JE2" s="81" t="str">
        <f>'Project Direct Metrics'!$E$42</f>
        <v>&lt;#dbvalue(3_Piping_ISBL_Data;12;"Matl";)&gt;</v>
      </c>
      <c r="JF2" s="81" t="str">
        <f>'Project Direct Metrics'!$E$43</f>
        <v>&lt;#dbvalue(3_Piping_ISBL_Data;13;"Matl";)&gt;</v>
      </c>
      <c r="JG2" s="81" t="str">
        <f>'Project Direct Metrics'!$E$44</f>
        <v>&lt;#dbvalue(3_Piping_ISBL_Data;14;"Matl";)&gt;</v>
      </c>
      <c r="JH2" s="81" t="str">
        <f>'Project Direct Metrics'!$E$45</f>
        <v>&lt;#dbvalue(3_Piping_ISBL_Data;15;"Matl";)&gt;</v>
      </c>
      <c r="JI2" s="81" t="str">
        <f>'Project Direct Metrics'!$E$46</f>
        <v>&lt;#dbvalue(3_Piping_ISBL_Data;16;"Matl";)&gt;</v>
      </c>
      <c r="JJ2" s="81" t="str">
        <f>'Project Direct Metrics'!$E$50</f>
        <v>&lt;#dbvalue(3_PipingByInstall_ISBL_Data;0;"Matl";)&gt;</v>
      </c>
      <c r="JK2" s="81" t="str">
        <f>'Project Direct Metrics'!$E$51</f>
        <v>&lt;#dbvalue(3_PipingByInstall_ISBL_Data;1;"Matl";)&gt;</v>
      </c>
      <c r="JL2" s="81" t="str">
        <f>'Project Direct Metrics'!$E$54</f>
        <v>&lt;#dbvalue(3_PipingBySize_ISBL_Data;0;"Matl";)&gt;</v>
      </c>
      <c r="JM2" s="81" t="str">
        <f>'Project Direct Metrics'!$E$55</f>
        <v>&lt;#dbvalue(3_PipingBySize_ISBL_Data;1;"Matl";)&gt;</v>
      </c>
      <c r="JN2" s="81" t="str">
        <f>'Project Direct Metrics'!$E$56</f>
        <v>&lt;#dbvalue(3_PipingBySize_ISBL_Data;2;"Matl";)&gt;</v>
      </c>
      <c r="JO2" s="81" t="str">
        <f>'Project Direct Metrics'!$E$57</f>
        <v>&lt;#dbvalue(3_PipingBySize_ISBL_Data;3;"Matl";)&gt;</v>
      </c>
      <c r="JP2" s="81" t="str">
        <f>'Project Direct Metrics'!$E$58</f>
        <v>&lt;#dbvalue(3_PipingBySize_ISBL_Data;4;"Matl";)&gt;</v>
      </c>
      <c r="JQ2" s="81" t="str">
        <f>'Project Direct Metrics'!$F$30</f>
        <v>&lt;#dbvalue(3_Piping_OSBL_Data;0;"Matl";)&gt;</v>
      </c>
      <c r="JR2" s="81" t="str">
        <f>'Project Direct Metrics'!$F$31</f>
        <v>&lt;#dbvalue(3_Piping_OSBL_Data;1;"Matl";)&gt;</v>
      </c>
      <c r="JS2" s="81" t="str">
        <f>'Project Direct Metrics'!$F$32</f>
        <v>&lt;#dbvalue(3_Piping_OSBL_Data;2;"Matl";)&gt;</v>
      </c>
      <c r="JT2" s="81" t="str">
        <f>'Project Direct Metrics'!$F$33</f>
        <v>&lt;#dbvalue(3_Piping_OSBL_Data;3;"Matl";)&gt;</v>
      </c>
      <c r="JU2" s="81" t="str">
        <f>'Project Direct Metrics'!$F$34</f>
        <v>&lt;#dbvalue(3_Piping_OSBL_Data;4;"Matl";)&gt;</v>
      </c>
      <c r="JV2" s="81" t="str">
        <f>'Project Direct Metrics'!$F$35</f>
        <v>&lt;#dbvalue(3_Piping_OSBL_Data;5;"Matl";)&gt;</v>
      </c>
      <c r="JW2" s="81" t="str">
        <f>'Project Direct Metrics'!$F$36</f>
        <v>&lt;#dbvalue(3_Piping_OSBL_Data;6;"Matl";)&gt;</v>
      </c>
      <c r="JX2" s="81" t="str">
        <f>'Project Direct Metrics'!$F$37</f>
        <v>&lt;#dbvalue(3_Piping_OSBL_Data;7;"Matl";)&gt;</v>
      </c>
      <c r="JY2" s="81" t="str">
        <f>'Project Direct Metrics'!$F$38</f>
        <v>&lt;#dbvalue(3_Piping_OSBL_Data;8;"Matl";)&gt;</v>
      </c>
      <c r="JZ2" s="81" t="str">
        <f>'Project Direct Metrics'!$F$39</f>
        <v>&lt;#dbvalue(3_Piping_OSBL_Data;9;"Matl";)&gt;</v>
      </c>
      <c r="KA2" s="81" t="str">
        <f>'Project Direct Metrics'!$F$40</f>
        <v>&lt;#dbvalue(3_Piping_OSBL_Data;10;"Matl";)&gt;</v>
      </c>
      <c r="KB2" s="81" t="str">
        <f>'Project Direct Metrics'!$F$41</f>
        <v>&lt;#dbvalue(3_Piping_OSBL_Data;11;"Matl";)&gt;</v>
      </c>
      <c r="KC2" s="81" t="str">
        <f>'Project Direct Metrics'!$F$42</f>
        <v>&lt;#dbvalue(3_Piping_OSBL_Data;12;"Matl";)&gt;</v>
      </c>
      <c r="KD2" s="81" t="str">
        <f>'Project Direct Metrics'!$F$43</f>
        <v>&lt;#dbvalue(3_Piping_OSBL_Data;13;"Matl";)&gt;</v>
      </c>
      <c r="KE2" s="81" t="str">
        <f>'Project Direct Metrics'!$F$44</f>
        <v>&lt;#dbvalue(3_Piping_OSBL_Data;14;"Matl";)&gt;</v>
      </c>
      <c r="KF2" s="81" t="str">
        <f>'Project Direct Metrics'!$F$45</f>
        <v>&lt;#dbvalue(3_Piping_OSBL_Data;15;"Matl";)&gt;</v>
      </c>
      <c r="KG2" s="81" t="str">
        <f>'Project Direct Metrics'!$F$46</f>
        <v>&lt;#dbvalue(3_Piping_OSBL_Data;16;"Matl";)&gt;</v>
      </c>
      <c r="KH2" s="81" t="str">
        <f>'Project Direct Metrics'!$F$50</f>
        <v>&lt;#dbvalue(3_PipingByInstall_OSBL_Data;0;"Matl";)&gt;</v>
      </c>
      <c r="KI2" s="81" t="str">
        <f>'Project Direct Metrics'!$F$51</f>
        <v>&lt;#dbvalue(3_PipingByInstall_OSBL_Data;1;"Matl";)&gt;</v>
      </c>
      <c r="KJ2" s="81" t="str">
        <f>'Project Direct Metrics'!$F$54</f>
        <v>&lt;#dbvalue(3_PipingBySize_OSBL_Data;0;"Matl";)&gt;</v>
      </c>
      <c r="KK2" s="81" t="str">
        <f>'Project Direct Metrics'!$F$55</f>
        <v>&lt;#dbvalue(3_PipingBySize_OSBL_Data;1;"Matl";)&gt;</v>
      </c>
      <c r="KL2" s="81" t="str">
        <f>'Project Direct Metrics'!$F$56</f>
        <v>&lt;#dbvalue(3_PipingBySize_OSBL_Data;2;"Matl";)&gt;</v>
      </c>
      <c r="KM2" s="81" t="str">
        <f>'Project Direct Metrics'!$F$57</f>
        <v>&lt;#dbvalue(3_PipingBySize_OSBL_Data;3;"Matl";)&gt;</v>
      </c>
      <c r="KN2" s="81" t="str">
        <f>'Project Direct Metrics'!$F$58</f>
        <v>&lt;#dbvalue(3_PipingBySize_OSBL_Data;4;"Matl";)&gt;</v>
      </c>
      <c r="KO2" s="81" t="str">
        <f>'Project Direct Metrics'!$E$61</f>
        <v>&lt;#dbvalue(4_Civil_ISBL_Data;0;"Matl";)&gt;</v>
      </c>
      <c r="KP2" s="81" t="str">
        <f>'Project Direct Metrics'!$E$62</f>
        <v>&lt;#dbvalue(4_Civil_ISBL_Data;1;"Matl";)&gt;</v>
      </c>
      <c r="KQ2" s="81" t="str">
        <f>'Project Direct Metrics'!$E$63</f>
        <v>&lt;#dbvalue(4_Civil_ISBL_Data;2;"Matl";)&gt;</v>
      </c>
      <c r="KR2" s="81" t="str">
        <f>'Project Direct Metrics'!$E$64</f>
        <v>&lt;#dbvalue(4_Civil_ISBL_Data;3;"Matl";)&gt;</v>
      </c>
      <c r="KS2" s="81" t="str">
        <f>'Project Direct Metrics'!$E$65</f>
        <v>&lt;#dbvalue(4_Civil_ISBL_Data;4;"Matl";)&gt;</v>
      </c>
      <c r="KT2" s="81" t="str">
        <f>'Project Direct Metrics'!$E$66</f>
        <v>&lt;#dbvalue(4_Civil_ISBL_Data;5;"Matl";)&gt;</v>
      </c>
      <c r="KU2" s="81" t="str">
        <f>'Project Direct Metrics'!$E$67</f>
        <v>&lt;#dbvalue(4_Civil_ISBL_Data;6;"Matl";)&gt;</v>
      </c>
      <c r="KV2" s="81" t="str">
        <f>'Project Direct Metrics'!$E$68</f>
        <v>&lt;#dbvalue(4_Civil_ISBL_Data;7;"Matl";)&gt;</v>
      </c>
      <c r="KW2" s="81" t="str">
        <f>'Project Direct Metrics'!$E$69</f>
        <v>&lt;#dbvalue(4_Civil_ISBL_Data;8;"Matl";)&gt;</v>
      </c>
      <c r="KX2" s="81" t="str">
        <f>'Project Direct Metrics'!$E$70</f>
        <v>&lt;#dbvalue(4_Civil_ISBL_Data;9;"Matl";)&gt;</v>
      </c>
      <c r="KY2" s="81" t="str">
        <f>'Project Direct Metrics'!$E$71</f>
        <v>&lt;#dbvalue(4_Civil_ISBL_Data;10;"Matl";)&gt;</v>
      </c>
      <c r="KZ2" s="81" t="str">
        <f>'Project Direct Metrics'!$F$61</f>
        <v>&lt;#dbvalue(4_Civil_OSBL_Data;0;"Matl";)&gt;</v>
      </c>
      <c r="LA2" s="81" t="str">
        <f>'Project Direct Metrics'!$F$62</f>
        <v>&lt;#dbvalue(4_Civil_OSBL_Data;1;"Matl";)&gt;</v>
      </c>
      <c r="LB2" s="81" t="str">
        <f>'Project Direct Metrics'!$F$63</f>
        <v>&lt;#dbvalue(4_Civil_OSBL_Data;2;"Matl";)&gt;</v>
      </c>
      <c r="LC2" s="81" t="str">
        <f>'Project Direct Metrics'!$F$64</f>
        <v>&lt;#dbvalue(4_Civil_OSBL_Data;3;"Matl";)&gt;</v>
      </c>
      <c r="LD2" s="81" t="str">
        <f>'Project Direct Metrics'!$F$65</f>
        <v>&lt;#dbvalue(4_Civil_OSBL_Data;4;"Matl";)&gt;</v>
      </c>
      <c r="LE2" s="81" t="str">
        <f>'Project Direct Metrics'!$F$66</f>
        <v>&lt;#dbvalue(4_Civil_OSBL_Data;5;"Matl";)&gt;</v>
      </c>
      <c r="LF2" s="81" t="str">
        <f>'Project Direct Metrics'!$F$67</f>
        <v>&lt;#dbvalue(4_Civil_OSBL_Data;6;"Matl";)&gt;</v>
      </c>
      <c r="LG2" s="81" t="str">
        <f>'Project Direct Metrics'!$F$68</f>
        <v>&lt;#dbvalue(4_Civil_OSBL_Data;7;"Matl";)&gt;</v>
      </c>
      <c r="LH2" s="81" t="str">
        <f>'Project Direct Metrics'!$F$69</f>
        <v>&lt;#dbvalue(4_Civil_OSBL_Data;8;"Matl";)&gt;</v>
      </c>
      <c r="LI2" s="81" t="str">
        <f>'Project Direct Metrics'!$F$70</f>
        <v>&lt;#dbvalue(4_Civil_OSBL_Data;9;"Matl";)&gt;</v>
      </c>
      <c r="LJ2" s="81" t="str">
        <f>'Project Direct Metrics'!$F$71</f>
        <v>&lt;#dbvalue(4_Civil_OSBL_Data;10;"Matl";)&gt;</v>
      </c>
      <c r="LK2" s="81" t="str">
        <f>'Project Direct Metrics'!$E$75</f>
        <v>&lt;#dbvalue(5_Steel_ISBL_Data;0;"Matl";)&gt;</v>
      </c>
      <c r="LL2" s="81" t="str">
        <f>'Project Direct Metrics'!$E$76</f>
        <v>&lt;#dbvalue(5_Steel_ISBL_Data;1;"Matl";)&gt;</v>
      </c>
      <c r="LM2" s="81" t="str">
        <f>'Project Direct Metrics'!$E$77</f>
        <v>&lt;#dbvalue(5_Steel_ISBL_Data;2;"Matl";)&gt;</v>
      </c>
      <c r="LN2" s="81" t="str">
        <f>'Project Direct Metrics'!$E$78</f>
        <v>&lt;#dbvalue(5_Steel_ISBL_Data;3;"Matl";)&gt;</v>
      </c>
      <c r="LO2" s="81" t="str">
        <f>'Project Direct Metrics'!$E$79</f>
        <v>&lt;#dbvalue(5_Steel_ISBL_Data;4;"Matl";)&gt;</v>
      </c>
      <c r="LP2" s="81" t="str">
        <f>'Project Direct Metrics'!$E$80</f>
        <v>&lt;#dbvalue(5_Steel_ISBL_Data;5;"Matl";)&gt;</v>
      </c>
      <c r="LQ2" s="81" t="str">
        <f>'Project Direct Metrics'!$E$81</f>
        <v>&lt;#dbvalue(5_Steel_ISBL_Data;6;"Matl";)&gt;</v>
      </c>
      <c r="LR2" s="81" t="str">
        <f>'Project Direct Metrics'!$E$82</f>
        <v>&lt;#dbvalue(5_Steel_ISBL_Data;7;"Matl";)&gt;</v>
      </c>
      <c r="LS2" s="81" t="str">
        <f>'Project Direct Metrics'!$F$75</f>
        <v>&lt;#dbvalue(5_Steel_OSBL_Data;0;"Matl";)&gt;</v>
      </c>
      <c r="LT2" s="81" t="str">
        <f>'Project Direct Metrics'!$F$76</f>
        <v>&lt;#dbvalue(5_Steel_OSBL_Data;1;"Matl";)&gt;</v>
      </c>
      <c r="LU2" s="81" t="str">
        <f>'Project Direct Metrics'!$F$77</f>
        <v>&lt;#dbvalue(5_Steel_OSBL_Data;2;"Matl";)&gt;</v>
      </c>
      <c r="LV2" s="81" t="str">
        <f>'Project Direct Metrics'!$F$78</f>
        <v>&lt;#dbvalue(5_Steel_OSBL_Data;3;"Matl";)&gt;</v>
      </c>
      <c r="LW2" s="81" t="str">
        <f>'Project Direct Metrics'!$F$79</f>
        <v>&lt;#dbvalue(5_Steel_OSBL_Data;4;"Matl";)&gt;</v>
      </c>
      <c r="LX2" s="81" t="str">
        <f>'Project Direct Metrics'!$F$80</f>
        <v>&lt;#dbvalue(5_Steel_OSBL_Data;5;"Matl";)&gt;</v>
      </c>
      <c r="LY2" s="81" t="str">
        <f>'Project Direct Metrics'!$F$81</f>
        <v>&lt;#dbvalue(5_Steel_OSBL_Data;6;"Matl";)&gt;</v>
      </c>
      <c r="LZ2" s="81" t="str">
        <f>'Project Direct Metrics'!$F$82</f>
        <v>&lt;#dbvalue(5_Steel_OSBL_Data;7;"Matl";)&gt;</v>
      </c>
      <c r="MA2" s="81" t="str">
        <f>'Project Direct Metrics'!$E$86</f>
        <v>&lt;#dbvalue(6_Instrumentation_ISBL_Data;0;"Matl";)&gt;</v>
      </c>
      <c r="MB2" s="81" t="str">
        <f>'Project Direct Metrics'!$E$87</f>
        <v>&lt;#dbvalue(6_Instrumentation_ISBL_Data;1;"Matl";)&gt;</v>
      </c>
      <c r="MC2" s="81" t="str">
        <f>'Project Direct Metrics'!$E$88</f>
        <v>&lt;#dbvalue(6_Instrumentation_ISBL_Data;2;"Matl";)&gt;</v>
      </c>
      <c r="MD2" s="81" t="str">
        <f>'Project Direct Metrics'!$E$89</f>
        <v>&lt;#dbvalue(6_Instrumentation_ISBL_Data;3;"Matl";)&gt;</v>
      </c>
      <c r="ME2" s="81" t="str">
        <f>'Project Direct Metrics'!$E$90</f>
        <v>&lt;#dbvalue(6_Instrumentation_ISBL_Data;4;"Matl";)&gt;</v>
      </c>
      <c r="MF2" s="81" t="str">
        <f>'Project Direct Metrics'!$E$91</f>
        <v>&lt;#dbvalue(6_Instrumentation_ISBL_Data;5;"Matl";)&gt;</v>
      </c>
      <c r="MG2" s="81" t="str">
        <f>'Project Direct Metrics'!$E$92</f>
        <v>&lt;#dbvalue(6_Instrumentation_ISBL_Data;6;"Matl";)&gt;</v>
      </c>
      <c r="MH2" s="81" t="str">
        <f>'Project Direct Metrics'!$E$93</f>
        <v>&lt;#dbvalue(6_Instrumentation_ISBL_Data;7;"Matl";)&gt;</v>
      </c>
      <c r="MI2" s="81" t="str">
        <f>'Project Direct Metrics'!$E$94</f>
        <v>&lt;#dbvalue(6_Instrumentation_ISBL_Data;8;"Matl";)&gt;</v>
      </c>
      <c r="MJ2" s="81" t="str">
        <f>'Project Direct Metrics'!$E$95</f>
        <v>&lt;#dbvalue(6_Instrumentation_ISBL_Data;9;"Matl";)&gt;</v>
      </c>
      <c r="MK2" s="81" t="str">
        <f>'Project Direct Metrics'!$F$86</f>
        <v>&lt;#dbvalue(6_Instrumentation_OSBL_Data;0;"Matl";)&gt;</v>
      </c>
      <c r="ML2" s="81" t="str">
        <f>'Project Direct Metrics'!$F$87</f>
        <v>&lt;#dbvalue(6_Instrumentation_OSBL_Data;1;"Matl";)&gt;</v>
      </c>
      <c r="MM2" s="81" t="str">
        <f>'Project Direct Metrics'!$F$88</f>
        <v>&lt;#dbvalue(6_Instrumentation_OSBL_Data;2;"Matl";)&gt;</v>
      </c>
      <c r="MN2" s="81" t="str">
        <f>'Project Direct Metrics'!$F$89</f>
        <v>&lt;#dbvalue(6_Instrumentation_OSBL_Data;3;"Matl";)&gt;</v>
      </c>
      <c r="MO2" s="81" t="str">
        <f>'Project Direct Metrics'!$F$90</f>
        <v>&lt;#dbvalue(6_Instrumentation_OSBL_Data;4;"Matl";)&gt;</v>
      </c>
      <c r="MP2" s="81" t="str">
        <f>'Project Direct Metrics'!$F$91</f>
        <v>&lt;#dbvalue(6_Instrumentation_OSBL_Data;5;"Matl";)&gt;</v>
      </c>
      <c r="MQ2" s="81" t="str">
        <f>'Project Direct Metrics'!$F$92</f>
        <v>&lt;#dbvalue(6_Instrumentation_OSBL_Data;6;"Matl";)&gt;</v>
      </c>
      <c r="MR2" s="81" t="str">
        <f>'Project Direct Metrics'!$F$93</f>
        <v>&lt;#dbvalue(6_Instrumentation_OSBL_Data;7;"Matl";)&gt;</v>
      </c>
      <c r="MS2" s="81" t="str">
        <f>'Project Direct Metrics'!$F$94</f>
        <v>&lt;#dbvalue(6_Instrumentation_OSBL_Data;8;"Matl";)&gt;</v>
      </c>
      <c r="MT2" s="81" t="str">
        <f>'Project Direct Metrics'!$F$95</f>
        <v>&lt;#dbvalue(6_Instrumentation_OSBL_Data;9;"Matl";)&gt;</v>
      </c>
      <c r="MU2" s="81" t="str">
        <f>'Project Direct Metrics'!$E$99</f>
        <v>&lt;#dbvalue(7_Electrical_ISBL_Data;0;"Matl";)&gt;</v>
      </c>
      <c r="MV2" s="81" t="str">
        <f>'Project Direct Metrics'!$E$100</f>
        <v>&lt;#dbvalue(7_Electrical_ISBL_Data;1;"Matl";)&gt;</v>
      </c>
      <c r="MW2" s="81" t="str">
        <f>'Project Direct Metrics'!$E$101</f>
        <v>&lt;#dbvalue(7_Electrical_ISBL_Data;2;"Matl";)&gt;</v>
      </c>
      <c r="MX2" s="81" t="str">
        <f>'Project Direct Metrics'!$E$102</f>
        <v>&lt;#dbvalue(7_Electrical_ISBL_Data;3;"Matl";)&gt;</v>
      </c>
      <c r="MY2" s="81" t="str">
        <f>'Project Direct Metrics'!$E$103</f>
        <v>&lt;#dbvalue(7_Electrical_ISBL_Data;4;"Matl";)&gt;</v>
      </c>
      <c r="MZ2" s="81" t="str">
        <f>'Project Direct Metrics'!$E$104</f>
        <v>&lt;#dbvalue(7_Electrical_ISBL_Data;5;"Matl";)&gt;</v>
      </c>
      <c r="NA2" s="81" t="str">
        <f>'Project Direct Metrics'!$E$105</f>
        <v>&lt;#dbvalue(7_Electrical_ISBL_Data;6;"Matl";)&gt;</v>
      </c>
      <c r="NB2" s="81" t="str">
        <f>'Project Direct Metrics'!$E$106</f>
        <v>&lt;#dbvalue(7_Electrical_ISBL_Data;7;"Matl";)&gt;</v>
      </c>
      <c r="NC2" s="81" t="str">
        <f>'Project Direct Metrics'!$E$107</f>
        <v>&lt;#dbvalue(7_Electrical_ISBL_Data;8;"Matl";)&gt;</v>
      </c>
      <c r="ND2" s="81" t="str">
        <f>'Project Direct Metrics'!$E$108</f>
        <v>&lt;#dbvalue(7_Electrical_ISBL_Data;9;"Matl";)&gt;</v>
      </c>
      <c r="NE2" s="81" t="str">
        <f>'Project Direct Metrics'!$E$109</f>
        <v>&lt;#dbvalue(7_Electrical_ISBL_Data;10;"Matl";)&gt;</v>
      </c>
      <c r="NF2" s="81" t="str">
        <f>'Project Direct Metrics'!$E$110</f>
        <v>&lt;#dbvalue(7_Electrical_ISBL_Data;11;"Matl";)&gt;</v>
      </c>
      <c r="NG2" s="81" t="str">
        <f>'Project Direct Metrics'!$E$111</f>
        <v>&lt;#dbvalue(7_Electrical_ISBL_Data;12;"Matl";)&gt;</v>
      </c>
      <c r="NH2" s="81" t="str">
        <f>'Project Direct Metrics'!$E$115</f>
        <v>&lt;#dbvalue(7_ElectricalByInstall_ISBL_Data;0;"Matl";)&gt;</v>
      </c>
      <c r="NI2" s="81" t="str">
        <f>'Project Direct Metrics'!$E$116</f>
        <v>&lt;#dbvalue(7_ElectricalByInstall_ISBL_Data;1;"Matl";)&gt;</v>
      </c>
      <c r="NJ2" s="81" t="str">
        <f>'Project Direct Metrics'!$F$99</f>
        <v>&lt;#dbvalue(7_Electrical_OSBL_Data;0;"Matl";)&gt;</v>
      </c>
      <c r="NK2" s="81" t="str">
        <f>'Project Direct Metrics'!$F$100</f>
        <v>&lt;#dbvalue(7_Electrical_OSBL_Data;1;"Matl";)&gt;</v>
      </c>
      <c r="NL2" s="81" t="str">
        <f>'Project Direct Metrics'!$F$101</f>
        <v>&lt;#dbvalue(7_Electrical_OSBL_Data;2;"Matl";)&gt;</v>
      </c>
      <c r="NM2" s="81" t="str">
        <f>'Project Direct Metrics'!$F$102</f>
        <v>&lt;#dbvalue(7_Electrical_OSBL_Data;3;"Matl";)&gt;</v>
      </c>
      <c r="NN2" s="81" t="str">
        <f>'Project Direct Metrics'!$F$103</f>
        <v>&lt;#dbvalue(7_Electrical_OSBL_Data;4;"Matl";)&gt;</v>
      </c>
      <c r="NO2" s="81" t="str">
        <f>'Project Direct Metrics'!$F$104</f>
        <v>&lt;#dbvalue(7_Electrical_OSBL_Data;5;"Matl";)&gt;</v>
      </c>
      <c r="NP2" s="81" t="str">
        <f>'Project Direct Metrics'!$F$105</f>
        <v>&lt;#dbvalue(7_Electrical_OSBL_Data;6;"Matl";)&gt;</v>
      </c>
      <c r="NQ2" s="81" t="str">
        <f>'Project Direct Metrics'!$F$106</f>
        <v>&lt;#dbvalue(7_Electrical_OSBL_Data;7;"Matl";)&gt;</v>
      </c>
      <c r="NR2" s="81" t="str">
        <f>'Project Direct Metrics'!$F$107</f>
        <v>&lt;#dbvalue(7_Electrical_OSBL_Data;8;"Matl";)&gt;</v>
      </c>
      <c r="NS2" s="81" t="str">
        <f>'Project Direct Metrics'!$F$108</f>
        <v>&lt;#dbvalue(7_Electrical_OSBL_Data;9;"Matl";)&gt;</v>
      </c>
      <c r="NT2" s="81" t="str">
        <f>'Project Direct Metrics'!$F$109</f>
        <v>&lt;#dbvalue(7_Electrical_OSBL_Data;10;"Matl";)&gt;</v>
      </c>
      <c r="NU2" s="81" t="str">
        <f>'Project Direct Metrics'!$F$110</f>
        <v>&lt;#dbvalue(7_Electrical_OSBL_Data;11;"Matl";)&gt;</v>
      </c>
      <c r="NV2" s="81" t="str">
        <f>'Project Direct Metrics'!$F$111</f>
        <v>&lt;#dbvalue(7_Electrical_OSBL_Data;12;"Matl";)&gt;</v>
      </c>
      <c r="NW2" s="81" t="str">
        <f>'Project Direct Metrics'!$F$115</f>
        <v>&lt;#dbvalue(7_ElectricalByInstall_OSBL_Data;0;"Matl";)&gt;</v>
      </c>
      <c r="NX2" s="81" t="str">
        <f>'Project Direct Metrics'!$F$116</f>
        <v>&lt;#dbvalue(7_ElectricalByInstall_OSBL_Data;1;"Matl";)&gt;</v>
      </c>
      <c r="NY2" s="81" t="str">
        <f>'Project Direct Metrics'!$E$119</f>
        <v>&lt;#dbvalue(8_Insulation_ISBL_Data;0;"Matl";)&gt;</v>
      </c>
      <c r="NZ2" s="81" t="str">
        <f>'Project Direct Metrics'!$E$120</f>
        <v>&lt;#dbvalue(8_Insulation_ISBL_Data;1;"Matl";)&gt;</v>
      </c>
      <c r="OA2" s="81" t="str">
        <f>'Project Direct Metrics'!$E$121</f>
        <v>&lt;#dbvalue(8_Insulation_ISBL_Data;2;"Matl";)&gt;</v>
      </c>
      <c r="OB2" s="81" t="str">
        <f>'Project Direct Metrics'!$E$122</f>
        <v>&lt;#dbvalue(8_Insulation_ISBL_Data;3;"Matl";)&gt;</v>
      </c>
      <c r="OC2" s="81" t="str">
        <f>'Project Direct Metrics'!$E$123</f>
        <v>&lt;#dbvalue(8_Insulation_ISBL_Data;4;"Matl";)&gt;</v>
      </c>
      <c r="OD2" s="81" t="str">
        <f>'Project Direct Metrics'!$E$124</f>
        <v>&lt;#dbvalue(8_Insulation_ISBL_Data;5;"Matl";)&gt;</v>
      </c>
      <c r="OE2" s="81" t="str">
        <f>'Project Direct Metrics'!$F$119</f>
        <v>&lt;#dbvalue(8_Insulation_OSBL_Data;0;"Matl";)&gt;</v>
      </c>
      <c r="OF2" s="81" t="str">
        <f>'Project Direct Metrics'!$F$120</f>
        <v>&lt;#dbvalue(8_Insulation_OSBL_Data;1;"Matl";)&gt;</v>
      </c>
      <c r="OG2" s="81" t="str">
        <f>'Project Direct Metrics'!$F$121</f>
        <v>&lt;#dbvalue(8_Insulation_OSBL_Data;2;"Matl";)&gt;</v>
      </c>
      <c r="OH2" s="81" t="str">
        <f>'Project Direct Metrics'!$F$122</f>
        <v>&lt;#dbvalue(8_Insulation_OSBL_Data;3;"Matl";)&gt;</v>
      </c>
      <c r="OI2" s="81" t="str">
        <f>'Project Direct Metrics'!$F$123</f>
        <v>&lt;#dbvalue(8_Insulation_OSBL_Data;4;"Matl";)&gt;</v>
      </c>
      <c r="OJ2" s="81" t="str">
        <f>'Project Direct Metrics'!$F$124</f>
        <v>&lt;#dbvalue(8_Insulation_OSBL_Data;5;"Matl";)&gt;</v>
      </c>
      <c r="OK2" s="81" t="str">
        <f>'Project Direct Metrics'!$E$128</f>
        <v>&lt;#dbvalue(9_Paint_ISBL_Data;0;"Matl";)&gt;</v>
      </c>
      <c r="OL2" s="81" t="str">
        <f>'Project Direct Metrics'!$E$129</f>
        <v>&lt;#dbvalue(9_Paint_ISBL_Data;1;"Matl";)&gt;</v>
      </c>
      <c r="OM2" s="81" t="str">
        <f>'Project Direct Metrics'!$E$130</f>
        <v>&lt;#dbvalue(9_Paint_ISBL_Data;2;"Matl";)&gt;</v>
      </c>
      <c r="ON2" s="81" t="str">
        <f>'Project Direct Metrics'!$E$131</f>
        <v>&lt;#dbvalue(9_Paint_ISBL_Data;3;"Matl";)&gt;</v>
      </c>
      <c r="OO2" s="81" t="str">
        <f>'Project Direct Metrics'!$E$132</f>
        <v>&lt;#dbvalue(9_Paint_ISBL_Data;4;"Matl";)&gt;</v>
      </c>
      <c r="OP2" s="81" t="str">
        <f>'Project Direct Metrics'!$E$133</f>
        <v>&lt;#dbvalue(9_Paint_ISBL_Data;5;"Matl";)&gt;</v>
      </c>
      <c r="OQ2" s="81" t="str">
        <f>'Project Direct Metrics'!$E$134</f>
        <v>&lt;#dbvalue(9_Paint_ISBL_Data;6;"Matl";)&gt;</v>
      </c>
      <c r="OR2" s="81" t="str">
        <f>'Project Direct Metrics'!$F$128</f>
        <v>&lt;#dbvalue(9_Paint_OSBL_Data;0;"Matl";)&gt;</v>
      </c>
      <c r="OS2" s="81" t="str">
        <f>'Project Direct Metrics'!$F$129</f>
        <v>&lt;#dbvalue(9_Paint_OSBL_Data;1;"Matl";)&gt;</v>
      </c>
      <c r="OT2" s="81" t="str">
        <f>'Project Direct Metrics'!$F$130</f>
        <v>&lt;#dbvalue(9_Paint_OSBL_Data;2;"Matl";)&gt;</v>
      </c>
      <c r="OU2" s="81" t="str">
        <f>'Project Direct Metrics'!$F$131</f>
        <v>&lt;#dbvalue(9_Paint_OSBL_Data;3;"Matl";)&gt;</v>
      </c>
      <c r="OV2" s="81" t="str">
        <f>'Project Direct Metrics'!$F$132</f>
        <v>&lt;#dbvalue(9_Paint_OSBL_Data;4;"Matl";)&gt;</v>
      </c>
      <c r="OW2" s="81" t="str">
        <f>'Project Direct Metrics'!$F$133</f>
        <v>&lt;#dbvalue(9_Paint_OSBL_Data;5;"Matl";)&gt;</v>
      </c>
      <c r="OX2" s="81" t="str">
        <f>'Project Direct Metrics'!$F$134</f>
        <v>&lt;#dbvalue(9_Paint_OSBL_Data;6;"Matl";)&gt;</v>
      </c>
      <c r="OY2" s="81" t="str">
        <f>'Project Direct Metrics'!$G$4</f>
        <v>&lt;#dbvalue(2_Equipment_ISBL_Data;0;"MH";)&gt;</v>
      </c>
      <c r="OZ2" s="81" t="str">
        <f>'Project Direct Metrics'!$G$5</f>
        <v>&lt;#dbvalue(2_Equipment_ISBL_Data;1;"MH";)&gt;</v>
      </c>
      <c r="PA2" s="81" t="str">
        <f>'Project Direct Metrics'!$G$6</f>
        <v>&lt;#dbvalue(2_Equipment_ISBL_Data;2;"MH";)&gt;</v>
      </c>
      <c r="PB2" s="81" t="str">
        <f>'Project Direct Metrics'!$G$7</f>
        <v>&lt;#dbvalue(2_Equipment_ISBL_Data;3;"MH";)&gt;</v>
      </c>
      <c r="PC2" s="81" t="str">
        <f>'Project Direct Metrics'!$G$8</f>
        <v>&lt;#dbvalue(2_Equipment_ISBL_Data;4;"MH";)&gt;</v>
      </c>
      <c r="PD2" s="81" t="str">
        <f>'Project Direct Metrics'!$G$9</f>
        <v>&lt;#dbvalue(2_Equipment_ISBL_Data;5;"MH";)&gt;</v>
      </c>
      <c r="PE2" s="81" t="str">
        <f>'Project Direct Metrics'!$G$10</f>
        <v>&lt;#dbvalue(2_Equipment_ISBL_Data;6;"MH";)&gt;</v>
      </c>
      <c r="PF2" s="81" t="str">
        <f>'Project Direct Metrics'!$G$11</f>
        <v>&lt;#dbvalue(2_Equipment_ISBL_Data;7;"MH";)&gt;</v>
      </c>
      <c r="PG2" s="81" t="str">
        <f>'Project Direct Metrics'!$G$12</f>
        <v>&lt;#dbvalue(2_Equipment_ISBL_Data;8;"MH";)&gt;</v>
      </c>
      <c r="PH2" s="81" t="str">
        <f>'Project Direct Metrics'!$G$13</f>
        <v>&lt;#dbvalue(2_Equipment_ISBL_Data;9;"MH";)&gt;</v>
      </c>
      <c r="PI2" s="81" t="str">
        <f>'Project Direct Metrics'!$G$14</f>
        <v>&lt;#dbvalue(2_Equipment_ISBL_Data;10;"MH";)&gt;</v>
      </c>
      <c r="PJ2" s="81" t="str">
        <f>'Project Direct Metrics'!$G$15</f>
        <v>&lt;#dbvalue(2_Equipment_ISBL_Data;11;"MH";)&gt;</v>
      </c>
      <c r="PK2" s="81" t="str">
        <f>'Project Direct Metrics'!$G$16</f>
        <v>&lt;#dbvalue(2_Equipment_ISBL_Data;12;"MH";)&gt;</v>
      </c>
      <c r="PL2" s="81" t="str">
        <f>'Project Direct Metrics'!$G$17</f>
        <v>&lt;#dbvalue(2_Equipment_ISBL_Data;13;"MH";)&gt;</v>
      </c>
      <c r="PM2" s="81" t="str">
        <f>'Project Direct Metrics'!$G$18</f>
        <v>&lt;#dbvalue(2_Equipment_ISBL_Data;14;"MH";)&gt;</v>
      </c>
      <c r="PN2" s="81" t="str">
        <f>'Project Direct Metrics'!$G$19</f>
        <v>&lt;#dbvalue(2_Equipment_ISBL_Data;15;"MH";)&gt;</v>
      </c>
      <c r="PO2" s="81" t="str">
        <f>'Project Direct Metrics'!$G$20</f>
        <v>&lt;#dbvalue(2_Equipment_ISBL_Data;16;"MH";)&gt;</v>
      </c>
      <c r="PP2" s="81" t="str">
        <f>'Project Direct Metrics'!$G$21</f>
        <v>&lt;#dbvalue(2_Equipment_ISBL_Data;17;"MH";)&gt;</v>
      </c>
      <c r="PQ2" s="81" t="str">
        <f>'Project Direct Metrics'!$G$22</f>
        <v>&lt;#dbvalue(2_Equipment_ISBL_Data;18;"MH";)&gt;</v>
      </c>
      <c r="PR2" s="81" t="str">
        <f>'Project Direct Metrics'!$G$23</f>
        <v>&lt;#dbvalue(2_Equipment_ISBL_Data;19;"MH";)&gt;</v>
      </c>
      <c r="PS2" s="81" t="str">
        <f>'Project Direct Metrics'!$G$24</f>
        <v>&lt;#dbvalue(2_Equipment_ISBL_Data;20;"MH";)&gt;</v>
      </c>
      <c r="PT2" s="81" t="str">
        <f>'Project Direct Metrics'!$G$25</f>
        <v>&lt;#dbvalue(2_Equipment_ISBL_Data;21;"MH";)&gt;</v>
      </c>
      <c r="PU2" s="81" t="str">
        <f>'Project Direct Metrics'!$G$26</f>
        <v>&lt;#dbvalue(2_Equipment_ISBL_Data;22;"MH";)&gt;</v>
      </c>
      <c r="PV2" s="81" t="str">
        <f>'Project Direct Metrics'!$H$4</f>
        <v>&lt;#dbvalue(2_Equipment_OSBL_Data;0;"MH";)&gt;</v>
      </c>
      <c r="PW2" s="81" t="str">
        <f>'Project Direct Metrics'!$H$5</f>
        <v>&lt;#dbvalue(2_Equipment_OSBL_Data;1;"MH";)&gt;</v>
      </c>
      <c r="PX2" s="81" t="str">
        <f>'Project Direct Metrics'!$H$6</f>
        <v>&lt;#dbvalue(2_Equipment_OSBL_Data;2;"MH";)&gt;</v>
      </c>
      <c r="PY2" s="81" t="str">
        <f>'Project Direct Metrics'!$H$7</f>
        <v>&lt;#dbvalue(2_Equipment_OSBL_Data;3;"MH";)&gt;</v>
      </c>
      <c r="PZ2" s="81" t="str">
        <f>'Project Direct Metrics'!$H$8</f>
        <v>&lt;#dbvalue(2_Equipment_OSBL_Data;4;"MH";)&gt;</v>
      </c>
      <c r="QA2" s="81" t="str">
        <f>'Project Direct Metrics'!$H$9</f>
        <v>&lt;#dbvalue(2_Equipment_OSBL_Data;5;"MH";)&gt;</v>
      </c>
      <c r="QB2" s="81" t="str">
        <f>'Project Direct Metrics'!$H$10</f>
        <v>&lt;#dbvalue(2_Equipment_OSBL_Data;6;"MH";)&gt;</v>
      </c>
      <c r="QC2" s="81" t="str">
        <f>'Project Direct Metrics'!$H$11</f>
        <v>&lt;#dbvalue(2_Equipment_OSBL_Data;7;"MH";)&gt;</v>
      </c>
      <c r="QD2" s="81" t="str">
        <f>'Project Direct Metrics'!$H$12</f>
        <v>&lt;#dbvalue(2_Equipment_OSBL_Data;8;"MH";)&gt;</v>
      </c>
      <c r="QE2" s="81" t="str">
        <f>'Project Direct Metrics'!$H$13</f>
        <v>&lt;#dbvalue(2_Equipment_OSBL_Data;9;"MH";)&gt;</v>
      </c>
      <c r="QF2" s="81" t="str">
        <f>'Project Direct Metrics'!$H$14</f>
        <v>&lt;#dbvalue(2_Equipment_OSBL_Data;10;"MH";)&gt;</v>
      </c>
      <c r="QG2" s="81" t="str">
        <f>'Project Direct Metrics'!$H$15</f>
        <v>&lt;#dbvalue(2_Equipment_OSBL_Data;11;"MH";)&gt;</v>
      </c>
      <c r="QH2" s="81" t="str">
        <f>'Project Direct Metrics'!$H$16</f>
        <v>&lt;#dbvalue(2_Equipment_OSBL_Data;12;"MH";)&gt;</v>
      </c>
      <c r="QI2" s="81" t="str">
        <f>'Project Direct Metrics'!$H$17</f>
        <v>&lt;#dbvalue(2_Equipment_OSBL_Data;13;"MH";)&gt;</v>
      </c>
      <c r="QJ2" s="81" t="str">
        <f>'Project Direct Metrics'!$H$18</f>
        <v>&lt;#dbvalue(2_Equipment_OSBL_Data;14;"MH";)&gt;</v>
      </c>
      <c r="QK2" s="81" t="str">
        <f>'Project Direct Metrics'!$H$19</f>
        <v>&lt;#dbvalue(2_Equipment_OSBL_Data;15;"MH";)&gt;</v>
      </c>
      <c r="QL2" s="81" t="str">
        <f>'Project Direct Metrics'!$H$20</f>
        <v>&lt;#dbvalue(2_Equipment_OSBL_Data;16;"MH";)&gt;</v>
      </c>
      <c r="QM2" s="81" t="str">
        <f>'Project Direct Metrics'!$H$21</f>
        <v>&lt;#dbvalue(2_Equipment_OSBL_Data;17;"MH";)&gt;</v>
      </c>
      <c r="QN2" s="81" t="str">
        <f>'Project Direct Metrics'!$H$22</f>
        <v>&lt;#dbvalue(2_Equipment_OSBL_Data;18;"MH";)&gt;</v>
      </c>
      <c r="QO2" s="81" t="str">
        <f>'Project Direct Metrics'!$H$23</f>
        <v>&lt;#dbvalue(2_Equipment_OSBL_Data;19;"MH";)&gt;</v>
      </c>
      <c r="QP2" s="81" t="str">
        <f>'Project Direct Metrics'!$H$24</f>
        <v>&lt;#dbvalue(2_Equipment_OSBL_Data;20;"MH";)&gt;</v>
      </c>
      <c r="QQ2" s="81" t="str">
        <f>'Project Direct Metrics'!$H$25</f>
        <v>&lt;#dbvalue(2_Equipment_OSBL_Data;21;"MH";)&gt;</v>
      </c>
      <c r="QR2" s="81" t="str">
        <f>'Project Direct Metrics'!$H$26</f>
        <v>&lt;#dbvalue(2_Equipment_OSBL_Data;22;"MH";)&gt;</v>
      </c>
      <c r="QS2" s="81" t="str">
        <f>'Project Direct Metrics'!$G$30</f>
        <v>&lt;#dbvalue(3_Piping_ISBL_Data;0;"MH";)&gt;</v>
      </c>
      <c r="QT2" s="81" t="str">
        <f>'Project Direct Metrics'!$G$31</f>
        <v>&lt;#dbvalue(3_Piping_ISBL_Data;1;"MH";)&gt;</v>
      </c>
      <c r="QU2" s="81" t="str">
        <f>'Project Direct Metrics'!$G$32</f>
        <v>&lt;#dbvalue(3_Piping_ISBL_Data;2;"MH";)&gt;</v>
      </c>
      <c r="QV2" s="81" t="str">
        <f>'Project Direct Metrics'!$G$33</f>
        <v>&lt;#dbvalue(3_Piping_ISBL_Data;3;"MH";)&gt;</v>
      </c>
      <c r="QW2" s="81" t="str">
        <f>'Project Direct Metrics'!$G$34</f>
        <v>&lt;#dbvalue(3_Piping_ISBL_Data;4;"MH";)&gt;</v>
      </c>
      <c r="QX2" s="81" t="str">
        <f>'Project Direct Metrics'!$G$35</f>
        <v>&lt;#dbvalue(3_Piping_ISBL_Data;5;"MH";)&gt;</v>
      </c>
      <c r="QY2" s="81" t="str">
        <f>'Project Direct Metrics'!$G$36</f>
        <v>&lt;#dbvalue(3_Piping_ISBL_Data;6;"MH";)&gt;</v>
      </c>
      <c r="QZ2" s="81" t="str">
        <f>'Project Direct Metrics'!$G$37</f>
        <v>&lt;#dbvalue(3_Piping_ISBL_Data;7;"MH";)&gt;</v>
      </c>
      <c r="RA2" s="81" t="str">
        <f>'Project Direct Metrics'!$G$38</f>
        <v>&lt;#dbvalue(3_Piping_ISBL_Data;8;"MH";)&gt;</v>
      </c>
      <c r="RB2" s="81" t="str">
        <f>'Project Direct Metrics'!$G$39</f>
        <v>&lt;#dbvalue(3_Piping_ISBL_Data;9;"MH";)&gt;</v>
      </c>
      <c r="RC2" s="81" t="str">
        <f>'Project Direct Metrics'!$G$40</f>
        <v>&lt;#dbvalue(3_Piping_ISBL_Data;10;"MH";)&gt;</v>
      </c>
      <c r="RD2" s="81" t="str">
        <f>'Project Direct Metrics'!$G$41</f>
        <v>&lt;#dbvalue(3_Piping_ISBL_Data;11;"MH";)&gt;</v>
      </c>
      <c r="RE2" s="81" t="str">
        <f>'Project Direct Metrics'!$G$42</f>
        <v>&lt;#dbvalue(3_Piping_ISBL_Data;12;"MH";)&gt;</v>
      </c>
      <c r="RF2" s="81" t="str">
        <f>'Project Direct Metrics'!$G$43</f>
        <v>&lt;#dbvalue(3_Piping_ISBL_Data;13;"MH";)&gt;</v>
      </c>
      <c r="RG2" s="81" t="str">
        <f>'Project Direct Metrics'!$G$44</f>
        <v>&lt;#dbvalue(3_Piping_ISBL_Data;14;"MH";)&gt;</v>
      </c>
      <c r="RH2" s="81" t="str">
        <f>'Project Direct Metrics'!$G$45</f>
        <v>&lt;#dbvalue(3_Piping_ISBL_Data;15;"MH";)&gt;</v>
      </c>
      <c r="RI2" s="81" t="str">
        <f>'Project Direct Metrics'!$G$46</f>
        <v>&lt;#dbvalue(3_Piping_ISBL_Data;16;"MH";)&gt;</v>
      </c>
      <c r="RJ2" s="81" t="str">
        <f>'Project Direct Metrics'!$G$50</f>
        <v>&lt;#dbvalue(3_PipingByInstall_ISBL_Data;0;"MH";)&gt;</v>
      </c>
      <c r="RK2" s="81" t="str">
        <f>'Project Direct Metrics'!$G$51</f>
        <v>&lt;#dbvalue(3_PipingByInstall_ISBL_Data;1;"MH";)&gt;</v>
      </c>
      <c r="RL2" s="81" t="str">
        <f>'Project Direct Metrics'!$G$54</f>
        <v>&lt;#dbvalue(3_PipingBySize_ISBL_Data;0;"MH";)&gt;</v>
      </c>
      <c r="RM2" s="81" t="str">
        <f>'Project Direct Metrics'!$G$55</f>
        <v>&lt;#dbvalue(3_PipingBySize_ISBL_Data;1;"MH";)&gt;</v>
      </c>
      <c r="RN2" s="81" t="str">
        <f>'Project Direct Metrics'!$G$56</f>
        <v>&lt;#dbvalue(3_PipingBySize_ISBL_Data;2;"MH";)&gt;</v>
      </c>
      <c r="RO2" s="81" t="str">
        <f>'Project Direct Metrics'!$G$57</f>
        <v>&lt;#dbvalue(3_PipingBySize_ISBL_Data;3;"MH";)&gt;</v>
      </c>
      <c r="RP2" s="81" t="str">
        <f>'Project Direct Metrics'!$G$58</f>
        <v>&lt;#dbvalue(3_PipingBySize_ISBL_Data;4;"MH";)&gt;</v>
      </c>
      <c r="RQ2" s="81" t="str">
        <f>'Project Direct Metrics'!$H$30</f>
        <v>&lt;#dbvalue(3_Piping_OSBL_Data;0;"MH";)&gt;</v>
      </c>
      <c r="RR2" s="81" t="str">
        <f>'Project Direct Metrics'!$H$31</f>
        <v>&lt;#dbvalue(3_Piping_OSBL_Data;1;"MH";)&gt;</v>
      </c>
      <c r="RS2" s="81" t="str">
        <f>'Project Direct Metrics'!$H$32</f>
        <v>&lt;#dbvalue(3_Piping_OSBL_Data;2;"MH";)&gt;</v>
      </c>
      <c r="RT2" s="81" t="str">
        <f>'Project Direct Metrics'!$H$33</f>
        <v>&lt;#dbvalue(3_Piping_OSBL_Data;3;"MH";)&gt;</v>
      </c>
      <c r="RU2" s="81" t="str">
        <f>'Project Direct Metrics'!$H$34</f>
        <v>&lt;#dbvalue(3_Piping_OSBL_Data;4;"MH";)&gt;</v>
      </c>
      <c r="RV2" s="81" t="str">
        <f>'Project Direct Metrics'!$H$35</f>
        <v>&lt;#dbvalue(3_Piping_OSBL_Data;5;"MH";)&gt;</v>
      </c>
      <c r="RW2" s="81" t="str">
        <f>'Project Direct Metrics'!$H$36</f>
        <v>&lt;#dbvalue(3_Piping_OSBL_Data;6;"MH";)&gt;</v>
      </c>
      <c r="RX2" s="81" t="str">
        <f>'Project Direct Metrics'!$H$37</f>
        <v>&lt;#dbvalue(3_Piping_OSBL_Data;7;"MH";)&gt;</v>
      </c>
      <c r="RY2" s="81" t="str">
        <f>'Project Direct Metrics'!$H$38</f>
        <v>&lt;#dbvalue(3_Piping_OSBL_Data;8;"MH";)&gt;</v>
      </c>
      <c r="RZ2" s="81" t="str">
        <f>'Project Direct Metrics'!$H$39</f>
        <v>&lt;#dbvalue(3_Piping_OSBL_Data;9;"MH";)&gt;</v>
      </c>
      <c r="SA2" s="81" t="str">
        <f>'Project Direct Metrics'!$H$40</f>
        <v>&lt;#dbvalue(3_Piping_OSBL_Data;10;"MH";)&gt;</v>
      </c>
      <c r="SB2" s="81" t="str">
        <f>'Project Direct Metrics'!$H$41</f>
        <v>&lt;#dbvalue(3_Piping_OSBL_Data;11;"MH";)&gt;</v>
      </c>
      <c r="SC2" s="81" t="str">
        <f>'Project Direct Metrics'!$H$42</f>
        <v>&lt;#dbvalue(3_Piping_OSBL_Data;12;"MH";)&gt;</v>
      </c>
      <c r="SD2" s="81" t="str">
        <f>'Project Direct Metrics'!$H$43</f>
        <v>&lt;#dbvalue(3_Piping_OSBL_Data;13;"MH";)&gt;</v>
      </c>
      <c r="SE2" s="81" t="str">
        <f>'Project Direct Metrics'!$H$44</f>
        <v>&lt;#dbvalue(3_Piping_OSBL_Data;14;"MH";)&gt;</v>
      </c>
      <c r="SF2" s="81" t="str">
        <f>'Project Direct Metrics'!$H$45</f>
        <v>&lt;#dbvalue(3_Piping_OSBL_Data;15;"MH";)&gt;</v>
      </c>
      <c r="SG2" s="81" t="str">
        <f>'Project Direct Metrics'!$H$46</f>
        <v>&lt;#dbvalue(3_Piping_OSBL_Data;16;"MH";)&gt;</v>
      </c>
      <c r="SH2" s="81" t="str">
        <f>'Project Direct Metrics'!$H$50</f>
        <v>&lt;#dbvalue(3_PipingByInstall_OSBL_Data;0;"MH";)&gt;</v>
      </c>
      <c r="SI2" s="81" t="str">
        <f>'Project Direct Metrics'!$H$51</f>
        <v>&lt;#dbvalue(3_PipingByInstall_OSBL_Data;1;"MH";)&gt;</v>
      </c>
      <c r="SJ2" s="81" t="str">
        <f>'Project Direct Metrics'!$H$54</f>
        <v>&lt;#dbvalue(3_PipingBySize_OSBL_Data;0;"MH";)&gt;</v>
      </c>
      <c r="SK2" s="81" t="str">
        <f>'Project Direct Metrics'!$H$55</f>
        <v>&lt;#dbvalue(3_PipingBySize_OSBL_Data;1;"MH";)&gt;</v>
      </c>
      <c r="SL2" s="81" t="str">
        <f>'Project Direct Metrics'!$H$56</f>
        <v>&lt;#dbvalue(3_PipingBySize_OSBL_Data;2;"MH";)&gt;</v>
      </c>
      <c r="SM2" s="81" t="str">
        <f>'Project Direct Metrics'!$H$57</f>
        <v>&lt;#dbvalue(3_PipingBySize_OSBL_Data;3;"MH";)&gt;</v>
      </c>
      <c r="SN2" s="81" t="str">
        <f>'Project Direct Metrics'!$H$58</f>
        <v>&lt;#dbvalue(3_PipingBySize_OSBL_Data;4;"MH";)&gt;</v>
      </c>
      <c r="SO2" s="81" t="str">
        <f>'Project Direct Metrics'!$G$61</f>
        <v>&lt;#dbvalue(4_Civil_ISBL_Data;0;"MH";)&gt;</v>
      </c>
      <c r="SP2" s="81" t="str">
        <f>'Project Direct Metrics'!$G$62</f>
        <v>&lt;#dbvalue(4_Civil_ISBL_Data;1;"MH";)&gt;</v>
      </c>
      <c r="SQ2" s="81" t="str">
        <f>'Project Direct Metrics'!$G$63</f>
        <v>&lt;#dbvalue(4_Civil_ISBL_Data;2;"MH";)&gt;</v>
      </c>
      <c r="SR2" s="81" t="str">
        <f>'Project Direct Metrics'!$G$64</f>
        <v>&lt;#dbvalue(4_Civil_ISBL_Data;3;"MH";)&gt;</v>
      </c>
      <c r="SS2" s="81" t="str">
        <f>'Project Direct Metrics'!$G$65</f>
        <v>&lt;#dbvalue(4_Civil_ISBL_Data;4;"MH";)&gt;</v>
      </c>
      <c r="ST2" s="81" t="str">
        <f>'Project Direct Metrics'!$G$66</f>
        <v>&lt;#dbvalue(4_Civil_ISBL_Data;5;"MH";)&gt;</v>
      </c>
      <c r="SU2" s="81" t="str">
        <f>'Project Direct Metrics'!$G$67</f>
        <v>&lt;#dbvalue(4_Civil_ISBL_Data;6;"MH";)&gt;</v>
      </c>
      <c r="SV2" s="81" t="str">
        <f>'Project Direct Metrics'!$G$68</f>
        <v>&lt;#dbvalue(4_Civil_ISBL_Data;7;"MH";)&gt;</v>
      </c>
      <c r="SW2" s="81" t="str">
        <f>'Project Direct Metrics'!$G$69</f>
        <v>&lt;#dbvalue(4_Civil_ISBL_Data;8;"MH";)&gt;</v>
      </c>
      <c r="SX2" s="81" t="str">
        <f>'Project Direct Metrics'!$G$70</f>
        <v>&lt;#dbvalue(4_Civil_ISBL_Data;9;"MH";)&gt;</v>
      </c>
      <c r="SY2" s="81" t="str">
        <f>'Project Direct Metrics'!$G$71</f>
        <v>&lt;#dbvalue(4_Civil_ISBL_Data;10;"MH";)&gt;</v>
      </c>
      <c r="SZ2" s="81" t="str">
        <f>'Project Direct Metrics'!$H$61</f>
        <v>&lt;#dbvalue(4_Civil_OSBL_Data;0;"MH";)&gt;</v>
      </c>
      <c r="TA2" s="81" t="str">
        <f>'Project Direct Metrics'!$H$62</f>
        <v>&lt;#dbvalue(4_Civil_OSBL_Data;1;"MH";)&gt;</v>
      </c>
      <c r="TB2" s="81" t="str">
        <f>'Project Direct Metrics'!$H$63</f>
        <v>&lt;#dbvalue(4_Civil_OSBL_Data;2;"MH";)&gt;</v>
      </c>
      <c r="TC2" s="81" t="str">
        <f>'Project Direct Metrics'!$H$64</f>
        <v>&lt;#dbvalue(4_Civil_OSBL_Data;3;"MH";)&gt;</v>
      </c>
      <c r="TD2" s="81" t="str">
        <f>'Project Direct Metrics'!$H$65</f>
        <v>&lt;#dbvalue(4_Civil_OSBL_Data;4;"MH";)&gt;</v>
      </c>
      <c r="TE2" s="81" t="str">
        <f>'Project Direct Metrics'!$H$66</f>
        <v>&lt;#dbvalue(4_Civil_OSBL_Data;5;"MH";)&gt;</v>
      </c>
      <c r="TF2" s="81" t="str">
        <f>'Project Direct Metrics'!$H$67</f>
        <v>&lt;#dbvalue(4_Civil_OSBL_Data;6;"MH";)&gt;</v>
      </c>
      <c r="TG2" s="81" t="str">
        <f>'Project Direct Metrics'!$H$68</f>
        <v>&lt;#dbvalue(4_Civil_OSBL_Data;7;"MH";)&gt;</v>
      </c>
      <c r="TH2" s="81" t="str">
        <f>'Project Direct Metrics'!$H$69</f>
        <v>&lt;#dbvalue(4_Civil_OSBL_Data;8;"MH";)&gt;</v>
      </c>
      <c r="TI2" s="81" t="str">
        <f>'Project Direct Metrics'!$H$70</f>
        <v>&lt;#dbvalue(4_Civil_OSBL_Data;9;"MH";)&gt;</v>
      </c>
      <c r="TJ2" s="81" t="str">
        <f>'Project Direct Metrics'!$H$71</f>
        <v>&lt;#dbvalue(4_Civil_OSBL_Data;10;"MH";)&gt;</v>
      </c>
      <c r="TK2" s="81" t="str">
        <f>'Project Direct Metrics'!$G$75</f>
        <v>&lt;#dbvalue(5_Steel_ISBL_Data;0;"MH";)&gt;</v>
      </c>
      <c r="TL2" s="81" t="str">
        <f>'Project Direct Metrics'!$G$76</f>
        <v>&lt;#dbvalue(5_Steel_ISBL_Data;1;"MH";)&gt;</v>
      </c>
      <c r="TM2" s="81" t="str">
        <f>'Project Direct Metrics'!$G$77</f>
        <v>&lt;#dbvalue(5_Steel_ISBL_Data;2;"MH";)&gt;</v>
      </c>
      <c r="TN2" s="81" t="str">
        <f>'Project Direct Metrics'!$G$78</f>
        <v>&lt;#dbvalue(5_Steel_ISBL_Data;3;"MH";)&gt;</v>
      </c>
      <c r="TO2" s="81" t="str">
        <f>'Project Direct Metrics'!$G$79</f>
        <v>&lt;#dbvalue(5_Steel_ISBL_Data;4;"MH";)&gt;</v>
      </c>
      <c r="TP2" s="81" t="str">
        <f>'Project Direct Metrics'!$G$80</f>
        <v>&lt;#dbvalue(5_Steel_ISBL_Data;5;"MH";)&gt;</v>
      </c>
      <c r="TQ2" s="81" t="str">
        <f>'Project Direct Metrics'!$G$81</f>
        <v>&lt;#dbvalue(5_Steel_ISBL_Data;6;"MH";)&gt;</v>
      </c>
      <c r="TR2" s="81" t="str">
        <f>'Project Direct Metrics'!$G$82</f>
        <v>&lt;#dbvalue(5_Steel_ISBL_Data;7;"MH";)&gt;</v>
      </c>
      <c r="TS2" s="81" t="str">
        <f>'Project Direct Metrics'!$H$75</f>
        <v>&lt;#dbvalue(5_Steel_OSBL_Data;0;"MH";)&gt;</v>
      </c>
      <c r="TT2" s="81" t="str">
        <f>'Project Direct Metrics'!$H$76</f>
        <v>&lt;#dbvalue(5_Steel_OSBL_Data;1;"MH";)&gt;</v>
      </c>
      <c r="TU2" s="81" t="str">
        <f>'Project Direct Metrics'!$H$77</f>
        <v>&lt;#dbvalue(5_Steel_OSBL_Data;2;"MH";)&gt;</v>
      </c>
      <c r="TV2" s="81" t="str">
        <f>'Project Direct Metrics'!$H$78</f>
        <v>&lt;#dbvalue(5_Steel_OSBL_Data;3;"MH";)&gt;</v>
      </c>
      <c r="TW2" s="81" t="str">
        <f>'Project Direct Metrics'!$H$79</f>
        <v>&lt;#dbvalue(5_Steel_OSBL_Data;4;"MH";)&gt;</v>
      </c>
      <c r="TX2" s="81" t="str">
        <f>'Project Direct Metrics'!$H$80</f>
        <v>&lt;#dbvalue(5_Steel_OSBL_Data;5;"MH";)&gt;</v>
      </c>
      <c r="TY2" s="81" t="str">
        <f>'Project Direct Metrics'!$H$81</f>
        <v>&lt;#dbvalue(5_Steel_OSBL_Data;6;"MH";)&gt;</v>
      </c>
      <c r="TZ2" s="81" t="str">
        <f>'Project Direct Metrics'!$H$82</f>
        <v>&lt;#dbvalue(5_Steel_OSBL_Data;7;"MH";)&gt;</v>
      </c>
      <c r="UA2" s="81" t="str">
        <f>'Project Direct Metrics'!$G$86</f>
        <v>&lt;#dbvalue(6_Instrumentation_ISBL_Data;0;"MH";)&gt;</v>
      </c>
      <c r="UB2" s="81" t="str">
        <f>'Project Direct Metrics'!$G$87</f>
        <v>&lt;#dbvalue(6_Instrumentation_ISBL_Data;1;"MH";)&gt;</v>
      </c>
      <c r="UC2" s="81" t="str">
        <f>'Project Direct Metrics'!$G$88</f>
        <v>&lt;#dbvalue(6_Instrumentation_ISBL_Data;2;"MH";)&gt;</v>
      </c>
      <c r="UD2" s="81" t="str">
        <f>'Project Direct Metrics'!$G$89</f>
        <v>&lt;#dbvalue(6_Instrumentation_ISBL_Data;3;"MH";)&gt;</v>
      </c>
      <c r="UE2" s="81" t="str">
        <f>'Project Direct Metrics'!$G$90</f>
        <v>&lt;#dbvalue(6_Instrumentation_ISBL_Data;4;"MH";)&gt;</v>
      </c>
      <c r="UF2" s="81" t="str">
        <f>'Project Direct Metrics'!$G$91</f>
        <v>&lt;#dbvalue(6_Instrumentation_ISBL_Data;5;"MH";)&gt;</v>
      </c>
      <c r="UG2" s="81" t="str">
        <f>'Project Direct Metrics'!$G$92</f>
        <v>&lt;#dbvalue(6_Instrumentation_ISBL_Data;6;"MH";)&gt;</v>
      </c>
      <c r="UH2" s="81" t="str">
        <f>'Project Direct Metrics'!$G$93</f>
        <v>&lt;#dbvalue(6_Instrumentation_ISBL_Data;7;"MH";)&gt;</v>
      </c>
      <c r="UI2" s="81" t="str">
        <f>'Project Direct Metrics'!$G$94</f>
        <v>&lt;#dbvalue(6_Instrumentation_ISBL_Data;8;"MH";)&gt;</v>
      </c>
      <c r="UJ2" s="81" t="str">
        <f>'Project Direct Metrics'!$G$95</f>
        <v>&lt;#dbvalue(6_Instrumentation_ISBL_Data;9;"MH";)&gt;</v>
      </c>
      <c r="UK2" s="81" t="str">
        <f>'Project Direct Metrics'!$H$86</f>
        <v>&lt;#dbvalue(6_Instrumentation_OSBL_Data;0;"MH";)&gt;</v>
      </c>
      <c r="UL2" s="81" t="str">
        <f>'Project Direct Metrics'!$H$87</f>
        <v>&lt;#dbvalue(6_Instrumentation_OSBL_Data;1;"MH";)&gt;</v>
      </c>
      <c r="UM2" s="81" t="str">
        <f>'Project Direct Metrics'!$H$88</f>
        <v>&lt;#dbvalue(6_Instrumentation_OSBL_Data;2;"MH";)&gt;</v>
      </c>
      <c r="UN2" s="81" t="str">
        <f>'Project Direct Metrics'!$H$89</f>
        <v>&lt;#dbvalue(6_Instrumentation_OSBL_Data;3;"MH";)&gt;</v>
      </c>
      <c r="UO2" s="81" t="str">
        <f>'Project Direct Metrics'!$H$90</f>
        <v>&lt;#dbvalue(6_Instrumentation_OSBL_Data;4;"MH";)&gt;</v>
      </c>
      <c r="UP2" s="81" t="str">
        <f>'Project Direct Metrics'!$H$91</f>
        <v>&lt;#dbvalue(6_Instrumentation_OSBL_Data;5;"MH";)&gt;</v>
      </c>
      <c r="UQ2" s="81" t="str">
        <f>'Project Direct Metrics'!$H$92</f>
        <v>&lt;#dbvalue(6_Instrumentation_OSBL_Data;6;"MH";)&gt;</v>
      </c>
      <c r="UR2" s="81" t="str">
        <f>'Project Direct Metrics'!$H$93</f>
        <v>&lt;#dbvalue(6_Instrumentation_OSBL_Data;7;"MH";)&gt;</v>
      </c>
      <c r="US2" s="81" t="str">
        <f>'Project Direct Metrics'!$H$94</f>
        <v>&lt;#dbvalue(6_Instrumentation_OSBL_Data;8;"MH";)&gt;</v>
      </c>
      <c r="UT2" s="81" t="str">
        <f>'Project Direct Metrics'!$H$95</f>
        <v>&lt;#dbvalue(6_Instrumentation_OSBL_Data;9;"MH";)&gt;</v>
      </c>
      <c r="UU2" s="81" t="str">
        <f>'Project Direct Metrics'!$G$99</f>
        <v>&lt;#dbvalue(7_Electrical_ISBL_Data;0;"MH";)&gt;</v>
      </c>
      <c r="UV2" s="81" t="str">
        <f>'Project Direct Metrics'!$G$100</f>
        <v>&lt;#dbvalue(7_Electrical_ISBL_Data;1;"MH";)&gt;</v>
      </c>
      <c r="UW2" s="81" t="str">
        <f>'Project Direct Metrics'!$G$101</f>
        <v>&lt;#dbvalue(7_Electrical_ISBL_Data;2;"MH";)&gt;</v>
      </c>
      <c r="UX2" s="81" t="str">
        <f>'Project Direct Metrics'!$G$102</f>
        <v>&lt;#dbvalue(7_Electrical_ISBL_Data;3;"MH";)&gt;</v>
      </c>
      <c r="UY2" s="81" t="str">
        <f>'Project Direct Metrics'!$G$103</f>
        <v>&lt;#dbvalue(7_Electrical_ISBL_Data;4;"MH";)&gt;</v>
      </c>
      <c r="UZ2" s="81" t="str">
        <f>'Project Direct Metrics'!$G$104</f>
        <v>&lt;#dbvalue(7_Electrical_ISBL_Data;5;"MH";)&gt;</v>
      </c>
      <c r="VA2" s="81" t="str">
        <f>'Project Direct Metrics'!$G$105</f>
        <v>&lt;#dbvalue(7_Electrical_ISBL_Data;6;"MH";)&gt;</v>
      </c>
      <c r="VB2" s="81" t="str">
        <f>'Project Direct Metrics'!$G$106</f>
        <v>&lt;#dbvalue(7_Electrical_ISBL_Data;7;"MH";)&gt;</v>
      </c>
      <c r="VC2" s="81" t="str">
        <f>'Project Direct Metrics'!$G$107</f>
        <v>&lt;#dbvalue(7_Electrical_ISBL_Data;8;"MH";)&gt;</v>
      </c>
      <c r="VD2" s="81" t="str">
        <f>'Project Direct Metrics'!$G$108</f>
        <v>&lt;#dbvalue(7_Electrical_ISBL_Data;9;"MH";)&gt;</v>
      </c>
      <c r="VE2" s="81" t="str">
        <f>'Project Direct Metrics'!$G$109</f>
        <v>&lt;#dbvalue(7_Electrical_ISBL_Data;10;"MH";)&gt;</v>
      </c>
      <c r="VF2" s="81" t="str">
        <f>'Project Direct Metrics'!$G$110</f>
        <v>&lt;#dbvalue(7_Electrical_ISBL_Data;11;"MH";)&gt;</v>
      </c>
      <c r="VG2" s="81" t="str">
        <f>'Project Direct Metrics'!$G$111</f>
        <v>&lt;#dbvalue(7_Electrical_ISBL_Data;12;"MH";)&gt;</v>
      </c>
      <c r="VH2" s="81" t="str">
        <f>'Project Direct Metrics'!$G$115</f>
        <v>&lt;#dbvalue(7_ElectricalByInstall_ISBL_Data;0;"MH";)&gt;</v>
      </c>
      <c r="VI2" s="81" t="str">
        <f>'Project Direct Metrics'!$G$116</f>
        <v>&lt;#dbvalue(7_ElectricalByInstall_ISBL_Data;1;"MH";)&gt;</v>
      </c>
      <c r="VJ2" s="81" t="str">
        <f>'Project Direct Metrics'!$H$99</f>
        <v>&lt;#dbvalue(7_Electrical_OSBL_Data;0;"MH";)&gt;</v>
      </c>
      <c r="VK2" s="81" t="str">
        <f>'Project Direct Metrics'!$H$100</f>
        <v>&lt;#dbvalue(7_Electrical_OSBL_Data;1;"MH";)&gt;</v>
      </c>
      <c r="VL2" s="81" t="str">
        <f>'Project Direct Metrics'!$H$101</f>
        <v>&lt;#dbvalue(7_Electrical_OSBL_Data;2;"MH";)&gt;</v>
      </c>
      <c r="VM2" s="81" t="str">
        <f>'Project Direct Metrics'!$H$102</f>
        <v>&lt;#dbvalue(7_Electrical_OSBL_Data;3;"MH";)&gt;</v>
      </c>
      <c r="VN2" s="81" t="str">
        <f>'Project Direct Metrics'!$H$103</f>
        <v>&lt;#dbvalue(7_Electrical_OSBL_Data;4;"MH";)&gt;</v>
      </c>
      <c r="VO2" s="81" t="str">
        <f>'Project Direct Metrics'!$H$104</f>
        <v>&lt;#dbvalue(7_Electrical_OSBL_Data;5;"MH";)&gt;</v>
      </c>
      <c r="VP2" s="81" t="str">
        <f>'Project Direct Metrics'!$H$105</f>
        <v>&lt;#dbvalue(7_Electrical_OSBL_Data;6;"MH";)&gt;</v>
      </c>
      <c r="VQ2" s="81" t="str">
        <f>'Project Direct Metrics'!$H$106</f>
        <v>&lt;#dbvalue(7_Electrical_OSBL_Data;7;"MH";)&gt;</v>
      </c>
      <c r="VR2" s="81" t="str">
        <f>'Project Direct Metrics'!$H$107</f>
        <v>&lt;#dbvalue(7_Electrical_OSBL_Data;8;"MH";)&gt;</v>
      </c>
      <c r="VS2" s="81" t="str">
        <f>'Project Direct Metrics'!$H$108</f>
        <v>&lt;#dbvalue(7_Electrical_OSBL_Data;9;"MH";)&gt;</v>
      </c>
      <c r="VT2" s="81" t="str">
        <f>'Project Direct Metrics'!$H$109</f>
        <v>&lt;#dbvalue(7_Electrical_OSBL_Data;10;"MH";)&gt;</v>
      </c>
      <c r="VU2" s="81" t="str">
        <f>'Project Direct Metrics'!$H$110</f>
        <v>&lt;#dbvalue(7_Electrical_OSBL_Data;11;"MH";)&gt;</v>
      </c>
      <c r="VV2" s="81" t="str">
        <f>'Project Direct Metrics'!$H$111</f>
        <v>&lt;#dbvalue(7_Electrical_OSBL_Data;12;"MH";)&gt;</v>
      </c>
      <c r="VW2" s="81" t="str">
        <f>'Project Direct Metrics'!$H$115</f>
        <v>&lt;#dbvalue(7_ElectricalByInstall_OSBL_Data;0;"MH";)&gt;</v>
      </c>
      <c r="VX2" s="81" t="str">
        <f>'Project Direct Metrics'!$H$116</f>
        <v>&lt;#dbvalue(7_ElectricalByInstall_OSBL_Data;1;"MH";)&gt;</v>
      </c>
      <c r="VY2" s="81" t="str">
        <f>'Project Direct Metrics'!$G$119</f>
        <v>&lt;#dbvalue(8_Insulation_ISBL_Data;0;"MH";)&gt;</v>
      </c>
      <c r="VZ2" s="81" t="str">
        <f>'Project Direct Metrics'!$G$120</f>
        <v>&lt;#dbvalue(8_Insulation_ISBL_Data;1;"MH";)&gt;</v>
      </c>
      <c r="WA2" s="81" t="str">
        <f>'Project Direct Metrics'!$G$121</f>
        <v>&lt;#dbvalue(8_Insulation_ISBL_Data;2;"MH";)&gt;</v>
      </c>
      <c r="WB2" s="81" t="str">
        <f>'Project Direct Metrics'!$G$122</f>
        <v>&lt;#dbvalue(8_Insulation_ISBL_Data;3;"MH";)&gt;</v>
      </c>
      <c r="WC2" s="81" t="str">
        <f>'Project Direct Metrics'!$G$123</f>
        <v>&lt;#dbvalue(8_Insulation_ISBL_Data;4;"MH";)&gt;</v>
      </c>
      <c r="WD2" s="81" t="str">
        <f>'Project Direct Metrics'!$G$124</f>
        <v>&lt;#dbvalue(8_Insulation_ISBL_Data;5;"MH";)&gt;</v>
      </c>
      <c r="WE2" s="81" t="str">
        <f>'Project Direct Metrics'!$H$119</f>
        <v>&lt;#dbvalue(8_Insulation_OSBL_Data;0;"MH";)&gt;</v>
      </c>
      <c r="WF2" s="81" t="str">
        <f>'Project Direct Metrics'!$H$120</f>
        <v>&lt;#dbvalue(8_Insulation_OSBL_Data;1;"MH";)&gt;</v>
      </c>
      <c r="WG2" s="81" t="str">
        <f>'Project Direct Metrics'!$H$121</f>
        <v>&lt;#dbvalue(8_Insulation_OSBL_Data;2;"MH";)&gt;</v>
      </c>
      <c r="WH2" s="81" t="str">
        <f>'Project Direct Metrics'!$H$122</f>
        <v>&lt;#dbvalue(8_Insulation_OSBL_Data;3;"MH";)&gt;</v>
      </c>
      <c r="WI2" s="81" t="str">
        <f>'Project Direct Metrics'!$H$123</f>
        <v>&lt;#dbvalue(8_Insulation_OSBL_Data;4;"MH";)&gt;</v>
      </c>
      <c r="WJ2" s="81" t="str">
        <f>'Project Direct Metrics'!$H$124</f>
        <v>&lt;#dbvalue(8_Insulation_OSBL_Data;5;"MH";)&gt;</v>
      </c>
      <c r="WK2" s="81" t="str">
        <f>'Project Direct Metrics'!$G$128</f>
        <v>&lt;#dbvalue(9_Paint_ISBL_Data;0;"MH";)&gt;</v>
      </c>
      <c r="WL2" s="81" t="str">
        <f>'Project Direct Metrics'!$G$129</f>
        <v>&lt;#dbvalue(9_Paint_ISBL_Data;1;"MH";)&gt;</v>
      </c>
      <c r="WM2" s="81" t="str">
        <f>'Project Direct Metrics'!$G$130</f>
        <v>&lt;#dbvalue(9_Paint_ISBL_Data;2;"MH";)&gt;</v>
      </c>
      <c r="WN2" s="81" t="str">
        <f>'Project Direct Metrics'!$G$131</f>
        <v>&lt;#dbvalue(9_Paint_ISBL_Data;3;"MH";)&gt;</v>
      </c>
      <c r="WO2" s="81" t="str">
        <f>'Project Direct Metrics'!$G$132</f>
        <v>&lt;#dbvalue(9_Paint_ISBL_Data;4;"MH";)&gt;</v>
      </c>
      <c r="WP2" s="81" t="str">
        <f>'Project Direct Metrics'!$G$133</f>
        <v>&lt;#dbvalue(9_Paint_ISBL_Data;5;"MH";)&gt;</v>
      </c>
      <c r="WQ2" s="81" t="str">
        <f>'Project Direct Metrics'!$G$134</f>
        <v>&lt;#dbvalue(9_Paint_ISBL_Data;6;"MH";)&gt;</v>
      </c>
      <c r="WR2" s="81" t="str">
        <f>'Project Direct Metrics'!$H$128</f>
        <v>&lt;#dbvalue(9_Paint_OSBL_Data;0;"MH";)&gt;</v>
      </c>
      <c r="WS2" s="81" t="str">
        <f>'Project Direct Metrics'!$H$129</f>
        <v>&lt;#dbvalue(9_Paint_OSBL_Data;1;"MH";)&gt;</v>
      </c>
      <c r="WT2" s="81" t="str">
        <f>'Project Direct Metrics'!$H$130</f>
        <v>&lt;#dbvalue(9_Paint_OSBL_Data;2;"MH";)&gt;</v>
      </c>
      <c r="WU2" s="81" t="str">
        <f>'Project Direct Metrics'!$H$131</f>
        <v>&lt;#dbvalue(9_Paint_OSBL_Data;3;"MH";)&gt;</v>
      </c>
      <c r="WV2" s="81" t="str">
        <f>'Project Direct Metrics'!$H$132</f>
        <v>&lt;#dbvalue(9_Paint_OSBL_Data;4;"MH";)&gt;</v>
      </c>
      <c r="WW2" s="81" t="str">
        <f>'Project Direct Metrics'!$H$133</f>
        <v>&lt;#dbvalue(9_Paint_OSBL_Data;5;"MH";)&gt;</v>
      </c>
      <c r="WX2" s="81" t="str">
        <f>'Project Direct Metrics'!$H$134</f>
        <v>&lt;#dbvalue(9_Paint_OSBL_Data;6;"MH";)&gt;</v>
      </c>
      <c r="WY2" s="81" t="str">
        <f>'Project Direct Metrics'!$I$4</f>
        <v>&lt;#dbvalue(2_Equipment_ISBL_Data;0;"Labor";)&gt;</v>
      </c>
      <c r="WZ2" s="81" t="str">
        <f>'Project Direct Metrics'!$I$5</f>
        <v>&lt;#dbvalue(2_Equipment_ISBL_Data;1;"Labor";)&gt;</v>
      </c>
      <c r="XA2" s="81" t="str">
        <f>'Project Direct Metrics'!$I$6</f>
        <v>&lt;#dbvalue(2_Equipment_ISBL_Data;2;"Labor";)&gt;</v>
      </c>
      <c r="XB2" s="81" t="str">
        <f>'Project Direct Metrics'!$I$7</f>
        <v>&lt;#dbvalue(2_Equipment_ISBL_Data;3;"Labor";)&gt;</v>
      </c>
      <c r="XC2" s="81" t="str">
        <f>'Project Direct Metrics'!$I$8</f>
        <v>&lt;#dbvalue(2_Equipment_ISBL_Data;4;"Labor";)&gt;</v>
      </c>
      <c r="XD2" s="81" t="str">
        <f>'Project Direct Metrics'!$I$9</f>
        <v>&lt;#dbvalue(2_Equipment_ISBL_Data;5;"Labor";)&gt;</v>
      </c>
      <c r="XE2" s="81" t="str">
        <f>'Project Direct Metrics'!$I$10</f>
        <v>&lt;#dbvalue(2_Equipment_ISBL_Data;6;"Labor";)&gt;</v>
      </c>
      <c r="XF2" s="81" t="str">
        <f>'Project Direct Metrics'!$I$11</f>
        <v>&lt;#dbvalue(2_Equipment_ISBL_Data;7;"Labor";)&gt;</v>
      </c>
      <c r="XG2" s="81" t="str">
        <f>'Project Direct Metrics'!$I$12</f>
        <v>&lt;#dbvalue(2_Equipment_ISBL_Data;8;"Labor";)&gt;</v>
      </c>
      <c r="XH2" s="81" t="str">
        <f>'Project Direct Metrics'!$I$13</f>
        <v>&lt;#dbvalue(2_Equipment_ISBL_Data;9;"Labor";)&gt;</v>
      </c>
      <c r="XI2" s="81" t="str">
        <f>'Project Direct Metrics'!$I$14</f>
        <v>&lt;#dbvalue(2_Equipment_ISBL_Data;10;"Labor";)&gt;</v>
      </c>
      <c r="XJ2" s="81" t="str">
        <f>'Project Direct Metrics'!$I$15</f>
        <v>&lt;#dbvalue(2_Equipment_ISBL_Data;11;"Labor";)&gt;</v>
      </c>
      <c r="XK2" s="81" t="str">
        <f>'Project Direct Metrics'!$I$16</f>
        <v>&lt;#dbvalue(2_Equipment_ISBL_Data;12;"Labor";)&gt;</v>
      </c>
      <c r="XL2" s="81" t="str">
        <f>'Project Direct Metrics'!$I$17</f>
        <v>&lt;#dbvalue(2_Equipment_ISBL_Data;13;"Labor";)&gt;</v>
      </c>
      <c r="XM2" s="81" t="str">
        <f>'Project Direct Metrics'!$I$18</f>
        <v>&lt;#dbvalue(2_Equipment_ISBL_Data;14;"Labor";)&gt;</v>
      </c>
      <c r="XN2" s="81" t="str">
        <f>'Project Direct Metrics'!$I$19</f>
        <v>&lt;#dbvalue(2_Equipment_ISBL_Data;15;"Labor";)&gt;</v>
      </c>
      <c r="XO2" s="81" t="str">
        <f>'Project Direct Metrics'!$I$20</f>
        <v>&lt;#dbvalue(2_Equipment_ISBL_Data;16;"Labor";)&gt;</v>
      </c>
      <c r="XP2" s="81" t="str">
        <f>'Project Direct Metrics'!$I$21</f>
        <v>&lt;#dbvalue(2_Equipment_ISBL_Data;17;"Labor";)&gt;</v>
      </c>
      <c r="XQ2" s="81" t="str">
        <f>'Project Direct Metrics'!$I$22</f>
        <v>&lt;#dbvalue(2_Equipment_ISBL_Data;18;"Labor";)&gt;</v>
      </c>
      <c r="XR2" s="81" t="str">
        <f>'Project Direct Metrics'!$I$23</f>
        <v>&lt;#dbvalue(2_Equipment_ISBL_Data;19;"Labor";)&gt;</v>
      </c>
      <c r="XS2" s="81" t="str">
        <f>'Project Direct Metrics'!$I$24</f>
        <v>&lt;#dbvalue(2_Equipment_ISBL_Data;20;"Labor";)&gt;</v>
      </c>
      <c r="XT2" s="81" t="str">
        <f>'Project Direct Metrics'!$I$25</f>
        <v>&lt;#dbvalue(2_Equipment_ISBL_Data;21;"Labor";)&gt;</v>
      </c>
      <c r="XU2" s="81" t="str">
        <f>'Project Direct Metrics'!$I$26</f>
        <v>&lt;#dbvalue(2_Equipment_ISBL_Data;22;"Labor";)&gt;</v>
      </c>
      <c r="XV2" s="81" t="str">
        <f>'Project Direct Metrics'!$J$4</f>
        <v>&lt;#dbvalue(2_Equipment_OSBL_Data;0;"Labor";)&gt;</v>
      </c>
      <c r="XW2" s="81" t="str">
        <f>'Project Direct Metrics'!$J$5</f>
        <v>&lt;#dbvalue(2_Equipment_OSBL_Data;1;"Labor";)&gt;</v>
      </c>
      <c r="XX2" s="81" t="str">
        <f>'Project Direct Metrics'!$J$6</f>
        <v>&lt;#dbvalue(2_Equipment_OSBL_Data;2;"Labor";)&gt;</v>
      </c>
      <c r="XY2" s="81" t="str">
        <f>'Project Direct Metrics'!$J$7</f>
        <v>&lt;#dbvalue(2_Equipment_OSBL_Data;3;"Labor";)&gt;</v>
      </c>
      <c r="XZ2" s="81" t="str">
        <f>'Project Direct Metrics'!$J$8</f>
        <v>&lt;#dbvalue(2_Equipment_OSBL_Data;4;"Labor";)&gt;</v>
      </c>
      <c r="YA2" s="81" t="str">
        <f>'Project Direct Metrics'!$J$9</f>
        <v>&lt;#dbvalue(2_Equipment_OSBL_Data;5;"Labor";)&gt;</v>
      </c>
      <c r="YB2" s="81" t="str">
        <f>'Project Direct Metrics'!$J$10</f>
        <v>&lt;#dbvalue(2_Equipment_OSBL_Data;6;"Labor";)&gt;</v>
      </c>
      <c r="YC2" s="81" t="str">
        <f>'Project Direct Metrics'!$J$11</f>
        <v>&lt;#dbvalue(2_Equipment_OSBL_Data;7;"Labor";)&gt;</v>
      </c>
      <c r="YD2" s="81" t="str">
        <f>'Project Direct Metrics'!$J$12</f>
        <v>&lt;#dbvalue(2_Equipment_OSBL_Data;8;"Labor";)&gt;</v>
      </c>
      <c r="YE2" s="81" t="str">
        <f>'Project Direct Metrics'!$J$13</f>
        <v>&lt;#dbvalue(2_Equipment_OSBL_Data;9;"Labor";)&gt;</v>
      </c>
      <c r="YF2" s="81" t="str">
        <f>'Project Direct Metrics'!$J$14</f>
        <v>&lt;#dbvalue(2_Equipment_OSBL_Data;10;"Labor";)&gt;</v>
      </c>
      <c r="YG2" s="81" t="str">
        <f>'Project Direct Metrics'!$J$15</f>
        <v>&lt;#dbvalue(2_Equipment_OSBL_Data;11;"Labor";)&gt;</v>
      </c>
      <c r="YH2" s="81" t="str">
        <f>'Project Direct Metrics'!$J$16</f>
        <v>&lt;#dbvalue(2_Equipment_OSBL_Data;12;"Labor";)&gt;</v>
      </c>
      <c r="YI2" s="81" t="str">
        <f>'Project Direct Metrics'!$J$17</f>
        <v>&lt;#dbvalue(2_Equipment_OSBL_Data;13;"Labor";)&gt;</v>
      </c>
      <c r="YJ2" s="81" t="str">
        <f>'Project Direct Metrics'!$J$18</f>
        <v>&lt;#dbvalue(2_Equipment_OSBL_Data;14;"Labor";)&gt;</v>
      </c>
      <c r="YK2" s="81" t="str">
        <f>'Project Direct Metrics'!$J$19</f>
        <v>&lt;#dbvalue(2_Equipment_OSBL_Data;15;"Labor";)&gt;</v>
      </c>
      <c r="YL2" s="81" t="str">
        <f>'Project Direct Metrics'!$J$20</f>
        <v>&lt;#dbvalue(2_Equipment_OSBL_Data;16;"Labor";)&gt;</v>
      </c>
      <c r="YM2" s="81" t="str">
        <f>'Project Direct Metrics'!$J$21</f>
        <v>&lt;#dbvalue(2_Equipment_OSBL_Data;17;"Labor";)&gt;</v>
      </c>
      <c r="YN2" s="81" t="str">
        <f>'Project Direct Metrics'!$J$22</f>
        <v>&lt;#dbvalue(2_Equipment_OSBL_Data;18;"Labor";)&gt;</v>
      </c>
      <c r="YO2" s="81" t="str">
        <f>'Project Direct Metrics'!$J$23</f>
        <v>&lt;#dbvalue(2_Equipment_OSBL_Data;19;"Labor";)&gt;</v>
      </c>
      <c r="YP2" s="81" t="str">
        <f>'Project Direct Metrics'!$J$24</f>
        <v>&lt;#dbvalue(2_Equipment_OSBL_Data;20;"Labor";)&gt;</v>
      </c>
      <c r="YQ2" s="81" t="str">
        <f>'Project Direct Metrics'!$J$25</f>
        <v>&lt;#dbvalue(2_Equipment_OSBL_Data;21;"Labor";)&gt;</v>
      </c>
      <c r="YR2" s="81" t="str">
        <f>'Project Direct Metrics'!$J$26</f>
        <v>&lt;#dbvalue(2_Equipment_OSBL_Data;22;"Labor";)&gt;</v>
      </c>
      <c r="YS2" s="81" t="str">
        <f>'Project Direct Metrics'!$I$30</f>
        <v>&lt;#dbvalue(3_Piping_ISBL_Data;0;"Labor";)&gt;</v>
      </c>
      <c r="YT2" s="81" t="str">
        <f>'Project Direct Metrics'!$I$31</f>
        <v>&lt;#dbvalue(3_Piping_ISBL_Data;1;"Labor";)&gt;</v>
      </c>
      <c r="YU2" s="81" t="str">
        <f>'Project Direct Metrics'!$I$32</f>
        <v>&lt;#dbvalue(3_Piping_ISBL_Data;2;"Labor";)&gt;</v>
      </c>
      <c r="YV2" s="81" t="str">
        <f>'Project Direct Metrics'!$I$33</f>
        <v>&lt;#dbvalue(3_Piping_ISBL_Data;3;"Labor";)&gt;</v>
      </c>
      <c r="YW2" s="81" t="str">
        <f>'Project Direct Metrics'!$I$34</f>
        <v>&lt;#dbvalue(3_Piping_ISBL_Data;4;"Labor";)&gt;</v>
      </c>
      <c r="YX2" s="81" t="str">
        <f>'Project Direct Metrics'!$I$35</f>
        <v>&lt;#dbvalue(3_Piping_ISBL_Data;5;"Labor";)&gt;</v>
      </c>
      <c r="YY2" s="81" t="str">
        <f>'Project Direct Metrics'!$I$36</f>
        <v>&lt;#dbvalue(3_Piping_ISBL_Data;6;"Labor";)&gt;</v>
      </c>
      <c r="YZ2" s="81" t="str">
        <f>'Project Direct Metrics'!$I$37</f>
        <v>&lt;#dbvalue(3_Piping_ISBL_Data;7;"Labor";)&gt;</v>
      </c>
      <c r="ZA2" s="81" t="str">
        <f>'Project Direct Metrics'!$I$38</f>
        <v>&lt;#dbvalue(3_Piping_ISBL_Data;8;"Labor";)&gt;</v>
      </c>
      <c r="ZB2" s="81" t="str">
        <f>'Project Direct Metrics'!$I$39</f>
        <v>&lt;#dbvalue(3_Piping_ISBL_Data;9;"Labor";)&gt;</v>
      </c>
      <c r="ZC2" s="81" t="str">
        <f>'Project Direct Metrics'!$I$40</f>
        <v>&lt;#dbvalue(3_Piping_ISBL_Data;10;"Labor";)&gt;</v>
      </c>
      <c r="ZD2" s="81" t="str">
        <f>'Project Direct Metrics'!$I$41</f>
        <v>&lt;#dbvalue(3_Piping_ISBL_Data;11;"Labor";)&gt;</v>
      </c>
      <c r="ZE2" s="81" t="str">
        <f>'Project Direct Metrics'!$I$42</f>
        <v>&lt;#dbvalue(3_Piping_ISBL_Data;12;"Labor";)&gt;</v>
      </c>
      <c r="ZF2" s="81" t="str">
        <f>'Project Direct Metrics'!$I$43</f>
        <v>&lt;#dbvalue(3_Piping_ISBL_Data;13;"Labor";)&gt;</v>
      </c>
      <c r="ZG2" s="81" t="str">
        <f>'Project Direct Metrics'!$I$44</f>
        <v>&lt;#dbvalue(3_Piping_ISBL_Data;14;"Labor";)&gt;</v>
      </c>
      <c r="ZH2" s="81" t="str">
        <f>'Project Direct Metrics'!$I$45</f>
        <v>&lt;#dbvalue(3_Piping_ISBL_Data;15;"Labor";)&gt;</v>
      </c>
      <c r="ZI2" s="81" t="str">
        <f>'Project Direct Metrics'!$I$46</f>
        <v>&lt;#dbvalue(3_Piping_ISBL_Data;16;"Labor";)&gt;</v>
      </c>
      <c r="ZJ2" s="81" t="str">
        <f>'Project Direct Metrics'!$I$50</f>
        <v>&lt;#dbvalue(3_PipingByInstall_ISBL_Data;0;"Labor";)&gt;</v>
      </c>
      <c r="ZK2" s="81" t="str">
        <f>'Project Direct Metrics'!$I$51</f>
        <v>&lt;#dbvalue(3_PipingByInstall_ISBL_Data;1;"Labor";)&gt;</v>
      </c>
      <c r="ZL2" s="81" t="str">
        <f>'Project Direct Metrics'!$I$54</f>
        <v>&lt;#dbvalue(3_PipingBySize_ISBL_Data;0;"Labor";)&gt;</v>
      </c>
      <c r="ZM2" s="81" t="str">
        <f>'Project Direct Metrics'!$I$55</f>
        <v>&lt;#dbvalue(3_PipingBySize_ISBL_Data;1;"Labor";)&gt;</v>
      </c>
      <c r="ZN2" s="81" t="str">
        <f>'Project Direct Metrics'!$I$56</f>
        <v>&lt;#dbvalue(3_PipingBySize_ISBL_Data;2;"Labor";)&gt;</v>
      </c>
      <c r="ZO2" s="81" t="str">
        <f>'Project Direct Metrics'!$I$57</f>
        <v>&lt;#dbvalue(3_PipingBySize_ISBL_Data;3;"Labor";)&gt;</v>
      </c>
      <c r="ZP2" s="81" t="str">
        <f>'Project Direct Metrics'!$I$58</f>
        <v>&lt;#dbvalue(3_PipingBySize_ISBL_Data;4;"Labor";)&gt;</v>
      </c>
      <c r="ZQ2" s="81" t="str">
        <f>'Project Direct Metrics'!$J$30</f>
        <v>&lt;#dbvalue(3_Piping_OSBL_Data;0;"Labor";)&gt;</v>
      </c>
      <c r="ZR2" s="81" t="str">
        <f>'Project Direct Metrics'!$J$31</f>
        <v>&lt;#dbvalue(3_Piping_OSBL_Data;1;"Labor";)&gt;</v>
      </c>
      <c r="ZS2" s="81" t="str">
        <f>'Project Direct Metrics'!$J$32</f>
        <v>&lt;#dbvalue(3_Piping_OSBL_Data;2;"Labor";)&gt;</v>
      </c>
      <c r="ZT2" s="81" t="str">
        <f>'Project Direct Metrics'!$J$33</f>
        <v>&lt;#dbvalue(3_Piping_OSBL_Data;3;"Labor";)&gt;</v>
      </c>
      <c r="ZU2" s="81" t="str">
        <f>'Project Direct Metrics'!$J$34</f>
        <v>&lt;#dbvalue(3_Piping_OSBL_Data;4;"Labor";)&gt;</v>
      </c>
      <c r="ZV2" s="81" t="str">
        <f>'Project Direct Metrics'!$J$35</f>
        <v>&lt;#dbvalue(3_Piping_OSBL_Data;5;"Labor";)&gt;</v>
      </c>
      <c r="ZW2" s="81" t="str">
        <f>'Project Direct Metrics'!$J$36</f>
        <v>&lt;#dbvalue(3_Piping_OSBL_Data;6;"Labor";)&gt;</v>
      </c>
      <c r="ZX2" s="81" t="str">
        <f>'Project Direct Metrics'!$J$37</f>
        <v>&lt;#dbvalue(3_Piping_OSBL_Data;7;"Labor";)&gt;</v>
      </c>
      <c r="ZY2" s="81" t="str">
        <f>'Project Direct Metrics'!$J$38</f>
        <v>&lt;#dbvalue(3_Piping_OSBL_Data;8;"Labor";)&gt;</v>
      </c>
      <c r="ZZ2" s="81" t="str">
        <f>'Project Direct Metrics'!$J$39</f>
        <v>&lt;#dbvalue(3_Piping_OSBL_Data;9;"Labor";)&gt;</v>
      </c>
      <c r="AAA2" s="81" t="str">
        <f>'Project Direct Metrics'!$J$40</f>
        <v>&lt;#dbvalue(3_Piping_OSBL_Data;10;"Labor";)&gt;</v>
      </c>
      <c r="AAB2" s="81" t="str">
        <f>'Project Direct Metrics'!$J$41</f>
        <v>&lt;#dbvalue(3_Piping_OSBL_Data;11;"Labor";)&gt;</v>
      </c>
      <c r="AAC2" s="81" t="str">
        <f>'Project Direct Metrics'!$J$42</f>
        <v>&lt;#dbvalue(3_Piping_OSBL_Data;12;"Labor";)&gt;</v>
      </c>
      <c r="AAD2" s="81" t="str">
        <f>'Project Direct Metrics'!$J$43</f>
        <v>&lt;#dbvalue(3_Piping_OSBL_Data;13;"Labor";)&gt;</v>
      </c>
      <c r="AAE2" s="81" t="str">
        <f>'Project Direct Metrics'!$J$44</f>
        <v>&lt;#dbvalue(3_Piping_OSBL_Data;14;"Labor";)&gt;</v>
      </c>
      <c r="AAF2" s="81" t="str">
        <f>'Project Direct Metrics'!$J$45</f>
        <v>&lt;#dbvalue(3_Piping_OSBL_Data;15;"Labor";)&gt;</v>
      </c>
      <c r="AAG2" s="81" t="str">
        <f>'Project Direct Metrics'!$J$46</f>
        <v>&lt;#dbvalue(3_Piping_OSBL_Data;16;"Labor";)&gt;</v>
      </c>
      <c r="AAH2" s="81" t="str">
        <f>'Project Direct Metrics'!$J$50</f>
        <v>&lt;#dbvalue(3_PipingByInstall_OSBL_Data;0;"Labor";)&gt;</v>
      </c>
      <c r="AAI2" s="81" t="str">
        <f>'Project Direct Metrics'!$J$51</f>
        <v>&lt;#dbvalue(3_PipingByInstall_OSBL_Data;1;"Labor";)&gt;</v>
      </c>
      <c r="AAJ2" s="81" t="str">
        <f>'Project Direct Metrics'!$J$54</f>
        <v>&lt;#dbvalue(3_PipingBySize_OSBL_Data;0;"Labor";)&gt;</v>
      </c>
      <c r="AAK2" s="81" t="str">
        <f>'Project Direct Metrics'!$J$55</f>
        <v>&lt;#dbvalue(3_PipingBySize_OSBL_Data;1;"Labor";)&gt;</v>
      </c>
      <c r="AAL2" s="81" t="str">
        <f>'Project Direct Metrics'!$J$56</f>
        <v>&lt;#dbvalue(3_PipingBySize_OSBL_Data;2;"Labor";)&gt;</v>
      </c>
      <c r="AAM2" s="81" t="str">
        <f>'Project Direct Metrics'!$J$57</f>
        <v>&lt;#dbvalue(3_PipingBySize_OSBL_Data;3;"Labor";)&gt;</v>
      </c>
      <c r="AAN2" s="81" t="str">
        <f>'Project Direct Metrics'!$J$58</f>
        <v>&lt;#dbvalue(3_PipingBySize_OSBL_Data;4;"Labor";)&gt;</v>
      </c>
      <c r="AAO2" s="81" t="str">
        <f>'Project Direct Metrics'!$I$61</f>
        <v>&lt;#dbvalue(4_Civil_ISBL_Data;0;"Labor";)&gt;</v>
      </c>
      <c r="AAP2" s="81" t="str">
        <f>'Project Direct Metrics'!$I$62</f>
        <v>&lt;#dbvalue(4_Civil_ISBL_Data;1;"Labor";)&gt;</v>
      </c>
      <c r="AAQ2" s="81" t="str">
        <f>'Project Direct Metrics'!$I$63</f>
        <v>&lt;#dbvalue(4_Civil_ISBL_Data;2;"Labor";)&gt;</v>
      </c>
      <c r="AAR2" s="81" t="str">
        <f>'Project Direct Metrics'!$I$64</f>
        <v>&lt;#dbvalue(4_Civil_ISBL_Data;3;"Labor";)&gt;</v>
      </c>
      <c r="AAS2" s="81" t="str">
        <f>'Project Direct Metrics'!$I$65</f>
        <v>&lt;#dbvalue(4_Civil_ISBL_Data;4;"Labor";)&gt;</v>
      </c>
      <c r="AAT2" s="81" t="str">
        <f>'Project Direct Metrics'!$I$66</f>
        <v>&lt;#dbvalue(4_Civil_ISBL_Data;5;"Labor";)&gt;</v>
      </c>
      <c r="AAU2" s="81" t="str">
        <f>'Project Direct Metrics'!$I$67</f>
        <v>&lt;#dbvalue(4_Civil_ISBL_Data;6;"Labor";)&gt;</v>
      </c>
      <c r="AAV2" s="81" t="str">
        <f>'Project Direct Metrics'!$I$68</f>
        <v>&lt;#dbvalue(4_Civil_ISBL_Data;7;"Labor";)&gt;</v>
      </c>
      <c r="AAW2" s="81" t="str">
        <f>'Project Direct Metrics'!$I$69</f>
        <v>&lt;#dbvalue(4_Civil_ISBL_Data;8;"Labor";)&gt;</v>
      </c>
      <c r="AAX2" s="81" t="str">
        <f>'Project Direct Metrics'!$I$70</f>
        <v>&lt;#dbvalue(4_Civil_ISBL_Data;9;"Labor";)&gt;</v>
      </c>
      <c r="AAY2" s="81" t="str">
        <f>'Project Direct Metrics'!$I$71</f>
        <v>&lt;#dbvalue(4_Civil_ISBL_Data;10;"Labor";)&gt;</v>
      </c>
      <c r="AAZ2" s="81" t="str">
        <f>'Project Direct Metrics'!$J$61</f>
        <v>&lt;#dbvalue(4_Civil_OSBL_Data;0;"Labor";)&gt;</v>
      </c>
      <c r="ABA2" s="81" t="str">
        <f>'Project Direct Metrics'!$J$62</f>
        <v>&lt;#dbvalue(4_Civil_OSBL_Data;1;"Labor";)&gt;</v>
      </c>
      <c r="ABB2" s="81" t="str">
        <f>'Project Direct Metrics'!$J$63</f>
        <v>&lt;#dbvalue(4_Civil_OSBL_Data;2;"Labor";)&gt;</v>
      </c>
      <c r="ABC2" s="81" t="str">
        <f>'Project Direct Metrics'!$J$64</f>
        <v>&lt;#dbvalue(4_Civil_OSBL_Data;3;"Labor";)&gt;</v>
      </c>
      <c r="ABD2" s="81" t="str">
        <f>'Project Direct Metrics'!$J$65</f>
        <v>&lt;#dbvalue(4_Civil_OSBL_Data;4;"Labor";)&gt;</v>
      </c>
      <c r="ABE2" s="81" t="str">
        <f>'Project Direct Metrics'!$J$66</f>
        <v>&lt;#dbvalue(4_Civil_OSBL_Data;5;"Labor";)&gt;</v>
      </c>
      <c r="ABF2" s="81" t="str">
        <f>'Project Direct Metrics'!$J$67</f>
        <v>&lt;#dbvalue(4_Civil_OSBL_Data;6;"Labor";)&gt;</v>
      </c>
      <c r="ABG2" s="81" t="str">
        <f>'Project Direct Metrics'!$J$68</f>
        <v>&lt;#dbvalue(4_Civil_OSBL_Data;7;"Labor";)&gt;</v>
      </c>
      <c r="ABH2" s="81" t="str">
        <f>'Project Direct Metrics'!$J$69</f>
        <v>&lt;#dbvalue(4_Civil_OSBL_Data;8;"Labor";)&gt;</v>
      </c>
      <c r="ABI2" s="81" t="str">
        <f>'Project Direct Metrics'!$J$70</f>
        <v>&lt;#dbvalue(4_Civil_OSBL_Data;9;"Labor";)&gt;</v>
      </c>
      <c r="ABJ2" s="81" t="str">
        <f>'Project Direct Metrics'!$J$71</f>
        <v>&lt;#dbvalue(4_Civil_OSBL_Data;10;"Labor";)&gt;</v>
      </c>
      <c r="ABK2" s="81" t="str">
        <f>'Project Direct Metrics'!$I$75</f>
        <v>&lt;#dbvalue(5_Steel_ISBL_Data;0;"Labor";)&gt;</v>
      </c>
      <c r="ABL2" s="81" t="str">
        <f>'Project Direct Metrics'!$I$76</f>
        <v>&lt;#dbvalue(5_Steel_ISBL_Data;1;"Labor";)&gt;</v>
      </c>
      <c r="ABM2" s="81" t="str">
        <f>'Project Direct Metrics'!$I$77</f>
        <v>&lt;#dbvalue(5_Steel_ISBL_Data;2;"Labor";)&gt;</v>
      </c>
      <c r="ABN2" s="81" t="str">
        <f>'Project Direct Metrics'!$I$78</f>
        <v>&lt;#dbvalue(5_Steel_ISBL_Data;3;"Labor";)&gt;</v>
      </c>
      <c r="ABO2" s="81" t="str">
        <f>'Project Direct Metrics'!$I$79</f>
        <v>&lt;#dbvalue(5_Steel_ISBL_Data;4;"Labor";)&gt;</v>
      </c>
      <c r="ABP2" s="81" t="str">
        <f>'Project Direct Metrics'!$I$80</f>
        <v>&lt;#dbvalue(5_Steel_ISBL_Data;5;"Labor";)&gt;</v>
      </c>
      <c r="ABQ2" s="81" t="str">
        <f>'Project Direct Metrics'!$I$81</f>
        <v>&lt;#dbvalue(5_Steel_ISBL_Data;6;"Labor";)&gt;</v>
      </c>
      <c r="ABR2" s="81" t="str">
        <f>'Project Direct Metrics'!$I$82</f>
        <v>&lt;#dbvalue(5_Steel_ISBL_Data;7;"Labor";)&gt;</v>
      </c>
      <c r="ABS2" s="81" t="str">
        <f>'Project Direct Metrics'!$J$75</f>
        <v>&lt;#dbvalue(5_Steel_OSBL_Data;0;"Labor";)&gt;</v>
      </c>
      <c r="ABT2" s="81" t="str">
        <f>'Project Direct Metrics'!$J$76</f>
        <v>&lt;#dbvalue(5_Steel_OSBL_Data;1;"Labor";)&gt;</v>
      </c>
      <c r="ABU2" s="81" t="str">
        <f>'Project Direct Metrics'!$J$77</f>
        <v>&lt;#dbvalue(5_Steel_OSBL_Data;2;"Labor";)&gt;</v>
      </c>
      <c r="ABV2" s="81" t="str">
        <f>'Project Direct Metrics'!$J$78</f>
        <v>&lt;#dbvalue(5_Steel_OSBL_Data;3;"Labor";)&gt;</v>
      </c>
      <c r="ABW2" s="81" t="str">
        <f>'Project Direct Metrics'!$J$79</f>
        <v>&lt;#dbvalue(5_Steel_OSBL_Data;4;"Labor";)&gt;</v>
      </c>
      <c r="ABX2" s="81" t="str">
        <f>'Project Direct Metrics'!$J$80</f>
        <v>&lt;#dbvalue(5_Steel_OSBL_Data;5;"Labor";)&gt;</v>
      </c>
      <c r="ABY2" s="81" t="str">
        <f>'Project Direct Metrics'!$J$81</f>
        <v>&lt;#dbvalue(5_Steel_OSBL_Data;6;"Labor";)&gt;</v>
      </c>
      <c r="ABZ2" s="81" t="str">
        <f>'Project Direct Metrics'!$J$82</f>
        <v>&lt;#dbvalue(5_Steel_OSBL_Data;7;"Labor";)&gt;</v>
      </c>
      <c r="ACA2" s="81" t="str">
        <f>'Project Direct Metrics'!$I$86</f>
        <v>&lt;#dbvalue(6_Instrumentation_ISBL_Data;0;"Labor";)&gt;</v>
      </c>
      <c r="ACB2" s="81" t="str">
        <f>'Project Direct Metrics'!$I$87</f>
        <v>&lt;#dbvalue(6_Instrumentation_ISBL_Data;1;"Labor";)&gt;</v>
      </c>
      <c r="ACC2" s="81" t="str">
        <f>'Project Direct Metrics'!$I$88</f>
        <v>&lt;#dbvalue(6_Instrumentation_ISBL_Data;2;"Labor";)&gt;</v>
      </c>
      <c r="ACD2" s="81" t="str">
        <f>'Project Direct Metrics'!$I$89</f>
        <v>&lt;#dbvalue(6_Instrumentation_ISBL_Data;3;"Labor";)&gt;</v>
      </c>
      <c r="ACE2" s="81" t="str">
        <f>'Project Direct Metrics'!$I$90</f>
        <v>&lt;#dbvalue(6_Instrumentation_ISBL_Data;4;"Labor";)&gt;</v>
      </c>
      <c r="ACF2" s="81" t="str">
        <f>'Project Direct Metrics'!$I$91</f>
        <v>&lt;#dbvalue(6_Instrumentation_ISBL_Data;5;"Labor";)&gt;</v>
      </c>
      <c r="ACG2" s="81" t="str">
        <f>'Project Direct Metrics'!$I$92</f>
        <v>&lt;#dbvalue(6_Instrumentation_ISBL_Data;6;"Labor";)&gt;</v>
      </c>
      <c r="ACH2" s="81" t="str">
        <f>'Project Direct Metrics'!$I$93</f>
        <v>&lt;#dbvalue(6_Instrumentation_ISBL_Data;7;"Labor";)&gt;</v>
      </c>
      <c r="ACI2" s="81" t="str">
        <f>'Project Direct Metrics'!$I$94</f>
        <v>&lt;#dbvalue(6_Instrumentation_ISBL_Data;8;"Labor";)&gt;</v>
      </c>
      <c r="ACJ2" s="81" t="str">
        <f>'Project Direct Metrics'!$I$95</f>
        <v>&lt;#dbvalue(6_Instrumentation_ISBL_Data;9;"Labor";)&gt;</v>
      </c>
      <c r="ACK2" s="81" t="str">
        <f>'Project Direct Metrics'!$J$86</f>
        <v>&lt;#dbvalue(6_Instrumentation_OSBL_Data;0;"Labor";)&gt;</v>
      </c>
      <c r="ACL2" s="81" t="str">
        <f>'Project Direct Metrics'!$J$87</f>
        <v>&lt;#dbvalue(6_Instrumentation_OSBL_Data;1;"Labor";)&gt;</v>
      </c>
      <c r="ACM2" s="81" t="str">
        <f>'Project Direct Metrics'!$J$88</f>
        <v>&lt;#dbvalue(6_Instrumentation_OSBL_Data;2;"Labor";)&gt;</v>
      </c>
      <c r="ACN2" s="81" t="str">
        <f>'Project Direct Metrics'!$J$89</f>
        <v>&lt;#dbvalue(6_Instrumentation_OSBL_Data;3;"Labor";)&gt;</v>
      </c>
      <c r="ACO2" s="81" t="str">
        <f>'Project Direct Metrics'!$J$90</f>
        <v>&lt;#dbvalue(6_Instrumentation_OSBL_Data;4;"Labor";)&gt;</v>
      </c>
      <c r="ACP2" s="81" t="str">
        <f>'Project Direct Metrics'!$J$91</f>
        <v>&lt;#dbvalue(6_Instrumentation_OSBL_Data;5;"Labor";)&gt;</v>
      </c>
      <c r="ACQ2" s="81" t="str">
        <f>'Project Direct Metrics'!$J$92</f>
        <v>&lt;#dbvalue(6_Instrumentation_OSBL_Data;6;"Labor";)&gt;</v>
      </c>
      <c r="ACR2" s="81" t="str">
        <f>'Project Direct Metrics'!$J$93</f>
        <v>&lt;#dbvalue(6_Instrumentation_OSBL_Data;7;"Labor";)&gt;</v>
      </c>
      <c r="ACS2" s="81" t="str">
        <f>'Project Direct Metrics'!$J$94</f>
        <v>&lt;#dbvalue(6_Instrumentation_OSBL_Data;8;"Labor";)&gt;</v>
      </c>
      <c r="ACT2" s="81" t="str">
        <f>'Project Direct Metrics'!$J$95</f>
        <v>&lt;#dbvalue(6_Instrumentation_OSBL_Data;9;"Labor";)&gt;</v>
      </c>
      <c r="ACU2" s="81" t="str">
        <f>'Project Direct Metrics'!$I$99</f>
        <v>&lt;#dbvalue(7_Electrical_ISBL_Data;0;"Labor";)&gt;</v>
      </c>
      <c r="ACV2" s="81" t="str">
        <f>'Project Direct Metrics'!$I$100</f>
        <v>&lt;#dbvalue(7_Electrical_ISBL_Data;1;"Labor";)&gt;</v>
      </c>
      <c r="ACW2" s="81" t="str">
        <f>'Project Direct Metrics'!$I$101</f>
        <v>&lt;#dbvalue(7_Electrical_ISBL_Data;2;"Labor";)&gt;</v>
      </c>
      <c r="ACX2" s="81" t="str">
        <f>'Project Direct Metrics'!$I$102</f>
        <v>&lt;#dbvalue(7_Electrical_ISBL_Data;3;"Labor";)&gt;</v>
      </c>
      <c r="ACY2" s="81" t="str">
        <f>'Project Direct Metrics'!$I$103</f>
        <v>&lt;#dbvalue(7_Electrical_ISBL_Data;4;"Labor";)&gt;</v>
      </c>
      <c r="ACZ2" s="81" t="str">
        <f>'Project Direct Metrics'!$I$104</f>
        <v>&lt;#dbvalue(7_Electrical_ISBL_Data;5;"Labor";)&gt;</v>
      </c>
      <c r="ADA2" s="81" t="str">
        <f>'Project Direct Metrics'!$I$105</f>
        <v>&lt;#dbvalue(7_Electrical_ISBL_Data;6;"Labor";)&gt;</v>
      </c>
      <c r="ADB2" s="81" t="str">
        <f>'Project Direct Metrics'!$I$106</f>
        <v>&lt;#dbvalue(7_Electrical_ISBL_Data;7;"Labor";)&gt;</v>
      </c>
      <c r="ADC2" s="81" t="str">
        <f>'Project Direct Metrics'!$I$107</f>
        <v>&lt;#dbvalue(7_Electrical_ISBL_Data;8;"Labor";)&gt;</v>
      </c>
      <c r="ADD2" s="81" t="str">
        <f>'Project Direct Metrics'!$I$108</f>
        <v>&lt;#dbvalue(7_Electrical_ISBL_Data;9;"Labor";)&gt;</v>
      </c>
      <c r="ADE2" s="81" t="str">
        <f>'Project Direct Metrics'!$I$109</f>
        <v>&lt;#dbvalue(7_Electrical_ISBL_Data;10;"Labor";)&gt;</v>
      </c>
      <c r="ADF2" s="81" t="str">
        <f>'Project Direct Metrics'!$I$110</f>
        <v>&lt;#dbvalue(7_Electrical_ISBL_Data;11;"Labor";)&gt;</v>
      </c>
      <c r="ADG2" s="81" t="str">
        <f>'Project Direct Metrics'!$I$111</f>
        <v>&lt;#dbvalue(7_Electrical_ISBL_Data;12;"Labor";)&gt;</v>
      </c>
      <c r="ADH2" s="81" t="str">
        <f>'Project Direct Metrics'!$I$115</f>
        <v>&lt;#dbvalue(7_ElectricalByInstall_ISBL_Data;0;"Labor";)&gt;</v>
      </c>
      <c r="ADI2" s="81" t="str">
        <f>'Project Direct Metrics'!$I$116</f>
        <v>&lt;#dbvalue(7_ElectricalByInstall_ISBL_Data;1;"Labor";)&gt;</v>
      </c>
      <c r="ADJ2" s="81" t="str">
        <f>'Project Direct Metrics'!$J$99</f>
        <v>&lt;#dbvalue(7_Electrical_OSBL_Data;0;"Labor";)&gt;</v>
      </c>
      <c r="ADK2" s="81" t="str">
        <f>'Project Direct Metrics'!$J$100</f>
        <v>&lt;#dbvalue(7_Electrical_OSBL_Data;1;"Labor";)&gt;</v>
      </c>
      <c r="ADL2" s="81" t="str">
        <f>'Project Direct Metrics'!$J$101</f>
        <v>&lt;#dbvalue(7_Electrical_OSBL_Data;2;"Labor";)&gt;</v>
      </c>
      <c r="ADM2" s="81" t="str">
        <f>'Project Direct Metrics'!$J$102</f>
        <v>&lt;#dbvalue(7_Electrical_OSBL_Data;3;"Labor";)&gt;</v>
      </c>
      <c r="ADN2" s="81" t="str">
        <f>'Project Direct Metrics'!$J$103</f>
        <v>&lt;#dbvalue(7_Electrical_OSBL_Data;4;"Labor";)&gt;</v>
      </c>
      <c r="ADO2" s="81" t="str">
        <f>'Project Direct Metrics'!$J$104</f>
        <v>&lt;#dbvalue(7_Electrical_OSBL_Data;5;"Labor";)&gt;</v>
      </c>
      <c r="ADP2" s="81" t="str">
        <f>'Project Direct Metrics'!$J$105</f>
        <v>&lt;#dbvalue(7_Electrical_OSBL_Data;6;"Labor";)&gt;</v>
      </c>
      <c r="ADQ2" s="81" t="str">
        <f>'Project Direct Metrics'!$J$106</f>
        <v>&lt;#dbvalue(7_Electrical_OSBL_Data;7;"Labor";)&gt;</v>
      </c>
      <c r="ADR2" s="81" t="str">
        <f>'Project Direct Metrics'!$J$107</f>
        <v>&lt;#dbvalue(7_Electrical_OSBL_Data;8;"Labor";)&gt;</v>
      </c>
      <c r="ADS2" s="81" t="str">
        <f>'Project Direct Metrics'!$J$108</f>
        <v>&lt;#dbvalue(7_Electrical_OSBL_Data;9;"Labor";)&gt;</v>
      </c>
      <c r="ADT2" s="81" t="str">
        <f>'Project Direct Metrics'!$J$109</f>
        <v>&lt;#dbvalue(7_Electrical_OSBL_Data;10;"Labor";)&gt;</v>
      </c>
      <c r="ADU2" s="81" t="str">
        <f>'Project Direct Metrics'!$J$110</f>
        <v>&lt;#dbvalue(7_Electrical_OSBL_Data;11;"Labor";)&gt;</v>
      </c>
      <c r="ADV2" s="81" t="str">
        <f>'Project Direct Metrics'!$J$111</f>
        <v>&lt;#dbvalue(7_Electrical_OSBL_Data;12;"Labor";)&gt;</v>
      </c>
      <c r="ADW2" s="81" t="str">
        <f>'Project Direct Metrics'!$J$115</f>
        <v>&lt;#dbvalue(7_ElectricalByInstall_OSBL_Data;0;"Labor";)&gt;</v>
      </c>
      <c r="ADX2" s="81" t="str">
        <f>'Project Direct Metrics'!$J$116</f>
        <v>&lt;#dbvalue(7_ElectricalByInstall_OSBL_Data;1;"Labor";)&gt;</v>
      </c>
      <c r="ADY2" s="81" t="str">
        <f>'Project Direct Metrics'!$I$119</f>
        <v>&lt;#dbvalue(8_Insulation_ISBL_Data;0;"Labor";)&gt;</v>
      </c>
      <c r="ADZ2" s="81" t="str">
        <f>'Project Direct Metrics'!$I$120</f>
        <v>&lt;#dbvalue(8_Insulation_ISBL_Data;1;"Labor";)&gt;</v>
      </c>
      <c r="AEA2" s="81" t="str">
        <f>'Project Direct Metrics'!$I$121</f>
        <v>&lt;#dbvalue(8_Insulation_ISBL_Data;2;"Labor";)&gt;</v>
      </c>
      <c r="AEB2" s="81" t="str">
        <f>'Project Direct Metrics'!$I$122</f>
        <v>&lt;#dbvalue(8_Insulation_ISBL_Data;3;"Labor";)&gt;</v>
      </c>
      <c r="AEC2" s="81" t="str">
        <f>'Project Direct Metrics'!$I$123</f>
        <v>&lt;#dbvalue(8_Insulation_ISBL_Data;4;"Labor";)&gt;</v>
      </c>
      <c r="AED2" s="81" t="str">
        <f>'Project Direct Metrics'!$I$124</f>
        <v>&lt;#dbvalue(8_Insulation_ISBL_Data;5;"Labor";)&gt;</v>
      </c>
      <c r="AEE2" s="81" t="str">
        <f>'Project Direct Metrics'!$J$119</f>
        <v>&lt;#dbvalue(8_Insulation_OSBL_Data;0;"Labor";)&gt;</v>
      </c>
      <c r="AEF2" s="81" t="str">
        <f>'Project Direct Metrics'!$J$120</f>
        <v>&lt;#dbvalue(8_Insulation_OSBL_Data;1;"Labor";)&gt;</v>
      </c>
      <c r="AEG2" s="81" t="str">
        <f>'Project Direct Metrics'!$J$121</f>
        <v>&lt;#dbvalue(8_Insulation_OSBL_Data;2;"Labor";)&gt;</v>
      </c>
      <c r="AEH2" s="81" t="str">
        <f>'Project Direct Metrics'!$J$122</f>
        <v>&lt;#dbvalue(8_Insulation_OSBL_Data;3;"Labor";)&gt;</v>
      </c>
      <c r="AEI2" s="81" t="str">
        <f>'Project Direct Metrics'!$J$123</f>
        <v>&lt;#dbvalue(8_Insulation_OSBL_Data;4;"Labor";)&gt;</v>
      </c>
      <c r="AEJ2" s="81" t="str">
        <f>'Project Direct Metrics'!$J$124</f>
        <v>&lt;#dbvalue(8_Insulation_OSBL_Data;5;"Labor";)&gt;</v>
      </c>
      <c r="AEK2" s="81" t="str">
        <f>'Project Direct Metrics'!$I$128</f>
        <v>&lt;#dbvalue(9_Paint_ISBL_Data;0;"Labor";)&gt;</v>
      </c>
      <c r="AEL2" s="81" t="str">
        <f>'Project Direct Metrics'!$I$129</f>
        <v>&lt;#dbvalue(9_Paint_ISBL_Data;1;"Labor";)&gt;</v>
      </c>
      <c r="AEM2" s="81" t="str">
        <f>'Project Direct Metrics'!$I$130</f>
        <v>&lt;#dbvalue(9_Paint_ISBL_Data;2;"Labor";)&gt;</v>
      </c>
      <c r="AEN2" s="81" t="str">
        <f>'Project Direct Metrics'!$I$131</f>
        <v>&lt;#dbvalue(9_Paint_ISBL_Data;3;"Labor";)&gt;</v>
      </c>
      <c r="AEO2" s="81" t="str">
        <f>'Project Direct Metrics'!$I$132</f>
        <v>&lt;#dbvalue(9_Paint_ISBL_Data;4;"Labor";)&gt;</v>
      </c>
      <c r="AEP2" s="81" t="str">
        <f>'Project Direct Metrics'!$I$133</f>
        <v>&lt;#dbvalue(9_Paint_ISBL_Data;5;"Labor";)&gt;</v>
      </c>
      <c r="AEQ2" s="81" t="str">
        <f>'Project Direct Metrics'!$I$134</f>
        <v>&lt;#dbvalue(9_Paint_ISBL_Data;6;"Labor";)&gt;</v>
      </c>
      <c r="AER2" s="81" t="str">
        <f>'Project Direct Metrics'!$J$128</f>
        <v>&lt;#dbvalue(9_Paint_OSBL_Data;0;"Labor";)&gt;</v>
      </c>
      <c r="AES2" s="81" t="str">
        <f>'Project Direct Metrics'!$J$129</f>
        <v>&lt;#dbvalue(9_Paint_OSBL_Data;1;"Labor";)&gt;</v>
      </c>
      <c r="AET2" s="81" t="str">
        <f>'Project Direct Metrics'!$J$130</f>
        <v>&lt;#dbvalue(9_Paint_OSBL_Data;2;"Labor";)&gt;</v>
      </c>
      <c r="AEU2" s="81" t="str">
        <f>'Project Direct Metrics'!$J$131</f>
        <v>&lt;#dbvalue(9_Paint_OSBL_Data;3;"Labor";)&gt;</v>
      </c>
      <c r="AEV2" s="81" t="str">
        <f>'Project Direct Metrics'!$J$132</f>
        <v>&lt;#dbvalue(9_Paint_OSBL_Data;4;"Labor";)&gt;</v>
      </c>
      <c r="AEW2" s="81" t="str">
        <f>'Project Direct Metrics'!$J$133</f>
        <v>&lt;#dbvalue(9_Paint_OSBL_Data;5;"Labor";)&gt;</v>
      </c>
      <c r="AEX2" s="81" t="str">
        <f>'Project Direct Metrics'!$J$134</f>
        <v>&lt;#dbvalue(9_Paint_OSBL_Data;6;"Labor";)&gt;</v>
      </c>
      <c r="AEY2" s="81" t="s">
        <v>2202</v>
      </c>
      <c r="AEZ2" s="81" t="s">
        <v>2203</v>
      </c>
      <c r="AFA2" s="81" t="s">
        <v>2204</v>
      </c>
      <c r="AFB2" s="81" t="s">
        <v>2205</v>
      </c>
      <c r="AFC2" s="81" t="s">
        <v>2206</v>
      </c>
      <c r="AFD2" s="81" t="s">
        <v>2207</v>
      </c>
      <c r="AFE2" s="81" t="s">
        <v>2208</v>
      </c>
      <c r="AFF2" s="81" t="s">
        <v>2209</v>
      </c>
      <c r="AFG2" s="81" t="s">
        <v>2210</v>
      </c>
      <c r="AFH2" s="81" t="s">
        <v>2211</v>
      </c>
      <c r="AFI2" s="81" t="s">
        <v>2212</v>
      </c>
      <c r="AFJ2" s="81" t="s">
        <v>2213</v>
      </c>
      <c r="AFK2" s="81" t="s">
        <v>2214</v>
      </c>
      <c r="AFL2" s="81" t="s">
        <v>2215</v>
      </c>
      <c r="AFM2" s="81" t="str">
        <f>'Project Indirect Metrics'!$B$8</f>
        <v>&lt;#dbvalue(0_FieldOfficeIndirects;0;"MH";)&gt;</v>
      </c>
      <c r="AFN2" s="81" t="str">
        <f>'Project Indirect Metrics'!$B$9</f>
        <v>&lt;#dbvalue(0_FieldOfficeIndirects;1;"MH";)&gt;</v>
      </c>
      <c r="AFO2" s="81" t="str">
        <f>'Project Indirect Metrics'!$B$13</f>
        <v>&lt;#dbvalue(0_EngineeringAndProcurement;0;"MH";)&gt;</v>
      </c>
      <c r="AFP2" s="81" t="str">
        <f>'Project Indirect Metrics'!$B$14</f>
        <v>&lt;#dbvalue(0_EngineeringAndProcurement;1;"MH";)&gt;</v>
      </c>
      <c r="AFQ2" s="81" t="str">
        <f>'Project Indirect Metrics'!$B$15</f>
        <v>&lt;#dbvalue(0_EngineeringAndProcurement;2;"MH";)&gt;</v>
      </c>
      <c r="AFR2" s="81" t="str">
        <f>'Project Indirect Metrics'!$B$16</f>
        <v>&lt;#dbvalue(0_EngineeringAndProcurement;3;"MH";)&gt;</v>
      </c>
      <c r="AFS2" s="81" t="str">
        <f>'Project Indirect Metrics'!$B$17</f>
        <v>&lt;#dbvalue(0_EngineeringAndProcurement;4;"MH";)&gt;</v>
      </c>
      <c r="AFT2" s="81" t="str">
        <f>'Project Indirect Metrics'!$B$18</f>
        <v>&lt;#dbvalue(0_EngineeringAndProcurement;5;"MH";)&gt;</v>
      </c>
      <c r="AFU2" s="81" t="str">
        <f>'Project Indirect Metrics'!$B$22</f>
        <v>&lt;#dbvalue(0_FreightIndirects;0;"MH";)&gt;</v>
      </c>
      <c r="AFV2" s="81" t="str">
        <f>'Project Indirect Metrics'!$B$23</f>
        <v>&lt;#dbvalue(0_FreightIndirects;1;"MH";)&gt;</v>
      </c>
      <c r="AFW2" s="81" t="str">
        <f>'Project Indirect Metrics'!$B$24</f>
        <v>&lt;#dbvalue(0_FreightIndirects;2;"MH";)&gt;</v>
      </c>
      <c r="AFX2" s="81" t="str">
        <f>'Project Indirect Metrics'!$B$25</f>
        <v>&lt;#dbvalue(0_FreightIndirects;3;"MH";)&gt;</v>
      </c>
      <c r="AFY2" s="81" t="str">
        <f>'Project Indirect Metrics'!$B$26</f>
        <v>&lt;#dbvalue(0_FreightIndirects;4;"MH";)&gt;</v>
      </c>
      <c r="AFZ2" s="81" t="str">
        <f>'Project Indirect Metrics'!$B$27</f>
        <v>&lt;#dbvalue(0_FreightIndirects;5;"MH";)&gt;</v>
      </c>
      <c r="AGA2" s="81" t="str">
        <f>'Project Indirect Metrics'!$B$31</f>
        <v>&lt;#dbvalue(0_TaxesAndPermits;0;"MH";)&gt;</v>
      </c>
      <c r="AGB2" s="81" t="str">
        <f>'Project Indirect Metrics'!$B$32</f>
        <v>&lt;#dbvalue(0_TaxesAndPermits;1;"MH";)&gt;</v>
      </c>
      <c r="AGC2" s="81" t="str">
        <f>'Project Indirect Metrics'!$B$33</f>
        <v>&lt;#dbvalue(0_TaxesAndPermits;2;"MH";)&gt;</v>
      </c>
      <c r="AGD2" s="81" t="str">
        <f>'Project Indirect Metrics'!$B$34</f>
        <v>&lt;#dbvalue(0_TaxesAndPermits;3;"MH";)&gt;</v>
      </c>
      <c r="AGE2" s="81" t="str">
        <f>'Project Indirect Metrics'!$B$35</f>
        <v>&lt;#dbvalue(0_TaxesAndPermits;4;"MH";)&gt;</v>
      </c>
      <c r="AGF2" s="81" t="str">
        <f>'Project Indirect Metrics'!$B$36</f>
        <v>&lt;#dbvalue(0_TaxesAndPermits;5;"MH";)&gt;</v>
      </c>
      <c r="AGG2" s="81" t="str">
        <f>'Project Indirect Metrics'!$B$40</f>
        <v>&lt;#dbvalue(0_OtherIndirects;0;"MH";)&gt;</v>
      </c>
      <c r="AGH2" s="81" t="str">
        <f>'Project Indirect Metrics'!$B$41</f>
        <v>&lt;#dbvalue(0_OtherIndirects;1;"MH";)&gt;</v>
      </c>
      <c r="AGI2" s="81" t="str">
        <f>'Project Indirect Metrics'!$B$42</f>
        <v>&lt;#dbvalue(0_OtherIndirects;2;"MH";)&gt;</v>
      </c>
      <c r="AGJ2" s="81" t="str">
        <f>'Project Indirect Metrics'!$B$43</f>
        <v>&lt;#dbvalue(0_OtherIndirects;3;"MH";)&gt;</v>
      </c>
      <c r="AGK2" s="81" t="str">
        <f>'Project Indirect Metrics'!$B$44</f>
        <v>&lt;#dbvalue(0_OtherIndirects;4;"MH";)&gt;</v>
      </c>
      <c r="AGL2" s="81" t="str">
        <f>'Project Indirect Metrics'!$B$45</f>
        <v>&lt;#dbvalue(0_OtherIndirects;5;"MH";)&gt;</v>
      </c>
      <c r="AGM2" s="81" t="str">
        <f>'Project Indirect Metrics'!$B$49</f>
        <v>&lt;#dbvalue(0_EscalationAndContingency;0;"MH";)&gt;</v>
      </c>
      <c r="AGN2" s="81" t="str">
        <f>'Project Indirect Metrics'!$B$50</f>
        <v>&lt;#dbvalue(0_EscalationAndContingency;1;"MH";)&gt;</v>
      </c>
      <c r="AGO2" s="81" t="s">
        <v>2216</v>
      </c>
      <c r="AGP2" s="81" t="s">
        <v>2217</v>
      </c>
      <c r="AGQ2" s="81" t="s">
        <v>2218</v>
      </c>
      <c r="AGR2" s="81" t="s">
        <v>2219</v>
      </c>
      <c r="AGS2" s="81" t="s">
        <v>2220</v>
      </c>
      <c r="AGT2" s="81" t="s">
        <v>2221</v>
      </c>
      <c r="AGU2" s="81" t="s">
        <v>2222</v>
      </c>
      <c r="AGV2" s="81" t="s">
        <v>2223</v>
      </c>
      <c r="AGW2" s="81" t="s">
        <v>2224</v>
      </c>
      <c r="AGX2" s="81" t="s">
        <v>2225</v>
      </c>
      <c r="AGY2" s="81" t="s">
        <v>2226</v>
      </c>
      <c r="AGZ2" s="81" t="s">
        <v>2227</v>
      </c>
      <c r="AHA2" s="81" t="s">
        <v>2228</v>
      </c>
      <c r="AHB2" s="81" t="s">
        <v>2229</v>
      </c>
      <c r="AHC2" s="81" t="str">
        <f>'Project Indirect Metrics'!$C$8</f>
        <v>&lt;#dbvalue(0_FieldOfficeIndirects;0;"Cost";)&gt;</v>
      </c>
      <c r="AHD2" s="81" t="str">
        <f>'Project Indirect Metrics'!$C$9</f>
        <v>&lt;#dbvalue(0_FieldOfficeIndirects;1;"Cost";)&gt;</v>
      </c>
      <c r="AHE2" s="81" t="str">
        <f>'Project Indirect Metrics'!$C$13</f>
        <v>&lt;#dbvalue(0_EngineeringAndProcurement;0;"Cost";)&gt;</v>
      </c>
      <c r="AHF2" s="81" t="str">
        <f>'Project Indirect Metrics'!$C$14</f>
        <v>&lt;#dbvalue(0_EngineeringAndProcurement;1;"Cost";)&gt;</v>
      </c>
      <c r="AHG2" s="81" t="str">
        <f>'Project Indirect Metrics'!$C$15</f>
        <v>&lt;#dbvalue(0_EngineeringAndProcurement;2;"Cost";)&gt;</v>
      </c>
      <c r="AHH2" s="81" t="str">
        <f>'Project Indirect Metrics'!$C$16</f>
        <v>&lt;#dbvalue(0_EngineeringAndProcurement;3;"Cost";)&gt;</v>
      </c>
      <c r="AHI2" s="81" t="str">
        <f>'Project Indirect Metrics'!$C$17</f>
        <v>&lt;#dbvalue(0_EngineeringAndProcurement;4;"Cost";)&gt;</v>
      </c>
      <c r="AHJ2" s="81" t="str">
        <f>'Project Indirect Metrics'!$C$18</f>
        <v>&lt;#dbvalue(0_EngineeringAndProcurement;5;"Cost";)&gt;</v>
      </c>
      <c r="AHK2" s="81" t="str">
        <f>'Project Indirect Metrics'!$C$22</f>
        <v>&lt;#dbvalue(0_FreightIndirects;0;"Cost";)&gt;</v>
      </c>
      <c r="AHL2" s="81" t="str">
        <f>'Project Indirect Metrics'!$C$23</f>
        <v>&lt;#dbvalue(0_FreightIndirects;1;"Cost";)&gt;</v>
      </c>
      <c r="AHM2" s="81" t="str">
        <f>'Project Indirect Metrics'!$C$24</f>
        <v>&lt;#dbvalue(0_FreightIndirects;2;"Cost";)&gt;</v>
      </c>
      <c r="AHN2" s="81" t="str">
        <f>'Project Indirect Metrics'!$C$25</f>
        <v>&lt;#dbvalue(0_FreightIndirects;3;"Cost";)&gt;</v>
      </c>
      <c r="AHO2" s="81" t="str">
        <f>'Project Indirect Metrics'!$C$26</f>
        <v>&lt;#dbvalue(0_FreightIndirects;4;"Cost";)&gt;</v>
      </c>
      <c r="AHP2" s="81" t="str">
        <f>'Project Indirect Metrics'!$C$27</f>
        <v>&lt;#dbvalue(0_FreightIndirects;5;"Cost";)&gt;</v>
      </c>
      <c r="AHQ2" s="81" t="str">
        <f>'Project Indirect Metrics'!$C$31</f>
        <v>&lt;#dbvalue(0_TaxesAndPermits;0;"Cost";)&gt;</v>
      </c>
      <c r="AHR2" s="81" t="str">
        <f>'Project Indirect Metrics'!$C$32</f>
        <v>&lt;#dbvalue(0_TaxesAndPermits;1;"Cost";)&gt;</v>
      </c>
      <c r="AHS2" s="81" t="str">
        <f>'Project Indirect Metrics'!$C$33</f>
        <v>&lt;#dbvalue(0_TaxesAndPermits;2;"Cost";)&gt;</v>
      </c>
      <c r="AHT2" s="81" t="str">
        <f>'Project Indirect Metrics'!$C$34</f>
        <v>&lt;#dbvalue(0_TaxesAndPermits;3;"Cost";)&gt;</v>
      </c>
      <c r="AHU2" s="81" t="str">
        <f>'Project Indirect Metrics'!$C$35</f>
        <v>&lt;#dbvalue(0_TaxesAndPermits;4;"Cost";)&gt;</v>
      </c>
      <c r="AHV2" s="81" t="str">
        <f>'Project Indirect Metrics'!$C$36</f>
        <v>&lt;#dbvalue(0_TaxesAndPermits;5;"Cost";)&gt;</v>
      </c>
      <c r="AHW2" s="81" t="str">
        <f>'Project Indirect Metrics'!$C$40</f>
        <v>&lt;#dbvalue(0_OtherIndirects;0;"Cost";)&gt;</v>
      </c>
      <c r="AHX2" s="81" t="str">
        <f>'Project Indirect Metrics'!$C$41</f>
        <v>&lt;#dbvalue(0_OtherIndirects;1;"Cost";)&gt;</v>
      </c>
      <c r="AHY2" s="81" t="str">
        <f>'Project Indirect Metrics'!$C$42</f>
        <v>&lt;#dbvalue(0_OtherIndirects;2;"Cost";)&gt;</v>
      </c>
      <c r="AHZ2" s="81" t="str">
        <f>'Project Indirect Metrics'!$C$43</f>
        <v>&lt;#dbvalue(0_OtherIndirects;3;"Cost";)&gt;</v>
      </c>
      <c r="AIA2" s="81" t="str">
        <f>'Project Indirect Metrics'!$C$44</f>
        <v>&lt;#dbvalue(0_OtherIndirects;4;"Cost";)&gt;</v>
      </c>
      <c r="AIB2" s="81" t="str">
        <f>'Project Indirect Metrics'!$C$45</f>
        <v>&lt;#dbvalue(0_OtherIndirects;5;"Cost";)&gt;</v>
      </c>
      <c r="AIC2" s="81" t="str">
        <f>'Project Indirect Metrics'!$C$49</f>
        <v>&lt;#dbvalue(0_EscalationAndContingency;0;"Cost";)&gt;</v>
      </c>
      <c r="AID2" s="81" t="str">
        <f>'Project Indirect Metrics'!$C$50</f>
        <v>&lt;#dbvalue(0_EscalationAndContingency;1;"Cost";)&gt;</v>
      </c>
      <c r="AIE2" t="str">
        <f>UOMEquipQty</f>
        <v>&lt;#dbvalue(EQP_units;0;"KEYUNITS";)&gt;</v>
      </c>
      <c r="AIF2" t="str">
        <f>UOMPipeQty</f>
        <v>&lt;#dbvalue(PIP_units;0;"KEYUNITS";)&gt;</v>
      </c>
      <c r="AIG2" t="str">
        <f>UOMCivilEarthworkQty</f>
        <v>&lt;#IF(OR(NOT(ISBLANK($B61)), NOT(ISBLANK($C61)));&lt;#dbvalue(4_Civil_ISBL_Data;0;"KEYUNITS";)&gt;;)&gt;</v>
      </c>
      <c r="AIH2" t="str">
        <f>UOMCivilRoadRRQty</f>
        <v>&lt;#IF(OR(NOT(ISBLANK($B62)), NOT(ISBLANK($C62)));&lt;#dbvalue(4_Civil_ISBL_Data;1;"KEYUNITS";)&gt;;)&gt;</v>
      </c>
      <c r="AII2" t="str">
        <f>UOMCivilPavingQty</f>
        <v>&lt;#IF(OR(NOT(ISBLANK($B64)), NOT(ISBLANK($C64)));&lt;#dbvalue(4_Civil_ISBL_Data;3;"KEYUNITS";)&gt;;)&gt;</v>
      </c>
      <c r="AIJ2" t="str">
        <f>UOMConcreteGroutQty</f>
        <v>&lt;#IF(OR(NOT(ISBLANK($B65)), NOT(ISBLANK($C65)));&lt;#dbvalue(4_Civil_ISBL_Data;4;"KEYUNITS";)&gt;;)&gt;</v>
      </c>
      <c r="AIK2" t="str">
        <f>UOMSteelQty</f>
        <v>&lt;#dbvalue(STL_units;0;"KEYUNITS";)&gt;</v>
      </c>
      <c r="AIL2" t="str">
        <f>UOMElectricalWireLength</f>
        <v>&lt;#dbvalue(ELC_units;0;"KEYUNITS";)&gt;</v>
      </c>
      <c r="AIM2" t="str">
        <f>UOMInstrumentRunLength</f>
        <v>&lt;#dbvalue(INS_units;0;"KEYUNITS";)&gt;</v>
      </c>
      <c r="AIN2" t="str">
        <f>UOMEquipInsulationQty</f>
        <v>&lt;#dbvalue(8_Insulation_ISBL_Data;0;"KEYUNITS";)&gt;</v>
      </c>
      <c r="AIO2" t="str">
        <f>UOMPipeInsulationQty</f>
        <v>&lt;#dbvalue(8_Insulation_ISBL_Data;1;"KEYUNITS";)&gt;</v>
      </c>
      <c r="AIP2" t="str">
        <f>UOMEquipFireproofingQty</f>
        <v>&lt;#dbvalue(8_Insulation_ISBL_Data;2;"KEYUNITS";)&gt;</v>
      </c>
      <c r="AIQ2" t="str">
        <f>UOMSteelFireproofingQty</f>
        <v>&lt;#dbvalue(8_Insulation_ISBL_Data;3;"KEYUNITS";)&gt;</v>
      </c>
      <c r="AIR2" t="str">
        <f>UOMPaintArea</f>
        <v>&lt;#dbvalue(PNT_units;0;"KEYUNITS";)&gt;</v>
      </c>
    </row>
  </sheetData>
  <phoneticPr fontId="2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1DEA-5C49-47E5-9572-70D50CE4FDEC}">
  <sheetPr codeName="Sheet2"/>
  <dimension ref="A1:B31"/>
  <sheetViews>
    <sheetView workbookViewId="0"/>
  </sheetViews>
  <sheetFormatPr defaultColWidth="9.125" defaultRowHeight="14.25"/>
  <cols>
    <col min="1" max="2" width="40.75" style="2" customWidth="1"/>
    <col min="3" max="16384" width="9.125" style="2"/>
  </cols>
  <sheetData>
    <row r="1" spans="1:2" ht="17.25" thickBot="1">
      <c r="A1" s="21" t="s">
        <v>19</v>
      </c>
      <c r="B1" s="21"/>
    </row>
    <row r="2" spans="1:2" ht="16.5" thickBot="1">
      <c r="A2" s="28" t="s">
        <v>8</v>
      </c>
      <c r="B2" s="29" t="s">
        <v>9</v>
      </c>
    </row>
    <row r="3" spans="1:2">
      <c r="A3" s="7" t="s">
        <v>0</v>
      </c>
      <c r="B3" s="12" t="s">
        <v>1262</v>
      </c>
    </row>
    <row r="4" spans="1:2">
      <c r="A4" s="7" t="s">
        <v>1</v>
      </c>
      <c r="B4" s="12"/>
    </row>
    <row r="5" spans="1:2">
      <c r="A5" s="7" t="s">
        <v>199</v>
      </c>
      <c r="B5" s="12"/>
    </row>
    <row r="6" spans="1:2">
      <c r="A6" s="7" t="s">
        <v>200</v>
      </c>
      <c r="B6" s="12"/>
    </row>
    <row r="7" spans="1:2">
      <c r="A7" s="7" t="s">
        <v>215</v>
      </c>
      <c r="B7" s="12"/>
    </row>
    <row r="8" spans="1:2">
      <c r="A8" s="7" t="s">
        <v>206</v>
      </c>
      <c r="B8" s="12"/>
    </row>
    <row r="9" spans="1:2">
      <c r="A9" s="7" t="s">
        <v>2</v>
      </c>
      <c r="B9" s="12"/>
    </row>
    <row r="10" spans="1:2">
      <c r="A10" s="7" t="s">
        <v>3</v>
      </c>
      <c r="B10" s="12"/>
    </row>
    <row r="11" spans="1:2">
      <c r="A11" s="7" t="s">
        <v>4</v>
      </c>
      <c r="B11" s="12"/>
    </row>
    <row r="12" spans="1:2">
      <c r="A12" s="7" t="s">
        <v>5</v>
      </c>
      <c r="B12" s="12"/>
    </row>
    <row r="13" spans="1:2">
      <c r="A13" s="7" t="s">
        <v>6</v>
      </c>
      <c r="B13" s="12"/>
    </row>
    <row r="14" spans="1:2">
      <c r="A14" s="7" t="s">
        <v>7</v>
      </c>
      <c r="B14" s="12"/>
    </row>
    <row r="15" spans="1:2" ht="15" thickBot="1">
      <c r="A15" s="10" t="s">
        <v>20</v>
      </c>
      <c r="B15" s="13"/>
    </row>
    <row r="17" spans="1:2" ht="17.25" thickBot="1">
      <c r="A17" s="21" t="s">
        <v>23</v>
      </c>
      <c r="B17" s="21"/>
    </row>
    <row r="18" spans="1:2" ht="16.5" thickBot="1">
      <c r="A18" s="28" t="s">
        <v>8</v>
      </c>
      <c r="B18" s="29" t="s">
        <v>9</v>
      </c>
    </row>
    <row r="19" spans="1:2">
      <c r="A19" s="7" t="s">
        <v>21</v>
      </c>
      <c r="B19" s="12" t="s">
        <v>1263</v>
      </c>
    </row>
    <row r="20" spans="1:2">
      <c r="A20" s="7" t="s">
        <v>24</v>
      </c>
      <c r="B20" s="12" t="s">
        <v>1264</v>
      </c>
    </row>
    <row r="21" spans="1:2">
      <c r="A21" s="7" t="s">
        <v>25</v>
      </c>
      <c r="B21" s="12" t="s">
        <v>1265</v>
      </c>
    </row>
    <row r="22" spans="1:2">
      <c r="A22" s="7" t="s">
        <v>27</v>
      </c>
      <c r="B22" s="12" t="s">
        <v>1266</v>
      </c>
    </row>
    <row r="23" spans="1:2">
      <c r="A23" s="7" t="s">
        <v>26</v>
      </c>
      <c r="B23" s="12" t="s">
        <v>1267</v>
      </c>
    </row>
    <row r="24" spans="1:2">
      <c r="A24" s="7" t="s">
        <v>28</v>
      </c>
      <c r="B24" s="128" t="s">
        <v>2190</v>
      </c>
    </row>
    <row r="25" spans="1:2">
      <c r="A25" s="7" t="s">
        <v>29</v>
      </c>
      <c r="B25" s="12" t="s">
        <v>1268</v>
      </c>
    </row>
    <row r="26" spans="1:2">
      <c r="A26" s="7" t="s">
        <v>22</v>
      </c>
      <c r="B26" s="12" t="s">
        <v>1269</v>
      </c>
    </row>
    <row r="27" spans="1:2">
      <c r="A27" s="7" t="s">
        <v>30</v>
      </c>
      <c r="B27" s="12" t="s">
        <v>1270</v>
      </c>
    </row>
    <row r="28" spans="1:2">
      <c r="A28" s="7" t="s">
        <v>31</v>
      </c>
      <c r="B28" s="12" t="s">
        <v>1271</v>
      </c>
    </row>
    <row r="29" spans="1:2">
      <c r="A29" s="7" t="s">
        <v>32</v>
      </c>
      <c r="B29" s="12" t="s">
        <v>1272</v>
      </c>
    </row>
    <row r="30" spans="1:2">
      <c r="A30" s="7" t="s">
        <v>33</v>
      </c>
      <c r="B30" s="12" t="s">
        <v>1273</v>
      </c>
    </row>
    <row r="31" spans="1:2" ht="15" thickBot="1">
      <c r="A31" s="10" t="s">
        <v>34</v>
      </c>
      <c r="B31" s="13" t="s">
        <v>1274</v>
      </c>
    </row>
  </sheetData>
  <phoneticPr fontId="26" type="noConversion"/>
  <dataValidations count="18">
    <dataValidation type="list" allowBlank="1" showInputMessage="1" showErrorMessage="1" sqref="B9" xr:uid="{2587E08D-47EC-4305-AF4D-AEDAF472EEB6}">
      <formula1>ListCountryBase</formula1>
    </dataValidation>
    <dataValidation type="list" allowBlank="1" showInputMessage="1" showErrorMessage="1" sqref="B10" xr:uid="{0A82DFEA-8E25-48D3-AB1E-34D50770EE83}">
      <formula1>ListBaseUoM</formula1>
    </dataValidation>
    <dataValidation type="list" allowBlank="1" showInputMessage="1" showErrorMessage="1" sqref="B19" xr:uid="{E8A51117-015E-4192-AF43-7ABC9952EF2E}">
      <formula1>ListVesselDesignCode</formula1>
    </dataValidation>
    <dataValidation type="list" allowBlank="1" showInputMessage="1" showErrorMessage="1" sqref="B20" xr:uid="{675C9448-2675-438D-AC2F-80B6213E649A}">
      <formula1>ListPipeFlangeRatingStd</formula1>
    </dataValidation>
    <dataValidation type="list" allowBlank="1" showInputMessage="1" showErrorMessage="1" sqref="B21" xr:uid="{0156060F-4130-4E03-81E0-9CC100B0DCC9}">
      <formula1>ListPipeWallThkStd</formula1>
    </dataValidation>
    <dataValidation type="list" allowBlank="1" showInputMessage="1" showErrorMessage="1" sqref="B23" xr:uid="{1EED5837-BDC9-4F57-8C7C-A42C7C9CD366}">
      <formula1>ListOccupancyRiskCategory</formula1>
    </dataValidation>
    <dataValidation type="list" allowBlank="1" showInputMessage="1" showErrorMessage="1" sqref="B25" xr:uid="{D1573A1E-E1FF-4C2B-BECD-9D21EE9CB636}">
      <formula1>ListUBCZone</formula1>
    </dataValidation>
    <dataValidation type="list" allowBlank="1" showInputMessage="1" showErrorMessage="1" sqref="B26" xr:uid="{7DE05A57-387A-4E5F-A4D4-7D899A3F7D37}">
      <formula1>ListSoilType</formula1>
    </dataValidation>
    <dataValidation type="list" allowBlank="1" showInputMessage="1" showErrorMessage="1" sqref="B27" xr:uid="{759116F2-F577-4D3A-A1D7-A6A4B8D290CA}">
      <formula1>ListPIDDesignLevel</formula1>
    </dataValidation>
    <dataValidation type="list" allowBlank="1" showInputMessage="1" showErrorMessage="1" sqref="B28" xr:uid="{26CB0AA9-DF78-499B-B52E-E4D7C30877F2}">
      <formula1>ListInstrumentationSystem</formula1>
    </dataValidation>
    <dataValidation type="list" allowBlank="1" showInputMessage="1" showErrorMessage="1" sqref="B29" xr:uid="{FE388692-9E8E-437D-A47A-0EDE7DD4E0DB}">
      <formula1>ListElectricalClassDivZone</formula1>
    </dataValidation>
    <dataValidation type="list" allowBlank="1" showInputMessage="1" showErrorMessage="1" sqref="B30" xr:uid="{715E9636-D63C-4151-8992-F87797EDA304}">
      <formula1>ListPowerSupplyFreq</formula1>
    </dataValidation>
    <dataValidation type="list" allowBlank="1" showInputMessage="1" showErrorMessage="1" sqref="B31" xr:uid="{DF7F5024-F597-415C-8161-B8808E0A531A}">
      <formula1>ListElectricalDistributionSys</formula1>
    </dataValidation>
    <dataValidation type="list" allowBlank="1" showInputMessage="1" showErrorMessage="1" sqref="B5" xr:uid="{B139D107-751B-42FA-9553-5356F0BD1965}">
      <formula1>ListEstimateOrActuals</formula1>
    </dataValidation>
    <dataValidation type="list" allowBlank="1" showInputMessage="1" showErrorMessage="1" sqref="B6" xr:uid="{030C6984-03C3-434C-887D-4215D772FEE0}">
      <formula1>ListProjectType</formula1>
    </dataValidation>
    <dataValidation type="list" allowBlank="1" showInputMessage="1" showErrorMessage="1" sqref="B8" xr:uid="{A0D330B3-14C7-45A5-A9EE-5E5504168BFA}">
      <formula1>ListConstructionType</formula1>
    </dataValidation>
    <dataValidation type="list" allowBlank="1" showInputMessage="1" showErrorMessage="1" sqref="B7" xr:uid="{664CC78B-7761-4FC8-BDF0-745AFD02BBF9}">
      <formula1>ListProcessDescription</formula1>
    </dataValidation>
    <dataValidation type="list" allowBlank="1" showInputMessage="1" showErrorMessage="1" sqref="B22" xr:uid="{FE31BFDE-433C-4BAE-B592-138C6E922268}">
      <formula1>ListCivilDesignCode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E376-93BF-4563-97FE-52271C1D4642}">
  <sheetPr codeName="Sheet3">
    <tabColor theme="5"/>
  </sheetPr>
  <dimension ref="A1:J139"/>
  <sheetViews>
    <sheetView tabSelected="1" workbookViewId="0">
      <pane xSplit="1" ySplit="2" topLeftCell="B78" activePane="bottomRight" state="frozen"/>
      <selection pane="topRight" activeCell="B1" sqref="B1"/>
      <selection pane="bottomLeft" activeCell="A3" sqref="A3"/>
      <selection pane="bottomRight" activeCell="D109" sqref="D109"/>
    </sheetView>
  </sheetViews>
  <sheetFormatPr defaultColWidth="9.125" defaultRowHeight="14.25"/>
  <cols>
    <col min="1" max="1" width="40.75" style="2" customWidth="1"/>
    <col min="2" max="10" width="15.75" style="2" customWidth="1"/>
    <col min="11" max="16384" width="9.125" style="2"/>
  </cols>
  <sheetData>
    <row r="1" spans="1:10" ht="15.75">
      <c r="A1" s="22" t="s">
        <v>8</v>
      </c>
      <c r="B1" s="136" t="s">
        <v>83</v>
      </c>
      <c r="C1" s="137"/>
      <c r="D1" s="23" t="s">
        <v>84</v>
      </c>
      <c r="E1" s="136" t="str">
        <f xml:space="preserve"> CONCATENATE("Material Cost (",CurrencySymbol,")")</f>
        <v>Material Cost ()</v>
      </c>
      <c r="F1" s="138"/>
      <c r="G1" s="136" t="s">
        <v>710</v>
      </c>
      <c r="H1" s="138"/>
      <c r="I1" s="136" t="str">
        <f xml:space="preserve"> CONCATENATE("Labor Cost (",CurrencySymbol,")")</f>
        <v>Labor Cost ()</v>
      </c>
      <c r="J1" s="138"/>
    </row>
    <row r="2" spans="1:10" ht="16.5" thickBot="1">
      <c r="A2" s="24"/>
      <c r="B2" s="25" t="s">
        <v>85</v>
      </c>
      <c r="C2" s="26" t="s">
        <v>86</v>
      </c>
      <c r="D2" s="27"/>
      <c r="E2" s="25" t="s">
        <v>85</v>
      </c>
      <c r="F2" s="27" t="s">
        <v>86</v>
      </c>
      <c r="G2" s="25" t="s">
        <v>85</v>
      </c>
      <c r="H2" s="27" t="s">
        <v>86</v>
      </c>
      <c r="I2" s="25" t="s">
        <v>85</v>
      </c>
      <c r="J2" s="27" t="s">
        <v>86</v>
      </c>
    </row>
    <row r="3" spans="1:10">
      <c r="A3" s="14" t="s">
        <v>108</v>
      </c>
      <c r="B3" s="17"/>
      <c r="C3" s="31" t="s">
        <v>216</v>
      </c>
      <c r="D3" s="49" t="s">
        <v>2234</v>
      </c>
      <c r="E3" s="51"/>
      <c r="F3" s="52"/>
      <c r="G3" s="51"/>
      <c r="H3" s="52"/>
      <c r="I3" s="51"/>
      <c r="J3" s="52"/>
    </row>
    <row r="4" spans="1:10">
      <c r="A4" s="7" t="s">
        <v>1275</v>
      </c>
      <c r="B4" s="42" t="s">
        <v>1298</v>
      </c>
      <c r="C4" s="108" t="s">
        <v>1299</v>
      </c>
      <c r="D4" s="86" t="str">
        <f t="shared" ref="D4:D23" si="0">IF(OR(NOT(ISBLANK(B4)), NOT(ISBLANK(C4))), UOMEquipQty, "")</f>
        <v>&lt;#dbvalue(EQP_units;0;"KEYUNITS";)&gt;</v>
      </c>
      <c r="E4" s="42" t="s">
        <v>1340</v>
      </c>
      <c r="F4" s="114" t="s">
        <v>1341</v>
      </c>
      <c r="G4" s="42" t="s">
        <v>1342</v>
      </c>
      <c r="H4" s="114" t="s">
        <v>1343</v>
      </c>
      <c r="I4" s="42" t="s">
        <v>1344</v>
      </c>
      <c r="J4" s="114" t="s">
        <v>1345</v>
      </c>
    </row>
    <row r="5" spans="1:10">
      <c r="A5" s="7" t="s">
        <v>1276</v>
      </c>
      <c r="B5" s="42" t="s">
        <v>1300</v>
      </c>
      <c r="C5" s="108" t="s">
        <v>1301</v>
      </c>
      <c r="D5" s="86" t="str">
        <f t="shared" si="0"/>
        <v>&lt;#dbvalue(EQP_units;0;"KEYUNITS";)&gt;</v>
      </c>
      <c r="E5" s="42" t="s">
        <v>1346</v>
      </c>
      <c r="F5" s="114" t="s">
        <v>1347</v>
      </c>
      <c r="G5" s="42" t="s">
        <v>1348</v>
      </c>
      <c r="H5" s="114" t="s">
        <v>1349</v>
      </c>
      <c r="I5" s="42" t="s">
        <v>1350</v>
      </c>
      <c r="J5" s="114" t="s">
        <v>1351</v>
      </c>
    </row>
    <row r="6" spans="1:10">
      <c r="A6" s="7" t="s">
        <v>1277</v>
      </c>
      <c r="B6" s="42" t="s">
        <v>1302</v>
      </c>
      <c r="C6" s="108" t="s">
        <v>1303</v>
      </c>
      <c r="D6" s="86" t="str">
        <f t="shared" si="0"/>
        <v>&lt;#dbvalue(EQP_units;0;"KEYUNITS";)&gt;</v>
      </c>
      <c r="E6" s="42" t="s">
        <v>1352</v>
      </c>
      <c r="F6" s="114" t="s">
        <v>1353</v>
      </c>
      <c r="G6" s="42" t="s">
        <v>1354</v>
      </c>
      <c r="H6" s="114" t="s">
        <v>1355</v>
      </c>
      <c r="I6" s="42" t="s">
        <v>1356</v>
      </c>
      <c r="J6" s="114" t="s">
        <v>1357</v>
      </c>
    </row>
    <row r="7" spans="1:10">
      <c r="A7" s="7" t="s">
        <v>1278</v>
      </c>
      <c r="B7" s="42" t="s">
        <v>1304</v>
      </c>
      <c r="C7" s="108" t="s">
        <v>1305</v>
      </c>
      <c r="D7" s="86" t="str">
        <f t="shared" si="0"/>
        <v>&lt;#dbvalue(EQP_units;0;"KEYUNITS";)&gt;</v>
      </c>
      <c r="E7" s="42" t="s">
        <v>1358</v>
      </c>
      <c r="F7" s="114" t="s">
        <v>1359</v>
      </c>
      <c r="G7" s="42" t="s">
        <v>1360</v>
      </c>
      <c r="H7" s="114" t="s">
        <v>1361</v>
      </c>
      <c r="I7" s="42" t="s">
        <v>1362</v>
      </c>
      <c r="J7" s="114" t="s">
        <v>1363</v>
      </c>
    </row>
    <row r="8" spans="1:10">
      <c r="A8" s="7" t="s">
        <v>1279</v>
      </c>
      <c r="B8" s="42" t="s">
        <v>1306</v>
      </c>
      <c r="C8" s="108" t="s">
        <v>1307</v>
      </c>
      <c r="D8" s="86" t="str">
        <f t="shared" si="0"/>
        <v>&lt;#dbvalue(EQP_units;0;"KEYUNITS";)&gt;</v>
      </c>
      <c r="E8" s="42" t="s">
        <v>1364</v>
      </c>
      <c r="F8" s="114" t="s">
        <v>1365</v>
      </c>
      <c r="G8" s="42" t="s">
        <v>1366</v>
      </c>
      <c r="H8" s="114" t="s">
        <v>1367</v>
      </c>
      <c r="I8" s="42" t="s">
        <v>1368</v>
      </c>
      <c r="J8" s="114" t="s">
        <v>1369</v>
      </c>
    </row>
    <row r="9" spans="1:10">
      <c r="A9" s="7" t="s">
        <v>1280</v>
      </c>
      <c r="B9" s="42" t="s">
        <v>1308</v>
      </c>
      <c r="C9" s="108" t="s">
        <v>1309</v>
      </c>
      <c r="D9" s="86" t="str">
        <f t="shared" si="0"/>
        <v>&lt;#dbvalue(EQP_units;0;"KEYUNITS";)&gt;</v>
      </c>
      <c r="E9" s="42" t="s">
        <v>1370</v>
      </c>
      <c r="F9" s="114" t="s">
        <v>1371</v>
      </c>
      <c r="G9" s="42" t="s">
        <v>1372</v>
      </c>
      <c r="H9" s="114" t="s">
        <v>1373</v>
      </c>
      <c r="I9" s="42" t="s">
        <v>1374</v>
      </c>
      <c r="J9" s="114" t="s">
        <v>1375</v>
      </c>
    </row>
    <row r="10" spans="1:10">
      <c r="A10" s="7" t="s">
        <v>1281</v>
      </c>
      <c r="B10" s="42" t="s">
        <v>1310</v>
      </c>
      <c r="C10" s="108" t="s">
        <v>1311</v>
      </c>
      <c r="D10" s="86" t="str">
        <f t="shared" si="0"/>
        <v>&lt;#dbvalue(EQP_units;0;"KEYUNITS";)&gt;</v>
      </c>
      <c r="E10" s="42" t="s">
        <v>1376</v>
      </c>
      <c r="F10" s="114" t="s">
        <v>1377</v>
      </c>
      <c r="G10" s="42" t="s">
        <v>1378</v>
      </c>
      <c r="H10" s="114" t="s">
        <v>1379</v>
      </c>
      <c r="I10" s="42" t="s">
        <v>1380</v>
      </c>
      <c r="J10" s="114" t="s">
        <v>1381</v>
      </c>
    </row>
    <row r="11" spans="1:10">
      <c r="A11" s="7" t="s">
        <v>1282</v>
      </c>
      <c r="B11" s="42" t="s">
        <v>1312</v>
      </c>
      <c r="C11" s="108" t="s">
        <v>1313</v>
      </c>
      <c r="D11" s="86" t="str">
        <f t="shared" si="0"/>
        <v>&lt;#dbvalue(EQP_units;0;"KEYUNITS";)&gt;</v>
      </c>
      <c r="E11" s="42" t="s">
        <v>1382</v>
      </c>
      <c r="F11" s="114" t="s">
        <v>1383</v>
      </c>
      <c r="G11" s="42" t="s">
        <v>1384</v>
      </c>
      <c r="H11" s="114" t="s">
        <v>1385</v>
      </c>
      <c r="I11" s="42" t="s">
        <v>1386</v>
      </c>
      <c r="J11" s="114" t="s">
        <v>1387</v>
      </c>
    </row>
    <row r="12" spans="1:10">
      <c r="A12" s="7" t="s">
        <v>1283</v>
      </c>
      <c r="B12" s="42" t="s">
        <v>1314</v>
      </c>
      <c r="C12" s="108" t="s">
        <v>1315</v>
      </c>
      <c r="D12" s="86" t="str">
        <f t="shared" si="0"/>
        <v>&lt;#dbvalue(EQP_units;0;"KEYUNITS";)&gt;</v>
      </c>
      <c r="E12" s="42" t="s">
        <v>1388</v>
      </c>
      <c r="F12" s="114" t="s">
        <v>1389</v>
      </c>
      <c r="G12" s="42" t="s">
        <v>1390</v>
      </c>
      <c r="H12" s="114" t="s">
        <v>1391</v>
      </c>
      <c r="I12" s="42" t="s">
        <v>1392</v>
      </c>
      <c r="J12" s="114" t="s">
        <v>1393</v>
      </c>
    </row>
    <row r="13" spans="1:10">
      <c r="A13" s="7" t="s">
        <v>1284</v>
      </c>
      <c r="B13" s="42" t="s">
        <v>1316</v>
      </c>
      <c r="C13" s="108" t="s">
        <v>1317</v>
      </c>
      <c r="D13" s="86" t="str">
        <f t="shared" si="0"/>
        <v>&lt;#dbvalue(EQP_units;0;"KEYUNITS";)&gt;</v>
      </c>
      <c r="E13" s="42" t="s">
        <v>1394</v>
      </c>
      <c r="F13" s="114" t="s">
        <v>1395</v>
      </c>
      <c r="G13" s="42" t="s">
        <v>1396</v>
      </c>
      <c r="H13" s="114" t="s">
        <v>1397</v>
      </c>
      <c r="I13" s="42" t="s">
        <v>1398</v>
      </c>
      <c r="J13" s="114" t="s">
        <v>1399</v>
      </c>
    </row>
    <row r="14" spans="1:10">
      <c r="A14" s="7" t="s">
        <v>1285</v>
      </c>
      <c r="B14" s="42" t="s">
        <v>1318</v>
      </c>
      <c r="C14" s="108" t="s">
        <v>1319</v>
      </c>
      <c r="D14" s="86" t="str">
        <f t="shared" si="0"/>
        <v>&lt;#dbvalue(EQP_units;0;"KEYUNITS";)&gt;</v>
      </c>
      <c r="E14" s="42" t="s">
        <v>1400</v>
      </c>
      <c r="F14" s="114" t="s">
        <v>1401</v>
      </c>
      <c r="G14" s="42" t="s">
        <v>1402</v>
      </c>
      <c r="H14" s="114" t="s">
        <v>1403</v>
      </c>
      <c r="I14" s="42" t="s">
        <v>1404</v>
      </c>
      <c r="J14" s="114" t="s">
        <v>1405</v>
      </c>
    </row>
    <row r="15" spans="1:10">
      <c r="A15" s="7" t="s">
        <v>1286</v>
      </c>
      <c r="B15" s="42" t="s">
        <v>1320</v>
      </c>
      <c r="C15" s="108" t="s">
        <v>1321</v>
      </c>
      <c r="D15" s="86" t="str">
        <f t="shared" si="0"/>
        <v>&lt;#dbvalue(EQP_units;0;"KEYUNITS";)&gt;</v>
      </c>
      <c r="E15" s="42" t="s">
        <v>1406</v>
      </c>
      <c r="F15" s="114" t="s">
        <v>1407</v>
      </c>
      <c r="G15" s="42" t="s">
        <v>1408</v>
      </c>
      <c r="H15" s="114" t="s">
        <v>1409</v>
      </c>
      <c r="I15" s="42" t="s">
        <v>1410</v>
      </c>
      <c r="J15" s="114" t="s">
        <v>1411</v>
      </c>
    </row>
    <row r="16" spans="1:10">
      <c r="A16" s="7" t="s">
        <v>1287</v>
      </c>
      <c r="B16" s="42" t="s">
        <v>1322</v>
      </c>
      <c r="C16" s="108" t="s">
        <v>1323</v>
      </c>
      <c r="D16" s="86" t="str">
        <f t="shared" si="0"/>
        <v>&lt;#dbvalue(EQP_units;0;"KEYUNITS";)&gt;</v>
      </c>
      <c r="E16" s="42" t="s">
        <v>1412</v>
      </c>
      <c r="F16" s="114" t="s">
        <v>1413</v>
      </c>
      <c r="G16" s="42" t="s">
        <v>1414</v>
      </c>
      <c r="H16" s="114" t="s">
        <v>1415</v>
      </c>
      <c r="I16" s="42" t="s">
        <v>1416</v>
      </c>
      <c r="J16" s="114" t="s">
        <v>1417</v>
      </c>
    </row>
    <row r="17" spans="1:10">
      <c r="A17" s="7" t="s">
        <v>1288</v>
      </c>
      <c r="B17" s="42" t="s">
        <v>1324</v>
      </c>
      <c r="C17" s="108" t="s">
        <v>1325</v>
      </c>
      <c r="D17" s="86" t="str">
        <f t="shared" si="0"/>
        <v>&lt;#dbvalue(EQP_units;0;"KEYUNITS";)&gt;</v>
      </c>
      <c r="E17" s="42" t="s">
        <v>1418</v>
      </c>
      <c r="F17" s="114" t="s">
        <v>1419</v>
      </c>
      <c r="G17" s="42" t="s">
        <v>1420</v>
      </c>
      <c r="H17" s="114" t="s">
        <v>1421</v>
      </c>
      <c r="I17" s="42" t="s">
        <v>1422</v>
      </c>
      <c r="J17" s="114" t="s">
        <v>1423</v>
      </c>
    </row>
    <row r="18" spans="1:10">
      <c r="A18" s="7" t="s">
        <v>1289</v>
      </c>
      <c r="B18" s="42" t="s">
        <v>1326</v>
      </c>
      <c r="C18" s="108" t="s">
        <v>1327</v>
      </c>
      <c r="D18" s="86" t="str">
        <f t="shared" si="0"/>
        <v>&lt;#dbvalue(EQP_units;0;"KEYUNITS";)&gt;</v>
      </c>
      <c r="E18" s="42" t="s">
        <v>1424</v>
      </c>
      <c r="F18" s="114" t="s">
        <v>1425</v>
      </c>
      <c r="G18" s="42" t="s">
        <v>1426</v>
      </c>
      <c r="H18" s="114" t="s">
        <v>1427</v>
      </c>
      <c r="I18" s="42" t="s">
        <v>1428</v>
      </c>
      <c r="J18" s="114" t="s">
        <v>1429</v>
      </c>
    </row>
    <row r="19" spans="1:10">
      <c r="A19" s="7" t="s">
        <v>1290</v>
      </c>
      <c r="B19" s="42" t="s">
        <v>1328</v>
      </c>
      <c r="C19" s="108" t="s">
        <v>1329</v>
      </c>
      <c r="D19" s="86" t="str">
        <f t="shared" si="0"/>
        <v>&lt;#dbvalue(EQP_units;0;"KEYUNITS";)&gt;</v>
      </c>
      <c r="E19" s="42" t="s">
        <v>1430</v>
      </c>
      <c r="F19" s="114" t="s">
        <v>1431</v>
      </c>
      <c r="G19" s="42" t="s">
        <v>1432</v>
      </c>
      <c r="H19" s="114" t="s">
        <v>1433</v>
      </c>
      <c r="I19" s="42" t="s">
        <v>1434</v>
      </c>
      <c r="J19" s="114" t="s">
        <v>1435</v>
      </c>
    </row>
    <row r="20" spans="1:10">
      <c r="A20" s="7" t="s">
        <v>1291</v>
      </c>
      <c r="B20" s="42" t="s">
        <v>1330</v>
      </c>
      <c r="C20" s="108" t="s">
        <v>1331</v>
      </c>
      <c r="D20" s="86" t="str">
        <f t="shared" si="0"/>
        <v>&lt;#dbvalue(EQP_units;0;"KEYUNITS";)&gt;</v>
      </c>
      <c r="E20" s="42" t="s">
        <v>1436</v>
      </c>
      <c r="F20" s="114" t="s">
        <v>1437</v>
      </c>
      <c r="G20" s="42" t="s">
        <v>1438</v>
      </c>
      <c r="H20" s="114" t="s">
        <v>1439</v>
      </c>
      <c r="I20" s="42" t="s">
        <v>1440</v>
      </c>
      <c r="J20" s="114" t="s">
        <v>1441</v>
      </c>
    </row>
    <row r="21" spans="1:10">
      <c r="A21" s="7" t="s">
        <v>1292</v>
      </c>
      <c r="B21" s="42" t="s">
        <v>1332</v>
      </c>
      <c r="C21" s="108" t="s">
        <v>1333</v>
      </c>
      <c r="D21" s="86" t="str">
        <f t="shared" si="0"/>
        <v>&lt;#dbvalue(EQP_units;0;"KEYUNITS";)&gt;</v>
      </c>
      <c r="E21" s="42" t="s">
        <v>1442</v>
      </c>
      <c r="F21" s="114" t="s">
        <v>1443</v>
      </c>
      <c r="G21" s="42" t="s">
        <v>1444</v>
      </c>
      <c r="H21" s="114" t="s">
        <v>1445</v>
      </c>
      <c r="I21" s="42" t="s">
        <v>1446</v>
      </c>
      <c r="J21" s="114" t="s">
        <v>1447</v>
      </c>
    </row>
    <row r="22" spans="1:10">
      <c r="A22" s="7" t="s">
        <v>1293</v>
      </c>
      <c r="B22" s="42" t="s">
        <v>1334</v>
      </c>
      <c r="C22" s="108" t="s">
        <v>1335</v>
      </c>
      <c r="D22" s="86" t="str">
        <f t="shared" si="0"/>
        <v>&lt;#dbvalue(EQP_units;0;"KEYUNITS";)&gt;</v>
      </c>
      <c r="E22" s="42" t="s">
        <v>1448</v>
      </c>
      <c r="F22" s="114" t="s">
        <v>1449</v>
      </c>
      <c r="G22" s="42" t="s">
        <v>1450</v>
      </c>
      <c r="H22" s="114" t="s">
        <v>1451</v>
      </c>
      <c r="I22" s="42" t="s">
        <v>1452</v>
      </c>
      <c r="J22" s="114" t="s">
        <v>1453</v>
      </c>
    </row>
    <row r="23" spans="1:10">
      <c r="A23" s="7" t="s">
        <v>1294</v>
      </c>
      <c r="B23" s="42" t="s">
        <v>1336</v>
      </c>
      <c r="C23" s="108" t="s">
        <v>1337</v>
      </c>
      <c r="D23" s="86" t="str">
        <f t="shared" si="0"/>
        <v>&lt;#dbvalue(EQP_units;0;"KEYUNITS";)&gt;</v>
      </c>
      <c r="E23" s="42" t="s">
        <v>1454</v>
      </c>
      <c r="F23" s="114" t="s">
        <v>1455</v>
      </c>
      <c r="G23" s="42" t="s">
        <v>1456</v>
      </c>
      <c r="H23" s="114" t="s">
        <v>1457</v>
      </c>
      <c r="I23" s="42" t="s">
        <v>1458</v>
      </c>
      <c r="J23" s="114" t="s">
        <v>1459</v>
      </c>
    </row>
    <row r="24" spans="1:10">
      <c r="A24" s="7" t="s">
        <v>1295</v>
      </c>
      <c r="B24" s="95"/>
      <c r="C24" s="96"/>
      <c r="D24" s="50" t="s">
        <v>187</v>
      </c>
      <c r="E24" s="42" t="s">
        <v>1460</v>
      </c>
      <c r="F24" s="114" t="s">
        <v>1461</v>
      </c>
      <c r="G24" s="42" t="s">
        <v>1462</v>
      </c>
      <c r="H24" s="114" t="s">
        <v>1463</v>
      </c>
      <c r="I24" s="42" t="s">
        <v>1464</v>
      </c>
      <c r="J24" s="114" t="s">
        <v>1465</v>
      </c>
    </row>
    <row r="25" spans="1:10">
      <c r="A25" s="7" t="s">
        <v>1296</v>
      </c>
      <c r="B25" s="97"/>
      <c r="C25" s="98"/>
      <c r="D25" s="50" t="s">
        <v>187</v>
      </c>
      <c r="E25" s="42" t="s">
        <v>1466</v>
      </c>
      <c r="F25" s="114" t="s">
        <v>1467</v>
      </c>
      <c r="G25" s="42" t="s">
        <v>1468</v>
      </c>
      <c r="H25" s="114" t="s">
        <v>1469</v>
      </c>
      <c r="I25" s="42" t="s">
        <v>1470</v>
      </c>
      <c r="J25" s="114" t="s">
        <v>1471</v>
      </c>
    </row>
    <row r="26" spans="1:10" ht="15" thickBot="1">
      <c r="A26" s="7" t="s">
        <v>1297</v>
      </c>
      <c r="B26" s="43" t="s">
        <v>1338</v>
      </c>
      <c r="C26" s="44" t="s">
        <v>1339</v>
      </c>
      <c r="D26" s="109" t="str">
        <f>IF(OR(NOT(ISBLANK(B26)), NOT(ISBLANK(C26))), UOMEquipQty, "")</f>
        <v>&lt;#dbvalue(EQP_units;0;"KEYUNITS";)&gt;</v>
      </c>
      <c r="E26" s="43" t="s">
        <v>1472</v>
      </c>
      <c r="F26" s="115" t="s">
        <v>1473</v>
      </c>
      <c r="G26" s="43" t="s">
        <v>1474</v>
      </c>
      <c r="H26" s="115" t="s">
        <v>1475</v>
      </c>
      <c r="I26" s="43" t="s">
        <v>1476</v>
      </c>
      <c r="J26" s="115" t="s">
        <v>1477</v>
      </c>
    </row>
    <row r="27" spans="1:10" ht="15" thickBot="1">
      <c r="A27" s="15" t="s">
        <v>188</v>
      </c>
      <c r="B27" s="45">
        <f>SUM(B4:B23)</f>
        <v>0</v>
      </c>
      <c r="C27" s="45">
        <f>SUM(C4:C23)</f>
        <v>0</v>
      </c>
      <c r="D27" s="86" t="str">
        <f>IF(OR(NOT(ISBLANK(B27)), NOT(ISBLANK(C27))), UOMEquipQty, "")</f>
        <v>&lt;#dbvalue(EQP_units;0;"KEYUNITS";)&gt;</v>
      </c>
      <c r="E27" s="45">
        <f t="shared" ref="E27:J27" si="1">SUM(E4:E26)</f>
        <v>0</v>
      </c>
      <c r="F27" s="45">
        <f t="shared" si="1"/>
        <v>0</v>
      </c>
      <c r="G27" s="45">
        <f t="shared" si="1"/>
        <v>0</v>
      </c>
      <c r="H27" s="45">
        <f t="shared" si="1"/>
        <v>0</v>
      </c>
      <c r="I27" s="45">
        <f t="shared" si="1"/>
        <v>0</v>
      </c>
      <c r="J27" s="45">
        <f t="shared" si="1"/>
        <v>0</v>
      </c>
    </row>
    <row r="28" spans="1:10" ht="15" thickBot="1">
      <c r="A28" s="4"/>
      <c r="B28" s="16"/>
      <c r="C28" s="16"/>
      <c r="D28" s="68"/>
      <c r="E28" s="53"/>
      <c r="F28" s="53"/>
      <c r="G28" s="54"/>
      <c r="H28" s="53"/>
      <c r="I28" s="53"/>
      <c r="J28" s="55"/>
    </row>
    <row r="29" spans="1:10">
      <c r="A29" s="14" t="s">
        <v>111</v>
      </c>
      <c r="B29" s="17"/>
      <c r="C29" s="31" t="s">
        <v>234</v>
      </c>
      <c r="D29" s="49" t="s">
        <v>2235</v>
      </c>
      <c r="E29" s="51"/>
      <c r="F29" s="52"/>
      <c r="G29" s="51"/>
      <c r="H29" s="52"/>
      <c r="I29" s="56"/>
      <c r="J29" s="57"/>
    </row>
    <row r="30" spans="1:10">
      <c r="A30" s="7" t="s">
        <v>219</v>
      </c>
      <c r="B30" s="108" t="s">
        <v>1581</v>
      </c>
      <c r="C30" s="108" t="s">
        <v>1580</v>
      </c>
      <c r="D30" s="85" t="str">
        <f>IF(OR(NOT(ISBLANK(B30)), NOT(ISBLANK(C30))), UOMPipeQty, "")</f>
        <v>&lt;#dbvalue(PIP_units;0;"KEYUNITS";)&gt;</v>
      </c>
      <c r="E30" s="42" t="s">
        <v>1478</v>
      </c>
      <c r="F30" s="114" t="s">
        <v>1479</v>
      </c>
      <c r="G30" s="42" t="s">
        <v>1480</v>
      </c>
      <c r="H30" s="114" t="s">
        <v>1481</v>
      </c>
      <c r="I30" s="42" t="s">
        <v>1482</v>
      </c>
      <c r="J30" s="114" t="s">
        <v>1483</v>
      </c>
    </row>
    <row r="31" spans="1:10">
      <c r="A31" s="7" t="s">
        <v>220</v>
      </c>
      <c r="B31" s="108" t="s">
        <v>1583</v>
      </c>
      <c r="C31" s="108" t="s">
        <v>1582</v>
      </c>
      <c r="D31" s="85" t="str">
        <f>IF(OR(NOT(ISBLANK(B31)), NOT(ISBLANK(C31))), "EACH", "")</f>
        <v>EACH</v>
      </c>
      <c r="E31" s="42" t="s">
        <v>1484</v>
      </c>
      <c r="F31" s="114" t="s">
        <v>1485</v>
      </c>
      <c r="G31" s="42" t="s">
        <v>1486</v>
      </c>
      <c r="H31" s="114" t="s">
        <v>1487</v>
      </c>
      <c r="I31" s="42" t="s">
        <v>1488</v>
      </c>
      <c r="J31" s="114" t="s">
        <v>1489</v>
      </c>
    </row>
    <row r="32" spans="1:10">
      <c r="A32" s="7" t="s">
        <v>225</v>
      </c>
      <c r="B32" s="108" t="s">
        <v>1585</v>
      </c>
      <c r="C32" s="108" t="s">
        <v>1584</v>
      </c>
      <c r="D32" s="85" t="str">
        <f>IF(OR(NOT(ISBLANK(B32)), NOT(ISBLANK(C32))), UOMPipeQty, "")</f>
        <v>&lt;#dbvalue(PIP_units;0;"KEYUNITS";)&gt;</v>
      </c>
      <c r="E32" s="42" t="s">
        <v>1490</v>
      </c>
      <c r="F32" s="114" t="s">
        <v>1491</v>
      </c>
      <c r="G32" s="42" t="s">
        <v>1492</v>
      </c>
      <c r="H32" s="114" t="s">
        <v>1493</v>
      </c>
      <c r="I32" s="42" t="s">
        <v>1494</v>
      </c>
      <c r="J32" s="114" t="s">
        <v>1495</v>
      </c>
    </row>
    <row r="33" spans="1:10">
      <c r="A33" s="7" t="s">
        <v>221</v>
      </c>
      <c r="B33" s="108" t="s">
        <v>1587</v>
      </c>
      <c r="C33" s="108" t="s">
        <v>1586</v>
      </c>
      <c r="D33" s="85" t="str">
        <f>IF(OR(NOT(ISBLANK(B33)), NOT(ISBLANK(C33))), "EACH", "")</f>
        <v>EACH</v>
      </c>
      <c r="E33" s="42" t="s">
        <v>1496</v>
      </c>
      <c r="F33" s="114" t="s">
        <v>1497</v>
      </c>
      <c r="G33" s="42" t="s">
        <v>1498</v>
      </c>
      <c r="H33" s="114" t="s">
        <v>1499</v>
      </c>
      <c r="I33" s="42" t="s">
        <v>1500</v>
      </c>
      <c r="J33" s="114" t="s">
        <v>1501</v>
      </c>
    </row>
    <row r="34" spans="1:10">
      <c r="A34" s="7" t="s">
        <v>226</v>
      </c>
      <c r="B34" s="108" t="s">
        <v>2177</v>
      </c>
      <c r="C34" s="108" t="s">
        <v>1588</v>
      </c>
      <c r="D34" s="85" t="str">
        <f>IF(OR(NOT(ISBLANK(B34)), NOT(ISBLANK(C34))), UOMPipeQty, "")</f>
        <v>&lt;#dbvalue(PIP_units;0;"KEYUNITS";)&gt;</v>
      </c>
      <c r="E34" s="42" t="s">
        <v>1502</v>
      </c>
      <c r="F34" s="114" t="s">
        <v>1503</v>
      </c>
      <c r="G34" s="42" t="s">
        <v>1504</v>
      </c>
      <c r="H34" s="114" t="s">
        <v>1505</v>
      </c>
      <c r="I34" s="42" t="s">
        <v>1506</v>
      </c>
      <c r="J34" s="114" t="s">
        <v>1507</v>
      </c>
    </row>
    <row r="35" spans="1:10">
      <c r="A35" s="7" t="s">
        <v>222</v>
      </c>
      <c r="B35" s="108" t="s">
        <v>2178</v>
      </c>
      <c r="C35" s="108" t="s">
        <v>1589</v>
      </c>
      <c r="D35" s="85" t="str">
        <f>IF(OR(NOT(ISBLANK(B35)), NOT(ISBLANK(C35))), "EACH", "")</f>
        <v>EACH</v>
      </c>
      <c r="E35" s="42" t="s">
        <v>1508</v>
      </c>
      <c r="F35" s="114" t="s">
        <v>1509</v>
      </c>
      <c r="G35" s="42" t="s">
        <v>1510</v>
      </c>
      <c r="H35" s="114" t="s">
        <v>1511</v>
      </c>
      <c r="I35" s="42" t="s">
        <v>1512</v>
      </c>
      <c r="J35" s="114" t="s">
        <v>1513</v>
      </c>
    </row>
    <row r="36" spans="1:10">
      <c r="A36" s="7" t="s">
        <v>227</v>
      </c>
      <c r="B36" s="108" t="s">
        <v>2179</v>
      </c>
      <c r="C36" s="108" t="s">
        <v>1590</v>
      </c>
      <c r="D36" s="85" t="str">
        <f>IF(OR(NOT(ISBLANK(B36)), NOT(ISBLANK(C36))), UOMPipeQty, "")</f>
        <v>&lt;#dbvalue(PIP_units;0;"KEYUNITS";)&gt;</v>
      </c>
      <c r="E36" s="42" t="s">
        <v>1514</v>
      </c>
      <c r="F36" s="114" t="s">
        <v>1515</v>
      </c>
      <c r="G36" s="42" t="s">
        <v>1516</v>
      </c>
      <c r="H36" s="114" t="s">
        <v>1517</v>
      </c>
      <c r="I36" s="42" t="s">
        <v>1518</v>
      </c>
      <c r="J36" s="114" t="s">
        <v>1519</v>
      </c>
    </row>
    <row r="37" spans="1:10">
      <c r="A37" s="7" t="s">
        <v>223</v>
      </c>
      <c r="B37" s="108" t="s">
        <v>2180</v>
      </c>
      <c r="C37" s="108" t="s">
        <v>1591</v>
      </c>
      <c r="D37" s="85" t="str">
        <f>IF(OR(NOT(ISBLANK(B37)), NOT(ISBLANK(C37))), "EACH", "")</f>
        <v>EACH</v>
      </c>
      <c r="E37" s="42" t="s">
        <v>1520</v>
      </c>
      <c r="F37" s="114" t="s">
        <v>1521</v>
      </c>
      <c r="G37" s="42" t="s">
        <v>1522</v>
      </c>
      <c r="H37" s="114" t="s">
        <v>1523</v>
      </c>
      <c r="I37" s="42" t="s">
        <v>1524</v>
      </c>
      <c r="J37" s="114" t="s">
        <v>1525</v>
      </c>
    </row>
    <row r="38" spans="1:10">
      <c r="A38" s="7" t="s">
        <v>228</v>
      </c>
      <c r="B38" s="108" t="s">
        <v>2181</v>
      </c>
      <c r="C38" s="108" t="s">
        <v>1592</v>
      </c>
      <c r="D38" s="85" t="str">
        <f>IF(OR(NOT(ISBLANK(B38)), NOT(ISBLANK(C38))), UOMPipeQty, "")</f>
        <v>&lt;#dbvalue(PIP_units;0;"KEYUNITS";)&gt;</v>
      </c>
      <c r="E38" s="42" t="s">
        <v>1526</v>
      </c>
      <c r="F38" s="114" t="s">
        <v>1527</v>
      </c>
      <c r="G38" s="42" t="s">
        <v>1528</v>
      </c>
      <c r="H38" s="114" t="s">
        <v>1529</v>
      </c>
      <c r="I38" s="42" t="s">
        <v>1530</v>
      </c>
      <c r="J38" s="114" t="s">
        <v>1531</v>
      </c>
    </row>
    <row r="39" spans="1:10">
      <c r="A39" s="7" t="s">
        <v>224</v>
      </c>
      <c r="B39" s="108" t="s">
        <v>2182</v>
      </c>
      <c r="C39" s="108" t="s">
        <v>1593</v>
      </c>
      <c r="D39" s="85" t="str">
        <f>IF(OR(NOT(ISBLANK(B39)), NOT(ISBLANK(C39))), "EACH", "")</f>
        <v>EACH</v>
      </c>
      <c r="E39" s="42" t="s">
        <v>1532</v>
      </c>
      <c r="F39" s="114" t="s">
        <v>1533</v>
      </c>
      <c r="G39" s="42" t="s">
        <v>1534</v>
      </c>
      <c r="H39" s="114" t="s">
        <v>1535</v>
      </c>
      <c r="I39" s="42" t="s">
        <v>1536</v>
      </c>
      <c r="J39" s="114" t="s">
        <v>1537</v>
      </c>
    </row>
    <row r="40" spans="1:10">
      <c r="A40" s="7" t="s">
        <v>112</v>
      </c>
      <c r="B40" s="108" t="s">
        <v>2183</v>
      </c>
      <c r="C40" s="108" t="s">
        <v>1594</v>
      </c>
      <c r="D40" s="85" t="str">
        <f>IF(OR(NOT(ISBLANK(B40)), NOT(ISBLANK(C40))), UOMPipeQty, "")</f>
        <v>&lt;#dbvalue(PIP_units;0;"KEYUNITS";)&gt;</v>
      </c>
      <c r="E40" s="42" t="s">
        <v>1538</v>
      </c>
      <c r="F40" s="114" t="s">
        <v>1539</v>
      </c>
      <c r="G40" s="42" t="s">
        <v>1540</v>
      </c>
      <c r="H40" s="114" t="s">
        <v>1541</v>
      </c>
      <c r="I40" s="42" t="s">
        <v>1542</v>
      </c>
      <c r="J40" s="114" t="s">
        <v>1543</v>
      </c>
    </row>
    <row r="41" spans="1:10">
      <c r="A41" s="7" t="s">
        <v>113</v>
      </c>
      <c r="B41" s="108" t="s">
        <v>2184</v>
      </c>
      <c r="C41" s="108" t="s">
        <v>1595</v>
      </c>
      <c r="D41" s="85" t="str">
        <f>IF(OR(NOT(ISBLANK(B41)), NOT(ISBLANK(C41))), "EACH", "")</f>
        <v>EACH</v>
      </c>
      <c r="E41" s="42" t="s">
        <v>1544</v>
      </c>
      <c r="F41" s="114" t="s">
        <v>1545</v>
      </c>
      <c r="G41" s="42" t="s">
        <v>1546</v>
      </c>
      <c r="H41" s="114" t="s">
        <v>1547</v>
      </c>
      <c r="I41" s="42" t="s">
        <v>1548</v>
      </c>
      <c r="J41" s="114" t="s">
        <v>1549</v>
      </c>
    </row>
    <row r="42" spans="1:10">
      <c r="A42" s="7" t="s">
        <v>114</v>
      </c>
      <c r="B42" s="108" t="s">
        <v>2185</v>
      </c>
      <c r="C42" s="108" t="s">
        <v>1596</v>
      </c>
      <c r="D42" s="85" t="str">
        <f>IF(OR(NOT(ISBLANK(B42)), NOT(ISBLANK(C42))), UOMPipeQty, "")</f>
        <v>&lt;#dbvalue(PIP_units;0;"KEYUNITS";)&gt;</v>
      </c>
      <c r="E42" s="42" t="s">
        <v>1550</v>
      </c>
      <c r="F42" s="114" t="s">
        <v>1551</v>
      </c>
      <c r="G42" s="42" t="s">
        <v>1552</v>
      </c>
      <c r="H42" s="114" t="s">
        <v>1553</v>
      </c>
      <c r="I42" s="42" t="s">
        <v>1554</v>
      </c>
      <c r="J42" s="114" t="s">
        <v>1555</v>
      </c>
    </row>
    <row r="43" spans="1:10">
      <c r="A43" s="7" t="s">
        <v>115</v>
      </c>
      <c r="B43" s="108" t="s">
        <v>2186</v>
      </c>
      <c r="C43" s="108" t="s">
        <v>1597</v>
      </c>
      <c r="D43" s="85" t="str">
        <f>IF(OR(NOT(ISBLANK(B43)), NOT(ISBLANK(C43))), UOMPipeQty, "")</f>
        <v>&lt;#dbvalue(PIP_units;0;"KEYUNITS";)&gt;</v>
      </c>
      <c r="E43" s="42" t="s">
        <v>1556</v>
      </c>
      <c r="F43" s="114" t="s">
        <v>1557</v>
      </c>
      <c r="G43" s="42" t="s">
        <v>1558</v>
      </c>
      <c r="H43" s="114" t="s">
        <v>1559</v>
      </c>
      <c r="I43" s="42" t="s">
        <v>1560</v>
      </c>
      <c r="J43" s="114" t="s">
        <v>1561</v>
      </c>
    </row>
    <row r="44" spans="1:10">
      <c r="A44" s="7" t="s">
        <v>118</v>
      </c>
      <c r="B44" s="108" t="s">
        <v>2187</v>
      </c>
      <c r="C44" s="108" t="s">
        <v>1598</v>
      </c>
      <c r="D44" s="85" t="str">
        <f>IF(OR(NOT(ISBLANK(B44)), NOT(ISBLANK(C44))), UOMPipeQty, "")</f>
        <v>&lt;#dbvalue(PIP_units;0;"KEYUNITS";)&gt;</v>
      </c>
      <c r="E44" s="42" t="s">
        <v>1562</v>
      </c>
      <c r="F44" s="114" t="s">
        <v>1563</v>
      </c>
      <c r="G44" s="42" t="s">
        <v>1564</v>
      </c>
      <c r="H44" s="114" t="s">
        <v>1565</v>
      </c>
      <c r="I44" s="42" t="s">
        <v>1566</v>
      </c>
      <c r="J44" s="114" t="s">
        <v>1567</v>
      </c>
    </row>
    <row r="45" spans="1:10">
      <c r="A45" s="7" t="s">
        <v>117</v>
      </c>
      <c r="B45" s="120"/>
      <c r="C45" s="121"/>
      <c r="D45" s="85" t="s">
        <v>187</v>
      </c>
      <c r="E45" s="42" t="s">
        <v>1568</v>
      </c>
      <c r="F45" s="114" t="s">
        <v>1569</v>
      </c>
      <c r="G45" s="42" t="s">
        <v>1570</v>
      </c>
      <c r="H45" s="114" t="s">
        <v>1571</v>
      </c>
      <c r="I45" s="42" t="s">
        <v>1572</v>
      </c>
      <c r="J45" s="114" t="s">
        <v>1573</v>
      </c>
    </row>
    <row r="46" spans="1:10" ht="15" thickBot="1">
      <c r="A46" s="7" t="s">
        <v>116</v>
      </c>
      <c r="B46" s="43" t="s">
        <v>1599</v>
      </c>
      <c r="C46" s="44" t="s">
        <v>1600</v>
      </c>
      <c r="D46" s="110" t="str">
        <f>IF(OR(NOT(ISBLANK(B46)), NOT(ISBLANK(C46))), UOMPipeQty, "")</f>
        <v>&lt;#dbvalue(PIP_units;0;"KEYUNITS";)&gt;</v>
      </c>
      <c r="E46" s="43" t="s">
        <v>1574</v>
      </c>
      <c r="F46" s="115" t="s">
        <v>1575</v>
      </c>
      <c r="G46" s="43" t="s">
        <v>1576</v>
      </c>
      <c r="H46" s="115" t="s">
        <v>1577</v>
      </c>
      <c r="I46" s="43" t="s">
        <v>1578</v>
      </c>
      <c r="J46" s="115" t="s">
        <v>1579</v>
      </c>
    </row>
    <row r="47" spans="1:10" ht="15" thickBot="1">
      <c r="A47" s="15" t="s">
        <v>189</v>
      </c>
      <c r="B47" s="45"/>
      <c r="C47" s="118"/>
      <c r="D47" s="111"/>
      <c r="E47" s="45">
        <f>SUM(E30:E46)</f>
        <v>0</v>
      </c>
      <c r="F47" s="45">
        <f t="shared" ref="F47:J47" si="2">SUM(F30:F46)</f>
        <v>0</v>
      </c>
      <c r="G47" s="45">
        <f t="shared" si="2"/>
        <v>0</v>
      </c>
      <c r="H47" s="45">
        <f t="shared" si="2"/>
        <v>0</v>
      </c>
      <c r="I47" s="45">
        <f t="shared" si="2"/>
        <v>0</v>
      </c>
      <c r="J47" s="45">
        <f t="shared" si="2"/>
        <v>0</v>
      </c>
    </row>
    <row r="48" spans="1:10" ht="15" thickBot="1">
      <c r="A48" s="4"/>
      <c r="B48" s="16"/>
      <c r="C48" s="18"/>
      <c r="D48" s="68"/>
      <c r="E48" s="54"/>
      <c r="F48" s="58"/>
      <c r="G48" s="53"/>
      <c r="H48" s="58"/>
      <c r="I48" s="53"/>
      <c r="J48" s="57"/>
    </row>
    <row r="49" spans="1:10">
      <c r="A49" s="14" t="s">
        <v>119</v>
      </c>
      <c r="B49" s="32"/>
      <c r="C49" s="33"/>
      <c r="D49" s="69"/>
      <c r="E49" s="59"/>
      <c r="F49" s="60"/>
      <c r="G49" s="59"/>
      <c r="H49" s="60"/>
      <c r="I49" s="59"/>
      <c r="J49" s="60"/>
    </row>
    <row r="50" spans="1:10">
      <c r="A50" s="7" t="s">
        <v>120</v>
      </c>
      <c r="B50" s="42" t="s">
        <v>1601</v>
      </c>
      <c r="C50" s="108" t="s">
        <v>1602</v>
      </c>
      <c r="D50" s="85" t="str">
        <f>IF(OR(NOT(ISBLANK(B50)), NOT(ISBLANK(C50))), UOMPipeQty, "")</f>
        <v>&lt;#dbvalue(PIP_units;0;"KEYUNITS";)&gt;</v>
      </c>
      <c r="E50" s="42" t="s">
        <v>1603</v>
      </c>
      <c r="F50" s="114" t="s">
        <v>1604</v>
      </c>
      <c r="G50" s="42" t="s">
        <v>1605</v>
      </c>
      <c r="H50" s="114" t="s">
        <v>1606</v>
      </c>
      <c r="I50" s="42" t="s">
        <v>1607</v>
      </c>
      <c r="J50" s="114" t="s">
        <v>1608</v>
      </c>
    </row>
    <row r="51" spans="1:10">
      <c r="A51" s="7" t="s">
        <v>121</v>
      </c>
      <c r="B51" s="42" t="s">
        <v>1609</v>
      </c>
      <c r="C51" s="108" t="s">
        <v>1610</v>
      </c>
      <c r="D51" s="85" t="str">
        <f>IF(OR(NOT(ISBLANK(B51)), NOT(ISBLANK(C51))), UOMPipeQty, "")</f>
        <v>&lt;#dbvalue(PIP_units;0;"KEYUNITS";)&gt;</v>
      </c>
      <c r="E51" s="42" t="s">
        <v>1611</v>
      </c>
      <c r="F51" s="114" t="s">
        <v>1612</v>
      </c>
      <c r="G51" s="42" t="s">
        <v>1613</v>
      </c>
      <c r="H51" s="114" t="s">
        <v>1614</v>
      </c>
      <c r="I51" s="42" t="s">
        <v>1615</v>
      </c>
      <c r="J51" s="114" t="s">
        <v>1616</v>
      </c>
    </row>
    <row r="52" spans="1:10">
      <c r="A52" s="7"/>
      <c r="B52" s="34"/>
      <c r="C52" s="35"/>
      <c r="D52" s="70"/>
      <c r="E52" s="61"/>
      <c r="F52" s="62"/>
      <c r="G52" s="61"/>
      <c r="H52" s="62"/>
      <c r="I52" s="61"/>
      <c r="J52" s="62"/>
    </row>
    <row r="53" spans="1:10">
      <c r="A53" s="6" t="s">
        <v>122</v>
      </c>
      <c r="B53" s="34"/>
      <c r="C53" s="36"/>
      <c r="D53" s="71"/>
      <c r="E53" s="63"/>
      <c r="F53" s="64"/>
      <c r="G53" s="61"/>
      <c r="H53" s="65"/>
      <c r="I53" s="63"/>
      <c r="J53" s="64"/>
    </row>
    <row r="54" spans="1:10">
      <c r="A54" s="7" t="s">
        <v>123</v>
      </c>
      <c r="B54" s="42" t="s">
        <v>1617</v>
      </c>
      <c r="C54" s="108" t="s">
        <v>1618</v>
      </c>
      <c r="D54" s="85" t="str">
        <f>IF(OR(NOT(ISBLANK(B54)), NOT(ISBLANK(C54))), UOMPipeQty, "")</f>
        <v>&lt;#dbvalue(PIP_units;0;"KEYUNITS";)&gt;</v>
      </c>
      <c r="E54" s="42" t="s">
        <v>1619</v>
      </c>
      <c r="F54" s="114" t="s">
        <v>1620</v>
      </c>
      <c r="G54" s="42" t="s">
        <v>1621</v>
      </c>
      <c r="H54" s="114" t="s">
        <v>1622</v>
      </c>
      <c r="I54" s="42" t="s">
        <v>1623</v>
      </c>
      <c r="J54" s="114" t="s">
        <v>1624</v>
      </c>
    </row>
    <row r="55" spans="1:10">
      <c r="A55" s="7" t="s">
        <v>124</v>
      </c>
      <c r="B55" s="42" t="s">
        <v>1625</v>
      </c>
      <c r="C55" s="108" t="s">
        <v>1626</v>
      </c>
      <c r="D55" s="85" t="str">
        <f>IF(OR(NOT(ISBLANK(B55)), NOT(ISBLANK(C55))), UOMPipeQty, "")</f>
        <v>&lt;#dbvalue(PIP_units;0;"KEYUNITS";)&gt;</v>
      </c>
      <c r="E55" s="42" t="s">
        <v>1627</v>
      </c>
      <c r="F55" s="114" t="s">
        <v>1628</v>
      </c>
      <c r="G55" s="42" t="s">
        <v>1629</v>
      </c>
      <c r="H55" s="114" t="s">
        <v>1630</v>
      </c>
      <c r="I55" s="42" t="s">
        <v>1631</v>
      </c>
      <c r="J55" s="114" t="s">
        <v>1632</v>
      </c>
    </row>
    <row r="56" spans="1:10">
      <c r="A56" s="7" t="s">
        <v>125</v>
      </c>
      <c r="B56" s="42" t="s">
        <v>1633</v>
      </c>
      <c r="C56" s="108" t="s">
        <v>1634</v>
      </c>
      <c r="D56" s="85" t="str">
        <f>IF(OR(NOT(ISBLANK(B56)), NOT(ISBLANK(C56))), UOMPipeQty, "")</f>
        <v>&lt;#dbvalue(PIP_units;0;"KEYUNITS";)&gt;</v>
      </c>
      <c r="E56" s="42" t="s">
        <v>1635</v>
      </c>
      <c r="F56" s="114" t="s">
        <v>1636</v>
      </c>
      <c r="G56" s="42" t="s">
        <v>1637</v>
      </c>
      <c r="H56" s="114" t="s">
        <v>1638</v>
      </c>
      <c r="I56" s="42" t="s">
        <v>1639</v>
      </c>
      <c r="J56" s="114" t="s">
        <v>1640</v>
      </c>
    </row>
    <row r="57" spans="1:10">
      <c r="A57" s="7" t="s">
        <v>126</v>
      </c>
      <c r="B57" s="42" t="s">
        <v>1641</v>
      </c>
      <c r="C57" s="108" t="s">
        <v>1642</v>
      </c>
      <c r="D57" s="85" t="str">
        <f>IF(OR(NOT(ISBLANK(B57)), NOT(ISBLANK(C57))), UOMPipeQty, "")</f>
        <v>&lt;#dbvalue(PIP_units;0;"KEYUNITS";)&gt;</v>
      </c>
      <c r="E57" s="42" t="s">
        <v>1643</v>
      </c>
      <c r="F57" s="114" t="s">
        <v>1644</v>
      </c>
      <c r="G57" s="42" t="s">
        <v>1645</v>
      </c>
      <c r="H57" s="114" t="s">
        <v>1646</v>
      </c>
      <c r="I57" s="42" t="s">
        <v>1647</v>
      </c>
      <c r="J57" s="114" t="s">
        <v>1648</v>
      </c>
    </row>
    <row r="58" spans="1:10" ht="15" thickBot="1">
      <c r="A58" s="10" t="s">
        <v>127</v>
      </c>
      <c r="B58" s="116" t="s">
        <v>1649</v>
      </c>
      <c r="C58" s="122" t="s">
        <v>1650</v>
      </c>
      <c r="D58" s="85" t="str">
        <f>IF(OR(NOT(ISBLANK(B58)), NOT(ISBLANK(C58))), UOMPipeQty, "")</f>
        <v>&lt;#dbvalue(PIP_units;0;"KEYUNITS";)&gt;</v>
      </c>
      <c r="E58" s="116" t="s">
        <v>1651</v>
      </c>
      <c r="F58" s="117" t="s">
        <v>1652</v>
      </c>
      <c r="G58" s="116" t="s">
        <v>1653</v>
      </c>
      <c r="H58" s="117" t="s">
        <v>1654</v>
      </c>
      <c r="I58" s="116" t="s">
        <v>1655</v>
      </c>
      <c r="J58" s="117" t="s">
        <v>1656</v>
      </c>
    </row>
    <row r="59" spans="1:10" ht="15" thickBot="1">
      <c r="A59" s="20"/>
      <c r="B59" s="3"/>
      <c r="C59" s="16"/>
      <c r="D59" s="68"/>
      <c r="E59" s="53"/>
      <c r="F59" s="53"/>
      <c r="G59" s="53"/>
      <c r="H59" s="53"/>
      <c r="I59" s="53"/>
      <c r="J59" s="55"/>
    </row>
    <row r="60" spans="1:10" ht="15">
      <c r="A60" s="14" t="s">
        <v>128</v>
      </c>
      <c r="B60" s="32"/>
      <c r="C60" s="31"/>
      <c r="D60" s="31" t="s">
        <v>386</v>
      </c>
      <c r="E60" s="59"/>
      <c r="F60" s="60"/>
      <c r="G60" s="59"/>
      <c r="H60" s="60"/>
      <c r="I60" s="59"/>
      <c r="J60" s="60"/>
    </row>
    <row r="61" spans="1:10">
      <c r="A61" s="7" t="s">
        <v>129</v>
      </c>
      <c r="B61" s="42" t="s">
        <v>1657</v>
      </c>
      <c r="C61" s="108" t="s">
        <v>1658</v>
      </c>
      <c r="D61" s="72" t="s">
        <v>2194</v>
      </c>
      <c r="E61" s="42" t="s">
        <v>1659</v>
      </c>
      <c r="F61" s="114" t="s">
        <v>1660</v>
      </c>
      <c r="G61" s="42" t="s">
        <v>1661</v>
      </c>
      <c r="H61" s="114" t="s">
        <v>1662</v>
      </c>
      <c r="I61" s="42" t="s">
        <v>1663</v>
      </c>
      <c r="J61" s="114" t="s">
        <v>1664</v>
      </c>
    </row>
    <row r="62" spans="1:10">
      <c r="A62" s="7" t="s">
        <v>134</v>
      </c>
      <c r="B62" s="42" t="s">
        <v>1665</v>
      </c>
      <c r="C62" s="108" t="s">
        <v>1666</v>
      </c>
      <c r="D62" s="72" t="s">
        <v>2195</v>
      </c>
      <c r="E62" s="42" t="s">
        <v>1667</v>
      </c>
      <c r="F62" s="114" t="s">
        <v>1668</v>
      </c>
      <c r="G62" s="42" t="s">
        <v>1669</v>
      </c>
      <c r="H62" s="114" t="s">
        <v>1670</v>
      </c>
      <c r="I62" s="42" t="s">
        <v>1671</v>
      </c>
      <c r="J62" s="114" t="s">
        <v>1672</v>
      </c>
    </row>
    <row r="63" spans="1:10">
      <c r="A63" s="7" t="s">
        <v>131</v>
      </c>
      <c r="B63" s="42" t="s">
        <v>1673</v>
      </c>
      <c r="C63" s="108" t="s">
        <v>1674</v>
      </c>
      <c r="D63" s="48" t="s">
        <v>2196</v>
      </c>
      <c r="E63" s="42" t="s">
        <v>1675</v>
      </c>
      <c r="F63" s="114" t="s">
        <v>1676</v>
      </c>
      <c r="G63" s="42" t="s">
        <v>1677</v>
      </c>
      <c r="H63" s="114" t="s">
        <v>1678</v>
      </c>
      <c r="I63" s="42" t="s">
        <v>1679</v>
      </c>
      <c r="J63" s="114" t="s">
        <v>1680</v>
      </c>
    </row>
    <row r="64" spans="1:10">
      <c r="A64" s="7" t="s">
        <v>132</v>
      </c>
      <c r="B64" s="42" t="s">
        <v>1681</v>
      </c>
      <c r="C64" s="108" t="s">
        <v>1682</v>
      </c>
      <c r="D64" s="72" t="s">
        <v>2197</v>
      </c>
      <c r="E64" s="42" t="s">
        <v>1683</v>
      </c>
      <c r="F64" s="114" t="s">
        <v>1684</v>
      </c>
      <c r="G64" s="42" t="s">
        <v>1685</v>
      </c>
      <c r="H64" s="114" t="s">
        <v>1686</v>
      </c>
      <c r="I64" s="42" t="s">
        <v>1687</v>
      </c>
      <c r="J64" s="114" t="s">
        <v>1688</v>
      </c>
    </row>
    <row r="65" spans="1:10">
      <c r="A65" s="7" t="s">
        <v>10</v>
      </c>
      <c r="B65" s="42" t="s">
        <v>1689</v>
      </c>
      <c r="C65" s="108" t="s">
        <v>1690</v>
      </c>
      <c r="D65" s="72" t="s">
        <v>2198</v>
      </c>
      <c r="E65" s="42" t="s">
        <v>1691</v>
      </c>
      <c r="F65" s="114" t="s">
        <v>1692</v>
      </c>
      <c r="G65" s="42" t="s">
        <v>1693</v>
      </c>
      <c r="H65" s="114" t="s">
        <v>1694</v>
      </c>
      <c r="I65" s="42" t="s">
        <v>1695</v>
      </c>
      <c r="J65" s="114" t="s">
        <v>1696</v>
      </c>
    </row>
    <row r="66" spans="1:10">
      <c r="A66" s="7" t="s">
        <v>11</v>
      </c>
      <c r="B66" s="42" t="s">
        <v>1697</v>
      </c>
      <c r="C66" s="108" t="s">
        <v>1698</v>
      </c>
      <c r="D66" s="85" t="s">
        <v>2199</v>
      </c>
      <c r="E66" s="42" t="s">
        <v>1699</v>
      </c>
      <c r="F66" s="114" t="s">
        <v>1700</v>
      </c>
      <c r="G66" s="42" t="s">
        <v>1701</v>
      </c>
      <c r="H66" s="114" t="s">
        <v>1702</v>
      </c>
      <c r="I66" s="42" t="s">
        <v>1703</v>
      </c>
      <c r="J66" s="114" t="s">
        <v>1704</v>
      </c>
    </row>
    <row r="67" spans="1:10">
      <c r="A67" s="7" t="s">
        <v>387</v>
      </c>
      <c r="B67" s="42" t="s">
        <v>1705</v>
      </c>
      <c r="C67" s="108" t="s">
        <v>1706</v>
      </c>
      <c r="D67" s="85" t="s">
        <v>2200</v>
      </c>
      <c r="E67" s="42" t="s">
        <v>1707</v>
      </c>
      <c r="F67" s="114" t="s">
        <v>1708</v>
      </c>
      <c r="G67" s="42" t="s">
        <v>1709</v>
      </c>
      <c r="H67" s="114" t="s">
        <v>1710</v>
      </c>
      <c r="I67" s="42" t="s">
        <v>1711</v>
      </c>
      <c r="J67" s="114" t="s">
        <v>1712</v>
      </c>
    </row>
    <row r="68" spans="1:10">
      <c r="A68" s="7" t="s">
        <v>135</v>
      </c>
      <c r="B68" s="42" t="s">
        <v>1713</v>
      </c>
      <c r="C68" s="108" t="s">
        <v>1714</v>
      </c>
      <c r="D68" s="48" t="s">
        <v>2201</v>
      </c>
      <c r="E68" s="42" t="s">
        <v>1715</v>
      </c>
      <c r="F68" s="114" t="s">
        <v>1716</v>
      </c>
      <c r="G68" s="42" t="s">
        <v>1717</v>
      </c>
      <c r="H68" s="114" t="s">
        <v>1718</v>
      </c>
      <c r="I68" s="42" t="s">
        <v>1719</v>
      </c>
      <c r="J68" s="114" t="s">
        <v>1720</v>
      </c>
    </row>
    <row r="69" spans="1:10">
      <c r="A69" s="7" t="s">
        <v>130</v>
      </c>
      <c r="B69" s="46"/>
      <c r="C69" s="47"/>
      <c r="D69" s="50" t="s">
        <v>187</v>
      </c>
      <c r="E69" s="42" t="s">
        <v>1721</v>
      </c>
      <c r="F69" s="114" t="s">
        <v>1722</v>
      </c>
      <c r="G69" s="42" t="s">
        <v>1723</v>
      </c>
      <c r="H69" s="114" t="s">
        <v>1724</v>
      </c>
      <c r="I69" s="42" t="s">
        <v>1725</v>
      </c>
      <c r="J69" s="114" t="s">
        <v>1726</v>
      </c>
    </row>
    <row r="70" spans="1:10">
      <c r="A70" s="7" t="s">
        <v>133</v>
      </c>
      <c r="B70" s="46"/>
      <c r="C70" s="47"/>
      <c r="D70" s="50" t="s">
        <v>187</v>
      </c>
      <c r="E70" s="42" t="s">
        <v>1727</v>
      </c>
      <c r="F70" s="114" t="s">
        <v>1728</v>
      </c>
      <c r="G70" s="42" t="s">
        <v>1729</v>
      </c>
      <c r="H70" s="114" t="s">
        <v>1730</v>
      </c>
      <c r="I70" s="42" t="s">
        <v>1731</v>
      </c>
      <c r="J70" s="114" t="s">
        <v>1732</v>
      </c>
    </row>
    <row r="71" spans="1:10" ht="15" thickBot="1">
      <c r="A71" s="7" t="s">
        <v>136</v>
      </c>
      <c r="B71" s="46"/>
      <c r="C71" s="47"/>
      <c r="D71" s="50" t="s">
        <v>187</v>
      </c>
      <c r="E71" s="43" t="s">
        <v>1733</v>
      </c>
      <c r="F71" s="115" t="s">
        <v>1734</v>
      </c>
      <c r="G71" s="43" t="s">
        <v>1735</v>
      </c>
      <c r="H71" s="115" t="s">
        <v>1736</v>
      </c>
      <c r="I71" s="43" t="s">
        <v>1737</v>
      </c>
      <c r="J71" s="115" t="s">
        <v>1738</v>
      </c>
    </row>
    <row r="72" spans="1:10" ht="15" thickBot="1">
      <c r="A72" s="15" t="s">
        <v>190</v>
      </c>
      <c r="B72" s="45"/>
      <c r="C72" s="118"/>
      <c r="D72" s="67"/>
      <c r="E72" s="45">
        <f>SUM(E61:E71)</f>
        <v>0</v>
      </c>
      <c r="F72" s="45">
        <f t="shared" ref="F72:J72" si="3">SUM(F61:F71)</f>
        <v>0</v>
      </c>
      <c r="G72" s="45">
        <f t="shared" si="3"/>
        <v>0</v>
      </c>
      <c r="H72" s="45">
        <f t="shared" si="3"/>
        <v>0</v>
      </c>
      <c r="I72" s="45">
        <f t="shared" si="3"/>
        <v>0</v>
      </c>
      <c r="J72" s="45">
        <f t="shared" si="3"/>
        <v>0</v>
      </c>
    </row>
    <row r="73" spans="1:10" ht="15" thickBot="1">
      <c r="A73" s="4"/>
      <c r="B73" s="16"/>
      <c r="C73" s="16"/>
      <c r="D73" s="68"/>
      <c r="E73" s="53"/>
      <c r="F73" s="53"/>
      <c r="G73" s="54"/>
      <c r="H73" s="53"/>
      <c r="I73" s="53"/>
      <c r="J73" s="55"/>
    </row>
    <row r="74" spans="1:10">
      <c r="A74" s="14" t="s">
        <v>137</v>
      </c>
      <c r="B74" s="32"/>
      <c r="C74" s="31" t="s">
        <v>233</v>
      </c>
      <c r="D74" s="72" t="s">
        <v>2236</v>
      </c>
      <c r="E74" s="59"/>
      <c r="F74" s="60"/>
      <c r="G74" s="59"/>
      <c r="H74" s="60"/>
      <c r="I74" s="59"/>
      <c r="J74" s="60"/>
    </row>
    <row r="75" spans="1:10">
      <c r="A75" s="7" t="s">
        <v>138</v>
      </c>
      <c r="B75" s="42" t="s">
        <v>1739</v>
      </c>
      <c r="C75" s="108" t="s">
        <v>1740</v>
      </c>
      <c r="D75" s="85" t="str">
        <f t="shared" ref="D75:D82" si="4">IF(OR(NOT(ISBLANK(B75)), NOT(ISBLANK(C75))), UOMSteelQty, "")</f>
        <v>&lt;#dbvalue(STL_units;0;"KEYUNITS";)&gt;</v>
      </c>
      <c r="E75" s="42" t="s">
        <v>1741</v>
      </c>
      <c r="F75" s="114" t="s">
        <v>1742</v>
      </c>
      <c r="G75" s="42" t="s">
        <v>1743</v>
      </c>
      <c r="H75" s="114" t="s">
        <v>1744</v>
      </c>
      <c r="I75" s="42" t="s">
        <v>1745</v>
      </c>
      <c r="J75" s="114" t="s">
        <v>1746</v>
      </c>
    </row>
    <row r="76" spans="1:10">
      <c r="A76" s="7" t="s">
        <v>139</v>
      </c>
      <c r="B76" s="42" t="s">
        <v>1747</v>
      </c>
      <c r="C76" s="108" t="s">
        <v>1748</v>
      </c>
      <c r="D76" s="85" t="str">
        <f t="shared" si="4"/>
        <v>&lt;#dbvalue(STL_units;0;"KEYUNITS";)&gt;</v>
      </c>
      <c r="E76" s="42" t="s">
        <v>1749</v>
      </c>
      <c r="F76" s="114" t="s">
        <v>1750</v>
      </c>
      <c r="G76" s="42" t="s">
        <v>1751</v>
      </c>
      <c r="H76" s="114" t="s">
        <v>1752</v>
      </c>
      <c r="I76" s="42" t="s">
        <v>1753</v>
      </c>
      <c r="J76" s="114" t="s">
        <v>1754</v>
      </c>
    </row>
    <row r="77" spans="1:10">
      <c r="A77" s="7" t="s">
        <v>140</v>
      </c>
      <c r="B77" s="42" t="s">
        <v>1755</v>
      </c>
      <c r="C77" s="108" t="s">
        <v>1756</v>
      </c>
      <c r="D77" s="85" t="str">
        <f t="shared" si="4"/>
        <v>&lt;#dbvalue(STL_units;0;"KEYUNITS";)&gt;</v>
      </c>
      <c r="E77" s="42" t="s">
        <v>1757</v>
      </c>
      <c r="F77" s="114" t="s">
        <v>1758</v>
      </c>
      <c r="G77" s="42" t="s">
        <v>1759</v>
      </c>
      <c r="H77" s="114" t="s">
        <v>1760</v>
      </c>
      <c r="I77" s="42" t="s">
        <v>1761</v>
      </c>
      <c r="J77" s="114" t="s">
        <v>1762</v>
      </c>
    </row>
    <row r="78" spans="1:10">
      <c r="A78" s="7" t="s">
        <v>141</v>
      </c>
      <c r="B78" s="42" t="s">
        <v>1763</v>
      </c>
      <c r="C78" s="108" t="s">
        <v>1764</v>
      </c>
      <c r="D78" s="85" t="str">
        <f t="shared" si="4"/>
        <v>&lt;#dbvalue(STL_units;0;"KEYUNITS";)&gt;</v>
      </c>
      <c r="E78" s="42" t="s">
        <v>1765</v>
      </c>
      <c r="F78" s="114" t="s">
        <v>1766</v>
      </c>
      <c r="G78" s="42" t="s">
        <v>1767</v>
      </c>
      <c r="H78" s="114" t="s">
        <v>1768</v>
      </c>
      <c r="I78" s="42" t="s">
        <v>1769</v>
      </c>
      <c r="J78" s="114" t="s">
        <v>1770</v>
      </c>
    </row>
    <row r="79" spans="1:10">
      <c r="A79" s="7" t="s">
        <v>142</v>
      </c>
      <c r="B79" s="42" t="s">
        <v>1771</v>
      </c>
      <c r="C79" s="108" t="s">
        <v>1772</v>
      </c>
      <c r="D79" s="85" t="str">
        <f t="shared" si="4"/>
        <v>&lt;#dbvalue(STL_units;0;"KEYUNITS";)&gt;</v>
      </c>
      <c r="E79" s="42" t="s">
        <v>1773</v>
      </c>
      <c r="F79" s="114" t="s">
        <v>1774</v>
      </c>
      <c r="G79" s="42" t="s">
        <v>1775</v>
      </c>
      <c r="H79" s="114" t="s">
        <v>1776</v>
      </c>
      <c r="I79" s="42" t="s">
        <v>1777</v>
      </c>
      <c r="J79" s="114" t="s">
        <v>1778</v>
      </c>
    </row>
    <row r="80" spans="1:10">
      <c r="A80" s="7" t="s">
        <v>172</v>
      </c>
      <c r="B80" s="42" t="s">
        <v>1779</v>
      </c>
      <c r="C80" s="108" t="s">
        <v>1780</v>
      </c>
      <c r="D80" s="85" t="str">
        <f t="shared" si="4"/>
        <v>&lt;#dbvalue(STL_units;0;"KEYUNITS";)&gt;</v>
      </c>
      <c r="E80" s="42" t="s">
        <v>1781</v>
      </c>
      <c r="F80" s="114" t="s">
        <v>1782</v>
      </c>
      <c r="G80" s="42" t="s">
        <v>1783</v>
      </c>
      <c r="H80" s="114" t="s">
        <v>1784</v>
      </c>
      <c r="I80" s="42" t="s">
        <v>1785</v>
      </c>
      <c r="J80" s="114" t="s">
        <v>1786</v>
      </c>
    </row>
    <row r="81" spans="1:10">
      <c r="A81" s="7" t="s">
        <v>143</v>
      </c>
      <c r="B81" s="42" t="s">
        <v>1787</v>
      </c>
      <c r="C81" s="108" t="s">
        <v>1788</v>
      </c>
      <c r="D81" s="85" t="str">
        <f t="shared" si="4"/>
        <v>&lt;#dbvalue(STL_units;0;"KEYUNITS";)&gt;</v>
      </c>
      <c r="E81" s="42" t="s">
        <v>1789</v>
      </c>
      <c r="F81" s="114" t="s">
        <v>1790</v>
      </c>
      <c r="G81" s="42" t="s">
        <v>1791</v>
      </c>
      <c r="H81" s="114" t="s">
        <v>1792</v>
      </c>
      <c r="I81" s="42" t="s">
        <v>1793</v>
      </c>
      <c r="J81" s="114" t="s">
        <v>1794</v>
      </c>
    </row>
    <row r="82" spans="1:10" ht="15" thickBot="1">
      <c r="A82" s="7" t="s">
        <v>144</v>
      </c>
      <c r="B82" s="43" t="s">
        <v>1795</v>
      </c>
      <c r="C82" s="44" t="s">
        <v>1796</v>
      </c>
      <c r="D82" s="112" t="str">
        <f t="shared" si="4"/>
        <v>&lt;#dbvalue(STL_units;0;"KEYUNITS";)&gt;</v>
      </c>
      <c r="E82" s="43" t="s">
        <v>1797</v>
      </c>
      <c r="F82" s="115" t="s">
        <v>1798</v>
      </c>
      <c r="G82" s="43" t="s">
        <v>1799</v>
      </c>
      <c r="H82" s="115" t="s">
        <v>1800</v>
      </c>
      <c r="I82" s="43" t="s">
        <v>1801</v>
      </c>
      <c r="J82" s="115" t="s">
        <v>1802</v>
      </c>
    </row>
    <row r="83" spans="1:10" ht="15" thickBot="1">
      <c r="A83" s="15" t="s">
        <v>191</v>
      </c>
      <c r="B83" s="123">
        <f>SUM(B75:B82)</f>
        <v>0</v>
      </c>
      <c r="C83" s="124">
        <f>SUM(C75:C82)</f>
        <v>0</v>
      </c>
      <c r="D83" s="113" t="str">
        <f>IF(OR(NOT(ISBLANK(B83)), NOT(ISBLANK(C83))), UOMSteelQty, "")</f>
        <v>&lt;#dbvalue(STL_units;0;"KEYUNITS";)&gt;</v>
      </c>
      <c r="E83" s="45">
        <f>SUM(E75:E82)</f>
        <v>0</v>
      </c>
      <c r="F83" s="45">
        <f t="shared" ref="F83:J83" si="5">SUM(F75:F82)</f>
        <v>0</v>
      </c>
      <c r="G83" s="45">
        <f t="shared" si="5"/>
        <v>0</v>
      </c>
      <c r="H83" s="45">
        <f t="shared" si="5"/>
        <v>0</v>
      </c>
      <c r="I83" s="45">
        <f t="shared" si="5"/>
        <v>0</v>
      </c>
      <c r="J83" s="45">
        <f t="shared" si="5"/>
        <v>0</v>
      </c>
    </row>
    <row r="84" spans="1:10" ht="15" thickBot="1">
      <c r="A84" s="4"/>
      <c r="B84" s="16"/>
      <c r="C84" s="16"/>
      <c r="D84" s="68"/>
      <c r="E84" s="53"/>
      <c r="F84" s="53"/>
      <c r="G84" s="53"/>
      <c r="H84" s="53"/>
      <c r="I84" s="54"/>
      <c r="J84" s="55"/>
    </row>
    <row r="85" spans="1:10">
      <c r="A85" s="14" t="s">
        <v>145</v>
      </c>
      <c r="B85" s="32"/>
      <c r="C85" s="31" t="s">
        <v>380</v>
      </c>
      <c r="D85" s="49" t="s">
        <v>2240</v>
      </c>
      <c r="E85" s="59"/>
      <c r="F85" s="60"/>
      <c r="G85" s="59"/>
      <c r="H85" s="60"/>
      <c r="I85" s="59"/>
      <c r="J85" s="60"/>
    </row>
    <row r="86" spans="1:10">
      <c r="A86" s="8" t="s">
        <v>175</v>
      </c>
      <c r="B86" s="42" t="s">
        <v>1803</v>
      </c>
      <c r="C86" s="108" t="s">
        <v>1804</v>
      </c>
      <c r="D86" s="85" t="str">
        <f>IF(OR(NOT(ISBLANK(B86)), NOT(ISBLANK(C86))), "EACH", "")</f>
        <v>EACH</v>
      </c>
      <c r="E86" s="42" t="s">
        <v>1805</v>
      </c>
      <c r="F86" s="114" t="s">
        <v>1806</v>
      </c>
      <c r="G86" s="42" t="s">
        <v>1807</v>
      </c>
      <c r="H86" s="114" t="s">
        <v>1808</v>
      </c>
      <c r="I86" s="42" t="s">
        <v>1809</v>
      </c>
      <c r="J86" s="114" t="s">
        <v>1810</v>
      </c>
    </row>
    <row r="87" spans="1:10">
      <c r="A87" s="9" t="s">
        <v>176</v>
      </c>
      <c r="B87" s="42" t="s">
        <v>1811</v>
      </c>
      <c r="C87" s="108" t="s">
        <v>1812</v>
      </c>
      <c r="D87" s="85" t="str">
        <f>IF(OR(NOT(ISBLANK(B87)), NOT(ISBLANK(C87))), "EACH", "")</f>
        <v>EACH</v>
      </c>
      <c r="E87" s="42" t="s">
        <v>1813</v>
      </c>
      <c r="F87" s="114" t="s">
        <v>1814</v>
      </c>
      <c r="G87" s="42" t="s">
        <v>1815</v>
      </c>
      <c r="H87" s="114" t="s">
        <v>1816</v>
      </c>
      <c r="I87" s="42" t="s">
        <v>1817</v>
      </c>
      <c r="J87" s="114" t="s">
        <v>1818</v>
      </c>
    </row>
    <row r="88" spans="1:10">
      <c r="A88" s="9" t="s">
        <v>183</v>
      </c>
      <c r="B88" s="42" t="s">
        <v>1819</v>
      </c>
      <c r="C88" s="108" t="s">
        <v>1820</v>
      </c>
      <c r="D88" s="85" t="str">
        <f>IF(OR(NOT(ISBLANK(B88)), NOT(ISBLANK(C88))), UOMInstrumentRunLength, "")</f>
        <v>&lt;#dbvalue(INS_units;0;"KEYUNITS";)&gt;</v>
      </c>
      <c r="E88" s="42" t="s">
        <v>1821</v>
      </c>
      <c r="F88" s="114" t="s">
        <v>1822</v>
      </c>
      <c r="G88" s="42" t="s">
        <v>1823</v>
      </c>
      <c r="H88" s="114" t="s">
        <v>1824</v>
      </c>
      <c r="I88" s="42" t="s">
        <v>1825</v>
      </c>
      <c r="J88" s="114" t="s">
        <v>1826</v>
      </c>
    </row>
    <row r="89" spans="1:10">
      <c r="A89" s="9" t="s">
        <v>420</v>
      </c>
      <c r="B89" s="42" t="s">
        <v>1827</v>
      </c>
      <c r="C89" s="108" t="s">
        <v>1828</v>
      </c>
      <c r="D89" s="85" t="str">
        <f>IF(OR(NOT(ISBLANK(B89)), NOT(ISBLANK(C89))), "EACH", "")</f>
        <v>EACH</v>
      </c>
      <c r="E89" s="42" t="s">
        <v>1829</v>
      </c>
      <c r="F89" s="114" t="s">
        <v>1830</v>
      </c>
      <c r="G89" s="42" t="s">
        <v>1831</v>
      </c>
      <c r="H89" s="114" t="s">
        <v>1832</v>
      </c>
      <c r="I89" s="42" t="s">
        <v>1833</v>
      </c>
      <c r="J89" s="114" t="s">
        <v>1834</v>
      </c>
    </row>
    <row r="90" spans="1:10">
      <c r="A90" s="9" t="s">
        <v>436</v>
      </c>
      <c r="B90" s="42" t="s">
        <v>1835</v>
      </c>
      <c r="C90" s="108" t="s">
        <v>1836</v>
      </c>
      <c r="D90" s="85" t="str">
        <f>IF(OR(NOT(ISBLANK(B90)), NOT(ISBLANK(C90))), UOMInstrumentRunLength, "")</f>
        <v>&lt;#dbvalue(INS_units;0;"KEYUNITS";)&gt;</v>
      </c>
      <c r="E90" s="42" t="s">
        <v>1837</v>
      </c>
      <c r="F90" s="114" t="s">
        <v>1838</v>
      </c>
      <c r="G90" s="42" t="s">
        <v>1839</v>
      </c>
      <c r="H90" s="114" t="s">
        <v>1840</v>
      </c>
      <c r="I90" s="42" t="s">
        <v>1841</v>
      </c>
      <c r="J90" s="114" t="s">
        <v>1842</v>
      </c>
    </row>
    <row r="91" spans="1:10">
      <c r="A91" s="9" t="s">
        <v>435</v>
      </c>
      <c r="B91" s="42" t="s">
        <v>1843</v>
      </c>
      <c r="C91" s="108" t="s">
        <v>1844</v>
      </c>
      <c r="D91" s="85" t="str">
        <f>IF(OR(NOT(ISBLANK(B91)), NOT(ISBLANK(C91))), UOMInstrumentRunLength, "")</f>
        <v>&lt;#dbvalue(INS_units;0;"KEYUNITS";)&gt;</v>
      </c>
      <c r="E91" s="42" t="s">
        <v>1845</v>
      </c>
      <c r="F91" s="114" t="s">
        <v>1846</v>
      </c>
      <c r="G91" s="42" t="s">
        <v>1847</v>
      </c>
      <c r="H91" s="114" t="s">
        <v>1848</v>
      </c>
      <c r="I91" s="42" t="s">
        <v>1849</v>
      </c>
      <c r="J91" s="114" t="s">
        <v>1850</v>
      </c>
    </row>
    <row r="92" spans="1:10">
      <c r="A92" s="9" t="s">
        <v>184</v>
      </c>
      <c r="B92" s="120"/>
      <c r="C92" s="121"/>
      <c r="D92" s="50" t="s">
        <v>187</v>
      </c>
      <c r="E92" s="42" t="s">
        <v>1851</v>
      </c>
      <c r="F92" s="114" t="s">
        <v>1852</v>
      </c>
      <c r="G92" s="42" t="s">
        <v>1853</v>
      </c>
      <c r="H92" s="114" t="s">
        <v>1854</v>
      </c>
      <c r="I92" s="42" t="s">
        <v>1855</v>
      </c>
      <c r="J92" s="114" t="s">
        <v>1856</v>
      </c>
    </row>
    <row r="93" spans="1:10">
      <c r="A93" s="9" t="s">
        <v>179</v>
      </c>
      <c r="B93" s="120"/>
      <c r="C93" s="121"/>
      <c r="D93" s="50" t="s">
        <v>187</v>
      </c>
      <c r="E93" s="42" t="s">
        <v>1857</v>
      </c>
      <c r="F93" s="114" t="s">
        <v>1858</v>
      </c>
      <c r="G93" s="42" t="s">
        <v>1859</v>
      </c>
      <c r="H93" s="114" t="s">
        <v>1860</v>
      </c>
      <c r="I93" s="42" t="s">
        <v>1861</v>
      </c>
      <c r="J93" s="114" t="s">
        <v>1862</v>
      </c>
    </row>
    <row r="94" spans="1:10">
      <c r="A94" s="9" t="s">
        <v>174</v>
      </c>
      <c r="B94" s="120"/>
      <c r="C94" s="121"/>
      <c r="D94" s="50" t="s">
        <v>187</v>
      </c>
      <c r="E94" s="42" t="s">
        <v>1863</v>
      </c>
      <c r="F94" s="114" t="s">
        <v>1864</v>
      </c>
      <c r="G94" s="42" t="s">
        <v>1865</v>
      </c>
      <c r="H94" s="114" t="s">
        <v>1866</v>
      </c>
      <c r="I94" s="42" t="s">
        <v>1867</v>
      </c>
      <c r="J94" s="114" t="s">
        <v>1868</v>
      </c>
    </row>
    <row r="95" spans="1:10" ht="15" thickBot="1">
      <c r="A95" s="9" t="s">
        <v>173</v>
      </c>
      <c r="B95" s="120"/>
      <c r="C95" s="121"/>
      <c r="D95" s="50" t="s">
        <v>187</v>
      </c>
      <c r="E95" s="43" t="s">
        <v>1869</v>
      </c>
      <c r="F95" s="115" t="s">
        <v>1870</v>
      </c>
      <c r="G95" s="43" t="s">
        <v>1871</v>
      </c>
      <c r="H95" s="115" t="s">
        <v>1872</v>
      </c>
      <c r="I95" s="43" t="s">
        <v>1873</v>
      </c>
      <c r="J95" s="115" t="s">
        <v>1874</v>
      </c>
    </row>
    <row r="96" spans="1:10" ht="15" thickBot="1">
      <c r="A96" s="15" t="s">
        <v>192</v>
      </c>
      <c r="B96" s="45"/>
      <c r="C96" s="118"/>
      <c r="D96" s="113"/>
      <c r="E96" s="45">
        <f>SUM(E86:E95)</f>
        <v>0</v>
      </c>
      <c r="F96" s="45">
        <f t="shared" ref="F96:J96" si="6">SUM(F86:F95)</f>
        <v>0</v>
      </c>
      <c r="G96" s="45">
        <f t="shared" si="6"/>
        <v>0</v>
      </c>
      <c r="H96" s="45">
        <f t="shared" si="6"/>
        <v>0</v>
      </c>
      <c r="I96" s="45">
        <f t="shared" si="6"/>
        <v>0</v>
      </c>
      <c r="J96" s="45">
        <f t="shared" si="6"/>
        <v>0</v>
      </c>
    </row>
    <row r="97" spans="1:10" ht="15" thickBot="1">
      <c r="A97" s="5"/>
      <c r="B97" s="16"/>
      <c r="C97" s="16"/>
      <c r="D97" s="68"/>
      <c r="E97" s="53"/>
      <c r="F97" s="53"/>
      <c r="G97" s="53"/>
      <c r="H97" s="53"/>
      <c r="I97" s="54"/>
      <c r="J97" s="55"/>
    </row>
    <row r="98" spans="1:10">
      <c r="A98" s="14" t="s">
        <v>146</v>
      </c>
      <c r="B98" s="32"/>
      <c r="C98" s="31" t="s">
        <v>380</v>
      </c>
      <c r="D98" s="49" t="s">
        <v>2239</v>
      </c>
      <c r="E98" s="59"/>
      <c r="F98" s="60"/>
      <c r="G98" s="59"/>
      <c r="H98" s="60"/>
      <c r="I98" s="59"/>
      <c r="J98" s="60"/>
    </row>
    <row r="99" spans="1:10">
      <c r="A99" s="9" t="s">
        <v>164</v>
      </c>
      <c r="B99" s="42" t="s">
        <v>1875</v>
      </c>
      <c r="C99" s="108" t="s">
        <v>1876</v>
      </c>
      <c r="D99" s="85" t="str">
        <f t="shared" ref="D99:D105" si="7">IF(OR(NOT(ISBLANK(B99)), NOT(ISBLANK(C99))), UOMElectricalWireLength, "")</f>
        <v>&lt;#dbvalue(ELC_units;0;"KEYUNITS";)&gt;</v>
      </c>
      <c r="E99" s="42" t="s">
        <v>1877</v>
      </c>
      <c r="F99" s="114" t="s">
        <v>1878</v>
      </c>
      <c r="G99" s="42" t="s">
        <v>1879</v>
      </c>
      <c r="H99" s="114" t="s">
        <v>1880</v>
      </c>
      <c r="I99" s="42" t="s">
        <v>1881</v>
      </c>
      <c r="J99" s="114" t="s">
        <v>1882</v>
      </c>
    </row>
    <row r="100" spans="1:10">
      <c r="A100" s="9" t="s">
        <v>165</v>
      </c>
      <c r="B100" s="42" t="s">
        <v>1883</v>
      </c>
      <c r="C100" s="108" t="s">
        <v>1884</v>
      </c>
      <c r="D100" s="85" t="str">
        <f t="shared" si="7"/>
        <v>&lt;#dbvalue(ELC_units;0;"KEYUNITS";)&gt;</v>
      </c>
      <c r="E100" s="42" t="s">
        <v>1885</v>
      </c>
      <c r="F100" s="114" t="s">
        <v>1886</v>
      </c>
      <c r="G100" s="42" t="s">
        <v>1887</v>
      </c>
      <c r="H100" s="114" t="s">
        <v>1888</v>
      </c>
      <c r="I100" s="42" t="s">
        <v>1889</v>
      </c>
      <c r="J100" s="114" t="s">
        <v>1890</v>
      </c>
    </row>
    <row r="101" spans="1:10">
      <c r="A101" s="9" t="s">
        <v>166</v>
      </c>
      <c r="B101" s="42" t="s">
        <v>1891</v>
      </c>
      <c r="C101" s="108" t="s">
        <v>1892</v>
      </c>
      <c r="D101" s="85" t="str">
        <f t="shared" si="7"/>
        <v>&lt;#dbvalue(ELC_units;0;"KEYUNITS";)&gt;</v>
      </c>
      <c r="E101" s="42" t="s">
        <v>1893</v>
      </c>
      <c r="F101" s="114" t="s">
        <v>1894</v>
      </c>
      <c r="G101" s="42" t="s">
        <v>1895</v>
      </c>
      <c r="H101" s="114" t="s">
        <v>1896</v>
      </c>
      <c r="I101" s="42" t="s">
        <v>1897</v>
      </c>
      <c r="J101" s="114" t="s">
        <v>1898</v>
      </c>
    </row>
    <row r="102" spans="1:10">
      <c r="A102" s="9" t="s">
        <v>167</v>
      </c>
      <c r="B102" s="42" t="s">
        <v>1899</v>
      </c>
      <c r="C102" s="108" t="s">
        <v>1900</v>
      </c>
      <c r="D102" s="85" t="str">
        <f t="shared" si="7"/>
        <v>&lt;#dbvalue(ELC_units;0;"KEYUNITS";)&gt;</v>
      </c>
      <c r="E102" s="42" t="s">
        <v>1901</v>
      </c>
      <c r="F102" s="114" t="s">
        <v>1902</v>
      </c>
      <c r="G102" s="42" t="s">
        <v>1903</v>
      </c>
      <c r="H102" s="114" t="s">
        <v>1904</v>
      </c>
      <c r="I102" s="42" t="s">
        <v>1905</v>
      </c>
      <c r="J102" s="114" t="s">
        <v>1906</v>
      </c>
    </row>
    <row r="103" spans="1:10">
      <c r="A103" s="9" t="s">
        <v>168</v>
      </c>
      <c r="B103" s="42" t="s">
        <v>1907</v>
      </c>
      <c r="C103" s="108" t="s">
        <v>1908</v>
      </c>
      <c r="D103" s="85" t="str">
        <f t="shared" si="7"/>
        <v>&lt;#dbvalue(ELC_units;0;"KEYUNITS";)&gt;</v>
      </c>
      <c r="E103" s="42" t="s">
        <v>1909</v>
      </c>
      <c r="F103" s="114" t="s">
        <v>1910</v>
      </c>
      <c r="G103" s="42" t="s">
        <v>1911</v>
      </c>
      <c r="H103" s="114" t="s">
        <v>1912</v>
      </c>
      <c r="I103" s="42" t="s">
        <v>1913</v>
      </c>
      <c r="J103" s="114" t="s">
        <v>1914</v>
      </c>
    </row>
    <row r="104" spans="1:10">
      <c r="A104" s="9" t="s">
        <v>433</v>
      </c>
      <c r="B104" s="42" t="s">
        <v>1915</v>
      </c>
      <c r="C104" s="108" t="s">
        <v>1916</v>
      </c>
      <c r="D104" s="85" t="str">
        <f t="shared" si="7"/>
        <v>&lt;#dbvalue(ELC_units;0;"KEYUNITS";)&gt;</v>
      </c>
      <c r="E104" s="42" t="s">
        <v>1917</v>
      </c>
      <c r="F104" s="114" t="s">
        <v>1918</v>
      </c>
      <c r="G104" s="42" t="s">
        <v>1919</v>
      </c>
      <c r="H104" s="114" t="s">
        <v>1920</v>
      </c>
      <c r="I104" s="42" t="s">
        <v>1921</v>
      </c>
      <c r="J104" s="114" t="s">
        <v>1922</v>
      </c>
    </row>
    <row r="105" spans="1:10">
      <c r="A105" s="9" t="s">
        <v>434</v>
      </c>
      <c r="B105" s="42" t="s">
        <v>1923</v>
      </c>
      <c r="C105" s="108" t="s">
        <v>1924</v>
      </c>
      <c r="D105" s="85" t="str">
        <f t="shared" si="7"/>
        <v>&lt;#dbvalue(ELC_units;0;"KEYUNITS";)&gt;</v>
      </c>
      <c r="E105" s="42" t="s">
        <v>1925</v>
      </c>
      <c r="F105" s="114" t="s">
        <v>1926</v>
      </c>
      <c r="G105" s="42" t="s">
        <v>1927</v>
      </c>
      <c r="H105" s="114" t="s">
        <v>1928</v>
      </c>
      <c r="I105" s="42" t="s">
        <v>1929</v>
      </c>
      <c r="J105" s="114" t="s">
        <v>1930</v>
      </c>
    </row>
    <row r="106" spans="1:10">
      <c r="A106" s="9" t="s">
        <v>180</v>
      </c>
      <c r="B106" s="42" t="s">
        <v>1931</v>
      </c>
      <c r="C106" s="108" t="s">
        <v>1932</v>
      </c>
      <c r="D106" s="85" t="str">
        <f t="shared" ref="D106:D108" si="8">IF(OR(NOT(ISBLANK(B106)), NOT(ISBLANK(C106))), "EACH", "")</f>
        <v>EACH</v>
      </c>
      <c r="E106" s="42" t="s">
        <v>1933</v>
      </c>
      <c r="F106" s="114" t="s">
        <v>1934</v>
      </c>
      <c r="G106" s="42" t="s">
        <v>1935</v>
      </c>
      <c r="H106" s="114" t="s">
        <v>1936</v>
      </c>
      <c r="I106" s="42" t="s">
        <v>1937</v>
      </c>
      <c r="J106" s="114" t="s">
        <v>1938</v>
      </c>
    </row>
    <row r="107" spans="1:10">
      <c r="A107" s="9" t="s">
        <v>181</v>
      </c>
      <c r="B107" s="42" t="s">
        <v>1939</v>
      </c>
      <c r="C107" s="108" t="s">
        <v>1940</v>
      </c>
      <c r="D107" s="85" t="str">
        <f t="shared" si="8"/>
        <v>EACH</v>
      </c>
      <c r="E107" s="42" t="s">
        <v>1941</v>
      </c>
      <c r="F107" s="114" t="s">
        <v>1942</v>
      </c>
      <c r="G107" s="42" t="s">
        <v>1943</v>
      </c>
      <c r="H107" s="114" t="s">
        <v>1944</v>
      </c>
      <c r="I107" s="42" t="s">
        <v>1945</v>
      </c>
      <c r="J107" s="114" t="s">
        <v>1946</v>
      </c>
    </row>
    <row r="108" spans="1:10">
      <c r="A108" s="9" t="s">
        <v>182</v>
      </c>
      <c r="B108" s="42" t="s">
        <v>1947</v>
      </c>
      <c r="C108" s="108" t="s">
        <v>1948</v>
      </c>
      <c r="D108" s="85" t="str">
        <f t="shared" si="8"/>
        <v>EACH</v>
      </c>
      <c r="E108" s="42" t="s">
        <v>1949</v>
      </c>
      <c r="F108" s="114" t="s">
        <v>1950</v>
      </c>
      <c r="G108" s="42" t="s">
        <v>1951</v>
      </c>
      <c r="H108" s="114" t="s">
        <v>1952</v>
      </c>
      <c r="I108" s="42" t="s">
        <v>1953</v>
      </c>
      <c r="J108" s="114" t="s">
        <v>1954</v>
      </c>
    </row>
    <row r="109" spans="1:10">
      <c r="A109" s="9" t="s">
        <v>163</v>
      </c>
      <c r="B109" s="42" t="s">
        <v>1955</v>
      </c>
      <c r="C109" s="108" t="s">
        <v>1956</v>
      </c>
      <c r="D109" s="85" t="s">
        <v>2253</v>
      </c>
      <c r="E109" s="42" t="s">
        <v>1957</v>
      </c>
      <c r="F109" s="114" t="s">
        <v>1958</v>
      </c>
      <c r="G109" s="42" t="s">
        <v>1959</v>
      </c>
      <c r="H109" s="114" t="s">
        <v>1960</v>
      </c>
      <c r="I109" s="42" t="s">
        <v>1961</v>
      </c>
      <c r="J109" s="114" t="s">
        <v>1962</v>
      </c>
    </row>
    <row r="110" spans="1:10">
      <c r="A110" s="9" t="s">
        <v>232</v>
      </c>
      <c r="B110" s="120"/>
      <c r="C110" s="121"/>
      <c r="D110" s="50" t="s">
        <v>187</v>
      </c>
      <c r="E110" s="43" t="s">
        <v>1963</v>
      </c>
      <c r="F110" s="115" t="s">
        <v>1964</v>
      </c>
      <c r="G110" s="43" t="s">
        <v>1965</v>
      </c>
      <c r="H110" s="115" t="s">
        <v>1966</v>
      </c>
      <c r="I110" s="43" t="s">
        <v>1967</v>
      </c>
      <c r="J110" s="115" t="s">
        <v>1968</v>
      </c>
    </row>
    <row r="111" spans="1:10" ht="15" thickBot="1">
      <c r="A111" s="9" t="s">
        <v>162</v>
      </c>
      <c r="B111" s="120"/>
      <c r="C111" s="121"/>
      <c r="D111" s="50" t="s">
        <v>187</v>
      </c>
      <c r="E111" s="43" t="s">
        <v>1969</v>
      </c>
      <c r="F111" s="115" t="s">
        <v>1970</v>
      </c>
      <c r="G111" s="43" t="s">
        <v>1971</v>
      </c>
      <c r="H111" s="115" t="s">
        <v>1972</v>
      </c>
      <c r="I111" s="43" t="s">
        <v>1973</v>
      </c>
      <c r="J111" s="115" t="s">
        <v>1974</v>
      </c>
    </row>
    <row r="112" spans="1:10" ht="15" thickBot="1">
      <c r="A112" s="15" t="s">
        <v>193</v>
      </c>
      <c r="B112" s="45"/>
      <c r="C112" s="118"/>
      <c r="D112" s="113"/>
      <c r="E112" s="45">
        <f>SUM(E99:E111)</f>
        <v>0</v>
      </c>
      <c r="F112" s="45">
        <f t="shared" ref="F112:J112" si="9">SUM(F99:F111)</f>
        <v>0</v>
      </c>
      <c r="G112" s="45">
        <f t="shared" si="9"/>
        <v>0</v>
      </c>
      <c r="H112" s="45">
        <f t="shared" si="9"/>
        <v>0</v>
      </c>
      <c r="I112" s="45">
        <f t="shared" si="9"/>
        <v>0</v>
      </c>
      <c r="J112" s="45">
        <f t="shared" si="9"/>
        <v>0</v>
      </c>
    </row>
    <row r="113" spans="1:10" ht="15" thickBot="1">
      <c r="A113" s="5"/>
      <c r="B113" s="16"/>
      <c r="C113" s="16"/>
      <c r="D113" s="68"/>
      <c r="E113" s="53"/>
      <c r="F113" s="53"/>
      <c r="G113" s="53"/>
      <c r="H113" s="53"/>
      <c r="I113" s="53"/>
      <c r="J113" s="55"/>
    </row>
    <row r="114" spans="1:10">
      <c r="A114" s="14" t="s">
        <v>171</v>
      </c>
      <c r="B114" s="32"/>
      <c r="C114" s="33"/>
      <c r="D114" s="69"/>
      <c r="E114" s="59"/>
      <c r="F114" s="60"/>
      <c r="G114" s="59"/>
      <c r="H114" s="60"/>
      <c r="I114" s="59"/>
      <c r="J114" s="60"/>
    </row>
    <row r="115" spans="1:10" ht="15" thickBot="1">
      <c r="A115" s="9" t="s">
        <v>169</v>
      </c>
      <c r="B115" s="108" t="s">
        <v>2167</v>
      </c>
      <c r="C115" s="108" t="s">
        <v>1975</v>
      </c>
      <c r="D115" s="85" t="str">
        <f>IF(OR(NOT(ISBLANK(B115)), NOT(ISBLANK(C115))), UOMElectricalWireLength, "")</f>
        <v>&lt;#dbvalue(ELC_units;0;"KEYUNITS";)&gt;</v>
      </c>
      <c r="E115" s="117" t="s">
        <v>2188</v>
      </c>
      <c r="F115" s="117" t="s">
        <v>1976</v>
      </c>
      <c r="G115" s="117" t="s">
        <v>1977</v>
      </c>
      <c r="H115" s="117" t="s">
        <v>1978</v>
      </c>
      <c r="I115" s="117" t="s">
        <v>1979</v>
      </c>
      <c r="J115" s="117" t="s">
        <v>1980</v>
      </c>
    </row>
    <row r="116" spans="1:10" ht="15" thickBot="1">
      <c r="A116" s="19" t="s">
        <v>170</v>
      </c>
      <c r="B116" s="122" t="s">
        <v>2168</v>
      </c>
      <c r="C116" s="122" t="s">
        <v>1981</v>
      </c>
      <c r="D116" s="85" t="str">
        <f>IF(OR(NOT(ISBLANK(B116)), NOT(ISBLANK(C116))), UOMElectricalWireLength, "")</f>
        <v>&lt;#dbvalue(ELC_units;0;"KEYUNITS";)&gt;</v>
      </c>
      <c r="E116" s="117" t="s">
        <v>2189</v>
      </c>
      <c r="F116" s="117" t="s">
        <v>1982</v>
      </c>
      <c r="G116" s="117" t="s">
        <v>1983</v>
      </c>
      <c r="H116" s="117" t="s">
        <v>1984</v>
      </c>
      <c r="I116" s="117" t="s">
        <v>1985</v>
      </c>
      <c r="J116" s="117" t="s">
        <v>1986</v>
      </c>
    </row>
    <row r="117" spans="1:10" ht="15" thickBot="1">
      <c r="A117" s="4"/>
      <c r="C117" s="68"/>
      <c r="D117" s="53"/>
      <c r="E117" s="53"/>
      <c r="F117" s="53"/>
      <c r="G117" s="53"/>
      <c r="H117" s="53"/>
      <c r="I117" s="55"/>
      <c r="J117" s="55"/>
    </row>
    <row r="118" spans="1:10" ht="15">
      <c r="A118" s="14" t="s">
        <v>147</v>
      </c>
      <c r="B118" s="33"/>
      <c r="C118" s="31" t="s">
        <v>386</v>
      </c>
      <c r="D118" s="59"/>
      <c r="E118" s="60"/>
      <c r="F118" s="59"/>
      <c r="G118" s="60"/>
      <c r="H118" s="59"/>
      <c r="I118" s="60"/>
      <c r="J118" s="60"/>
    </row>
    <row r="119" spans="1:10">
      <c r="A119" s="7" t="s">
        <v>148</v>
      </c>
      <c r="B119" s="108" t="s">
        <v>2169</v>
      </c>
      <c r="C119" s="108" t="s">
        <v>1987</v>
      </c>
      <c r="D119" s="72" t="s">
        <v>2173</v>
      </c>
      <c r="E119" s="42" t="s">
        <v>1988</v>
      </c>
      <c r="F119" s="114" t="s">
        <v>1989</v>
      </c>
      <c r="G119" s="42" t="s">
        <v>1990</v>
      </c>
      <c r="H119" s="114" t="s">
        <v>1991</v>
      </c>
      <c r="I119" s="42" t="s">
        <v>1992</v>
      </c>
      <c r="J119" s="114" t="s">
        <v>1993</v>
      </c>
    </row>
    <row r="120" spans="1:10">
      <c r="A120" s="7" t="s">
        <v>149</v>
      </c>
      <c r="B120" s="108" t="s">
        <v>2170</v>
      </c>
      <c r="C120" s="108" t="s">
        <v>1994</v>
      </c>
      <c r="D120" s="72" t="s">
        <v>2174</v>
      </c>
      <c r="E120" s="42" t="s">
        <v>1995</v>
      </c>
      <c r="F120" s="114" t="s">
        <v>1996</v>
      </c>
      <c r="G120" s="42" t="s">
        <v>1997</v>
      </c>
      <c r="H120" s="114" t="s">
        <v>1998</v>
      </c>
      <c r="I120" s="42" t="s">
        <v>1999</v>
      </c>
      <c r="J120" s="114" t="s">
        <v>2000</v>
      </c>
    </row>
    <row r="121" spans="1:10">
      <c r="A121" s="7" t="s">
        <v>150</v>
      </c>
      <c r="B121" s="108" t="s">
        <v>2171</v>
      </c>
      <c r="C121" s="108" t="s">
        <v>2001</v>
      </c>
      <c r="D121" s="72" t="s">
        <v>2175</v>
      </c>
      <c r="E121" s="42" t="s">
        <v>2002</v>
      </c>
      <c r="F121" s="114" t="s">
        <v>2003</v>
      </c>
      <c r="G121" s="42" t="s">
        <v>2004</v>
      </c>
      <c r="H121" s="114" t="s">
        <v>2005</v>
      </c>
      <c r="I121" s="42" t="s">
        <v>2006</v>
      </c>
      <c r="J121" s="114" t="s">
        <v>2007</v>
      </c>
    </row>
    <row r="122" spans="1:10">
      <c r="A122" s="7" t="s">
        <v>151</v>
      </c>
      <c r="B122" s="108" t="s">
        <v>2172</v>
      </c>
      <c r="C122" s="108" t="s">
        <v>2008</v>
      </c>
      <c r="D122" s="72" t="s">
        <v>2176</v>
      </c>
      <c r="E122" s="42" t="s">
        <v>2009</v>
      </c>
      <c r="F122" s="114" t="s">
        <v>2010</v>
      </c>
      <c r="G122" s="42" t="s">
        <v>2011</v>
      </c>
      <c r="H122" s="114" t="s">
        <v>2012</v>
      </c>
      <c r="I122" s="42" t="s">
        <v>2013</v>
      </c>
      <c r="J122" s="114" t="s">
        <v>2014</v>
      </c>
    </row>
    <row r="123" spans="1:10">
      <c r="A123" s="7" t="s">
        <v>152</v>
      </c>
      <c r="B123" s="121"/>
      <c r="C123" s="125" t="s">
        <v>187</v>
      </c>
      <c r="D123" s="50" t="s">
        <v>187</v>
      </c>
      <c r="E123" s="42" t="s">
        <v>2015</v>
      </c>
      <c r="F123" s="114" t="s">
        <v>2016</v>
      </c>
      <c r="G123" s="42" t="s">
        <v>2017</v>
      </c>
      <c r="H123" s="114" t="s">
        <v>2018</v>
      </c>
      <c r="I123" s="42" t="s">
        <v>2019</v>
      </c>
      <c r="J123" s="114" t="s">
        <v>2020</v>
      </c>
    </row>
    <row r="124" spans="1:10" ht="15" thickBot="1">
      <c r="A124" s="7" t="s">
        <v>153</v>
      </c>
      <c r="B124" s="121"/>
      <c r="C124" s="125" t="s">
        <v>187</v>
      </c>
      <c r="D124" s="50" t="s">
        <v>187</v>
      </c>
      <c r="E124" s="43" t="s">
        <v>2021</v>
      </c>
      <c r="F124" s="115" t="s">
        <v>2022</v>
      </c>
      <c r="G124" s="43" t="s">
        <v>2023</v>
      </c>
      <c r="H124" s="115" t="s">
        <v>2024</v>
      </c>
      <c r="I124" s="43" t="s">
        <v>2025</v>
      </c>
      <c r="J124" s="115" t="s">
        <v>2026</v>
      </c>
    </row>
    <row r="125" spans="1:10" ht="15" thickBot="1">
      <c r="A125" s="15" t="s">
        <v>194</v>
      </c>
      <c r="B125" s="45"/>
      <c r="C125" s="118"/>
      <c r="D125" s="67"/>
      <c r="E125" s="45">
        <f t="shared" ref="E125:J125" si="10">SUM(E119:E124)</f>
        <v>0</v>
      </c>
      <c r="F125" s="45">
        <f t="shared" si="10"/>
        <v>0</v>
      </c>
      <c r="G125" s="45">
        <f t="shared" si="10"/>
        <v>0</v>
      </c>
      <c r="H125" s="45">
        <f t="shared" si="10"/>
        <v>0</v>
      </c>
      <c r="I125" s="45">
        <f t="shared" si="10"/>
        <v>0</v>
      </c>
      <c r="J125" s="45">
        <f t="shared" si="10"/>
        <v>0</v>
      </c>
    </row>
    <row r="126" spans="1:10" ht="15" thickBot="1">
      <c r="A126" s="4"/>
      <c r="B126" s="16"/>
      <c r="C126" s="16"/>
      <c r="D126" s="68"/>
      <c r="E126" s="53"/>
      <c r="F126" s="53"/>
      <c r="G126" s="53"/>
      <c r="H126" s="53"/>
      <c r="I126" s="53"/>
      <c r="J126" s="55"/>
    </row>
    <row r="127" spans="1:10">
      <c r="A127" s="14" t="s">
        <v>154</v>
      </c>
      <c r="B127" s="32"/>
      <c r="C127" s="31" t="s">
        <v>381</v>
      </c>
      <c r="D127" s="49" t="s">
        <v>2242</v>
      </c>
      <c r="E127" s="59"/>
      <c r="F127" s="60"/>
      <c r="G127" s="59"/>
      <c r="H127" s="60"/>
      <c r="I127" s="59"/>
      <c r="J127" s="60"/>
    </row>
    <row r="128" spans="1:10">
      <c r="A128" s="7" t="s">
        <v>155</v>
      </c>
      <c r="B128" s="42" t="s">
        <v>2027</v>
      </c>
      <c r="C128" s="108" t="s">
        <v>2028</v>
      </c>
      <c r="D128" s="85" t="str">
        <f t="shared" ref="D128:D135" si="11">IF(OR(NOT(ISBLANK(B128)), NOT(ISBLANK(C128))), UOMPaintArea, "")</f>
        <v>&lt;#dbvalue(PNT_units;0;"KEYUNITS";)&gt;</v>
      </c>
      <c r="E128" s="42" t="s">
        <v>2029</v>
      </c>
      <c r="F128" s="114" t="s">
        <v>2030</v>
      </c>
      <c r="G128" s="42" t="s">
        <v>2031</v>
      </c>
      <c r="H128" s="114" t="s">
        <v>2032</v>
      </c>
      <c r="I128" s="42" t="s">
        <v>2033</v>
      </c>
      <c r="J128" s="114" t="s">
        <v>2034</v>
      </c>
    </row>
    <row r="129" spans="1:10">
      <c r="A129" s="7" t="s">
        <v>156</v>
      </c>
      <c r="B129" s="42" t="s">
        <v>2035</v>
      </c>
      <c r="C129" s="108" t="s">
        <v>2036</v>
      </c>
      <c r="D129" s="85" t="str">
        <f t="shared" si="11"/>
        <v>&lt;#dbvalue(PNT_units;0;"KEYUNITS";)&gt;</v>
      </c>
      <c r="E129" s="42" t="s">
        <v>2037</v>
      </c>
      <c r="F129" s="114" t="s">
        <v>2038</v>
      </c>
      <c r="G129" s="42" t="s">
        <v>2039</v>
      </c>
      <c r="H129" s="114" t="s">
        <v>2040</v>
      </c>
      <c r="I129" s="42" t="s">
        <v>2041</v>
      </c>
      <c r="J129" s="114" t="s">
        <v>2042</v>
      </c>
    </row>
    <row r="130" spans="1:10">
      <c r="A130" s="7" t="s">
        <v>157</v>
      </c>
      <c r="B130" s="42" t="s">
        <v>2043</v>
      </c>
      <c r="C130" s="108" t="s">
        <v>2044</v>
      </c>
      <c r="D130" s="85" t="str">
        <f t="shared" si="11"/>
        <v>&lt;#dbvalue(PNT_units;0;"KEYUNITS";)&gt;</v>
      </c>
      <c r="E130" s="42" t="s">
        <v>2045</v>
      </c>
      <c r="F130" s="114" t="s">
        <v>2046</v>
      </c>
      <c r="G130" s="42" t="s">
        <v>2047</v>
      </c>
      <c r="H130" s="114" t="s">
        <v>2048</v>
      </c>
      <c r="I130" s="42" t="s">
        <v>2049</v>
      </c>
      <c r="J130" s="114" t="s">
        <v>2050</v>
      </c>
    </row>
    <row r="131" spans="1:10">
      <c r="A131" s="7" t="s">
        <v>158</v>
      </c>
      <c r="B131" s="42" t="s">
        <v>2051</v>
      </c>
      <c r="C131" s="108" t="s">
        <v>2052</v>
      </c>
      <c r="D131" s="85" t="str">
        <f t="shared" si="11"/>
        <v>&lt;#dbvalue(PNT_units;0;"KEYUNITS";)&gt;</v>
      </c>
      <c r="E131" s="42" t="s">
        <v>2053</v>
      </c>
      <c r="F131" s="114" t="s">
        <v>2054</v>
      </c>
      <c r="G131" s="42" t="s">
        <v>2055</v>
      </c>
      <c r="H131" s="114" t="s">
        <v>2056</v>
      </c>
      <c r="I131" s="42" t="s">
        <v>2057</v>
      </c>
      <c r="J131" s="114" t="s">
        <v>2058</v>
      </c>
    </row>
    <row r="132" spans="1:10">
      <c r="A132" s="7" t="s">
        <v>159</v>
      </c>
      <c r="B132" s="42" t="s">
        <v>2059</v>
      </c>
      <c r="C132" s="108" t="s">
        <v>2060</v>
      </c>
      <c r="D132" s="85" t="str">
        <f t="shared" si="11"/>
        <v>&lt;#dbvalue(PNT_units;0;"KEYUNITS";)&gt;</v>
      </c>
      <c r="E132" s="42" t="s">
        <v>2061</v>
      </c>
      <c r="F132" s="114" t="s">
        <v>2062</v>
      </c>
      <c r="G132" s="42" t="s">
        <v>2063</v>
      </c>
      <c r="H132" s="114" t="s">
        <v>2064</v>
      </c>
      <c r="I132" s="42" t="s">
        <v>2065</v>
      </c>
      <c r="J132" s="114" t="s">
        <v>2066</v>
      </c>
    </row>
    <row r="133" spans="1:10">
      <c r="A133" s="7" t="s">
        <v>160</v>
      </c>
      <c r="B133" s="42" t="s">
        <v>2067</v>
      </c>
      <c r="C133" s="108" t="s">
        <v>2068</v>
      </c>
      <c r="D133" s="85" t="str">
        <f t="shared" si="11"/>
        <v>&lt;#dbvalue(PNT_units;0;"KEYUNITS";)&gt;</v>
      </c>
      <c r="E133" s="42" t="s">
        <v>2069</v>
      </c>
      <c r="F133" s="114" t="s">
        <v>2070</v>
      </c>
      <c r="G133" s="42" t="s">
        <v>2071</v>
      </c>
      <c r="H133" s="114" t="s">
        <v>2072</v>
      </c>
      <c r="I133" s="42" t="s">
        <v>2073</v>
      </c>
      <c r="J133" s="114" t="s">
        <v>2074</v>
      </c>
    </row>
    <row r="134" spans="1:10" ht="15" thickBot="1">
      <c r="A134" s="10" t="s">
        <v>161</v>
      </c>
      <c r="B134" s="116" t="s">
        <v>2075</v>
      </c>
      <c r="C134" s="122" t="s">
        <v>2076</v>
      </c>
      <c r="D134" s="85" t="str">
        <f t="shared" si="11"/>
        <v>&lt;#dbvalue(PNT_units;0;"KEYUNITS";)&gt;</v>
      </c>
      <c r="E134" s="116" t="s">
        <v>2077</v>
      </c>
      <c r="F134" s="117" t="s">
        <v>2078</v>
      </c>
      <c r="G134" s="116" t="s">
        <v>2079</v>
      </c>
      <c r="H134" s="117" t="s">
        <v>2080</v>
      </c>
      <c r="I134" s="116" t="s">
        <v>2081</v>
      </c>
      <c r="J134" s="117" t="s">
        <v>2082</v>
      </c>
    </row>
    <row r="135" spans="1:10" ht="15" thickBot="1">
      <c r="A135" s="15" t="s">
        <v>195</v>
      </c>
      <c r="B135" s="45">
        <f>SUM(B128:B134)</f>
        <v>0</v>
      </c>
      <c r="C135" s="118">
        <f>SUM(C128:C134)</f>
        <v>0</v>
      </c>
      <c r="D135" s="67" t="str">
        <f t="shared" si="11"/>
        <v>&lt;#dbvalue(PNT_units;0;"KEYUNITS";)&gt;</v>
      </c>
      <c r="E135" s="118">
        <f t="shared" ref="E135:J135" si="12">SUM(E128:E134)</f>
        <v>0</v>
      </c>
      <c r="F135" s="118">
        <f t="shared" si="12"/>
        <v>0</v>
      </c>
      <c r="G135" s="118">
        <f t="shared" si="12"/>
        <v>0</v>
      </c>
      <c r="H135" s="118">
        <f t="shared" si="12"/>
        <v>0</v>
      </c>
      <c r="I135" s="118">
        <f t="shared" si="12"/>
        <v>0</v>
      </c>
      <c r="J135" s="118">
        <f t="shared" si="12"/>
        <v>0</v>
      </c>
    </row>
    <row r="136" spans="1:10" ht="15" thickBot="1">
      <c r="A136" s="4"/>
      <c r="B136" s="16"/>
      <c r="C136" s="3"/>
      <c r="D136" s="73"/>
      <c r="E136" s="53"/>
      <c r="F136" s="54"/>
      <c r="G136" s="53"/>
      <c r="H136" s="54"/>
      <c r="I136" s="53"/>
      <c r="J136" s="66"/>
    </row>
    <row r="137" spans="1:10" ht="16.5" thickBot="1">
      <c r="A137" s="40" t="s">
        <v>197</v>
      </c>
      <c r="B137" s="37"/>
      <c r="C137" s="38"/>
      <c r="D137" s="74"/>
      <c r="E137" s="119">
        <f>$E$27+$E$47+$E$72+$E$83+$E$96+$E$112+$E$125+$E$135</f>
        <v>0</v>
      </c>
      <c r="F137" s="119">
        <f>$F$27+$F$47+$F$72+$F$83+$F$96+$F$112+$F$125+$F$135</f>
        <v>0</v>
      </c>
      <c r="G137" s="119">
        <f>$G$27+$G$47+$G$72+$G$83+$G$96+$G$112+$G$125+$G$135</f>
        <v>0</v>
      </c>
      <c r="H137" s="119">
        <f>$H$27+$H$47+$H$72+$H$83+$H$96+$H$112+$H$125+$H$135</f>
        <v>0</v>
      </c>
      <c r="I137" s="119">
        <f>$I$27+$I$47+$I$72+$I$83+$I$96+$I$112+$I$125+$I$135</f>
        <v>0</v>
      </c>
      <c r="J137" s="119">
        <f>$J$27+$J$47+$J$72+$J$83+$J$96+$J$112+$J$125+$J$135</f>
        <v>0</v>
      </c>
    </row>
    <row r="138" spans="1:10" ht="16.5" thickBot="1">
      <c r="A138" s="11" t="s">
        <v>198</v>
      </c>
      <c r="B138" s="39"/>
      <c r="C138" s="38"/>
      <c r="D138" s="74"/>
      <c r="E138" s="139">
        <f>$E$137+$F$137</f>
        <v>0</v>
      </c>
      <c r="F138" s="140"/>
      <c r="G138" s="139">
        <f>$G$137+$H$137</f>
        <v>0</v>
      </c>
      <c r="H138" s="140"/>
      <c r="I138" s="139">
        <f>$I$137+$J$137</f>
        <v>0</v>
      </c>
      <c r="J138" s="140"/>
    </row>
    <row r="139" spans="1:10" ht="16.5" thickBot="1">
      <c r="A139" s="41" t="s">
        <v>196</v>
      </c>
      <c r="B139" s="37"/>
      <c r="C139" s="38"/>
      <c r="D139" s="74"/>
      <c r="E139" s="133">
        <f>SUM($E$138,$I$138)</f>
        <v>0</v>
      </c>
      <c r="F139" s="134"/>
      <c r="G139" s="134"/>
      <c r="H139" s="134"/>
      <c r="I139" s="134"/>
      <c r="J139" s="135"/>
    </row>
  </sheetData>
  <sortState xmlns:xlrd2="http://schemas.microsoft.com/office/spreadsheetml/2017/richdata2" ref="A4:A22">
    <sortCondition ref="A4:A22"/>
  </sortState>
  <mergeCells count="8">
    <mergeCell ref="E139:J139"/>
    <mergeCell ref="B1:C1"/>
    <mergeCell ref="E1:F1"/>
    <mergeCell ref="G1:H1"/>
    <mergeCell ref="I1:J1"/>
    <mergeCell ref="E138:F138"/>
    <mergeCell ref="I138:J138"/>
    <mergeCell ref="G138:H138"/>
  </mergeCells>
  <phoneticPr fontId="26" type="noConversion"/>
  <dataValidations count="8">
    <dataValidation type="list" allowBlank="1" showInputMessage="1" showErrorMessage="1" sqref="D3" xr:uid="{1C1C37B2-9239-4726-A30C-18FBD25B829C}">
      <formula1>ListUOMEquipQty</formula1>
    </dataValidation>
    <dataValidation type="list" allowBlank="1" showInputMessage="1" showErrorMessage="1" sqref="D29 D85 D98 D62" xr:uid="{E383520F-101B-4E3F-A8E4-3E6D3CC4CA62}">
      <formula1>ListUOMLength</formula1>
    </dataValidation>
    <dataValidation type="list" allowBlank="1" showInputMessage="1" showErrorMessage="1" sqref="D74" xr:uid="{957245A0-DD8C-4875-82F7-AD9CAC8CD5EB}">
      <formula1>ListUOMSteelQty</formula1>
    </dataValidation>
    <dataValidation type="list" allowBlank="1" showInputMessage="1" showErrorMessage="1" sqref="D127 D119" xr:uid="{90C1CA63-D708-4C9C-833E-FEC4EBB0F395}">
      <formula1>ListUOMArea</formula1>
    </dataValidation>
    <dataValidation type="list" allowBlank="1" showInputMessage="1" showErrorMessage="1" sqref="D61 D65" xr:uid="{FB46E0FA-14B3-46CF-A42A-6A107312AA76}">
      <formula1>ListUOMVolume</formula1>
    </dataValidation>
    <dataValidation type="list" allowBlank="1" showInputMessage="1" showErrorMessage="1" sqref="D121:D122" xr:uid="{E76FDFF2-C7B6-4E3E-AFBF-406B9CA2C31E}">
      <formula1>ListUOMFireproofing</formula1>
    </dataValidation>
    <dataValidation type="list" allowBlank="1" showInputMessage="1" showErrorMessage="1" sqref="D120" xr:uid="{20F8F3DD-91B4-4AA2-AA49-DF8602E71976}">
      <formula1>ListUOMPipeInsulation</formula1>
    </dataValidation>
    <dataValidation type="list" allowBlank="1" showInputMessage="1" showErrorMessage="1" sqref="D64" xr:uid="{818837BA-C71F-4BC7-88F3-39E843E5B11D}">
      <formula1>ListUOMPaving</formula1>
    </dataValidation>
  </dataValidations>
  <pageMargins left="0.7" right="0.7" top="0.75" bottom="0.75" header="0.3" footer="0.3"/>
  <pageSetup orientation="portrait" r:id="rId1"/>
  <ignoredErrors>
    <ignoredError sqref="D31 D33 D35 D37 D39 D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1463-4B1F-48A3-A543-A2D299EFEA72}">
  <sheetPr codeName="Sheet4">
    <tabColor theme="7"/>
  </sheetPr>
  <dimension ref="A1:C55"/>
  <sheetViews>
    <sheetView workbookViewId="0">
      <pane ySplit="1" topLeftCell="A2" activePane="bottomLeft" state="frozen"/>
      <selection pane="bottomLeft"/>
    </sheetView>
  </sheetViews>
  <sheetFormatPr defaultColWidth="9.125" defaultRowHeight="14.25"/>
  <cols>
    <col min="1" max="1" width="40.75" style="2" customWidth="1"/>
    <col min="2" max="3" width="15.75" style="77" customWidth="1"/>
    <col min="4" max="16384" width="9.125" style="2"/>
  </cols>
  <sheetData>
    <row r="1" spans="1:3" ht="25.5" customHeight="1" thickBot="1">
      <c r="A1" s="28" t="s">
        <v>8</v>
      </c>
      <c r="B1" s="79" t="s">
        <v>229</v>
      </c>
      <c r="C1" s="79" t="str">
        <f>CONCATENATE("Cost (",CurrencySymbol,")")</f>
        <v>Cost ()</v>
      </c>
    </row>
    <row r="2" spans="1:3">
      <c r="A2" s="14" t="s">
        <v>235</v>
      </c>
      <c r="B2" s="32"/>
      <c r="C2" s="80"/>
    </row>
    <row r="3" spans="1:3">
      <c r="A3" s="7" t="s">
        <v>2191</v>
      </c>
      <c r="B3" s="42" t="s">
        <v>2192</v>
      </c>
      <c r="C3" s="114" t="s">
        <v>2193</v>
      </c>
    </row>
    <row r="4" spans="1:3" ht="15" thickBot="1">
      <c r="A4" s="78"/>
      <c r="B4" s="43"/>
      <c r="C4" s="115"/>
    </row>
    <row r="5" spans="1:3" ht="15" thickBot="1">
      <c r="A5" s="15" t="s">
        <v>280</v>
      </c>
      <c r="B5" s="45">
        <f>SUM(B3:B4)</f>
        <v>0</v>
      </c>
      <c r="C5" s="45">
        <f>SUM(C3:C4)</f>
        <v>0</v>
      </c>
    </row>
    <row r="6" spans="1:3" ht="15" thickBot="1">
      <c r="A6" s="20"/>
      <c r="B6" s="75"/>
      <c r="C6" s="76"/>
    </row>
    <row r="7" spans="1:3">
      <c r="A7" s="14" t="s">
        <v>246</v>
      </c>
      <c r="B7" s="32"/>
      <c r="C7" s="80"/>
    </row>
    <row r="8" spans="1:3">
      <c r="A8" s="7" t="s">
        <v>2083</v>
      </c>
      <c r="B8" s="42" t="s">
        <v>2084</v>
      </c>
      <c r="C8" s="114" t="s">
        <v>2085</v>
      </c>
    </row>
    <row r="9" spans="1:3" ht="15" thickBot="1">
      <c r="A9" s="7" t="s">
        <v>2086</v>
      </c>
      <c r="B9" s="43" t="s">
        <v>2087</v>
      </c>
      <c r="C9" s="115" t="s">
        <v>2088</v>
      </c>
    </row>
    <row r="10" spans="1:3" ht="15" thickBot="1">
      <c r="A10" s="15" t="s">
        <v>281</v>
      </c>
      <c r="B10" s="45">
        <f>SUM(B8:B9)</f>
        <v>0</v>
      </c>
      <c r="C10" s="45">
        <f>SUM(C8:C9)</f>
        <v>0</v>
      </c>
    </row>
    <row r="11" spans="1:3" ht="15" thickBot="1">
      <c r="A11" s="20"/>
      <c r="B11" s="75"/>
      <c r="C11" s="76"/>
    </row>
    <row r="12" spans="1:3">
      <c r="A12" s="14" t="s">
        <v>249</v>
      </c>
      <c r="B12" s="32"/>
      <c r="C12" s="80"/>
    </row>
    <row r="13" spans="1:3">
      <c r="A13" s="7" t="s">
        <v>2089</v>
      </c>
      <c r="B13" s="42" t="s">
        <v>2090</v>
      </c>
      <c r="C13" s="114" t="s">
        <v>2091</v>
      </c>
    </row>
    <row r="14" spans="1:3">
      <c r="A14" s="7" t="s">
        <v>2092</v>
      </c>
      <c r="B14" s="42" t="s">
        <v>2093</v>
      </c>
      <c r="C14" s="114" t="s">
        <v>2094</v>
      </c>
    </row>
    <row r="15" spans="1:3">
      <c r="A15" s="7" t="s">
        <v>2095</v>
      </c>
      <c r="B15" s="42" t="s">
        <v>2096</v>
      </c>
      <c r="C15" s="114" t="s">
        <v>2097</v>
      </c>
    </row>
    <row r="16" spans="1:3">
      <c r="A16" s="7" t="s">
        <v>2098</v>
      </c>
      <c r="B16" s="42" t="s">
        <v>2099</v>
      </c>
      <c r="C16" s="114" t="s">
        <v>2100</v>
      </c>
    </row>
    <row r="17" spans="1:3">
      <c r="A17" s="7" t="s">
        <v>2101</v>
      </c>
      <c r="B17" s="42" t="s">
        <v>2102</v>
      </c>
      <c r="C17" s="114" t="s">
        <v>2103</v>
      </c>
    </row>
    <row r="18" spans="1:3" ht="15" thickBot="1">
      <c r="A18" s="7" t="s">
        <v>2104</v>
      </c>
      <c r="B18" s="43" t="s">
        <v>2105</v>
      </c>
      <c r="C18" s="115" t="s">
        <v>2106</v>
      </c>
    </row>
    <row r="19" spans="1:3" ht="15" thickBot="1">
      <c r="A19" s="15" t="s">
        <v>282</v>
      </c>
      <c r="B19" s="45">
        <f>SUM(B13:B18)</f>
        <v>0</v>
      </c>
      <c r="C19" s="45">
        <f>SUM(C13:C18)</f>
        <v>0</v>
      </c>
    </row>
    <row r="20" spans="1:3" ht="15" thickBot="1">
      <c r="A20" s="20"/>
      <c r="B20" s="75"/>
      <c r="C20" s="76"/>
    </row>
    <row r="21" spans="1:3">
      <c r="A21" s="14" t="s">
        <v>256</v>
      </c>
      <c r="B21" s="32"/>
      <c r="C21" s="80"/>
    </row>
    <row r="22" spans="1:3">
      <c r="A22" s="7" t="s">
        <v>2107</v>
      </c>
      <c r="B22" s="42" t="s">
        <v>2108</v>
      </c>
      <c r="C22" s="114" t="s">
        <v>2109</v>
      </c>
    </row>
    <row r="23" spans="1:3">
      <c r="A23" s="7" t="s">
        <v>2110</v>
      </c>
      <c r="B23" s="42" t="s">
        <v>2111</v>
      </c>
      <c r="C23" s="114" t="s">
        <v>2112</v>
      </c>
    </row>
    <row r="24" spans="1:3">
      <c r="A24" s="7" t="s">
        <v>2113</v>
      </c>
      <c r="B24" s="42" t="s">
        <v>2114</v>
      </c>
      <c r="C24" s="114" t="s">
        <v>2115</v>
      </c>
    </row>
    <row r="25" spans="1:3">
      <c r="A25" s="7" t="s">
        <v>2116</v>
      </c>
      <c r="B25" s="42" t="s">
        <v>2117</v>
      </c>
      <c r="C25" s="114" t="s">
        <v>2118</v>
      </c>
    </row>
    <row r="26" spans="1:3">
      <c r="A26" s="7" t="s">
        <v>2119</v>
      </c>
      <c r="B26" s="42" t="s">
        <v>2120</v>
      </c>
      <c r="C26" s="114" t="s">
        <v>2121</v>
      </c>
    </row>
    <row r="27" spans="1:3" ht="15" thickBot="1">
      <c r="A27" s="7" t="s">
        <v>2122</v>
      </c>
      <c r="B27" s="43" t="s">
        <v>2123</v>
      </c>
      <c r="C27" s="115" t="s">
        <v>2124</v>
      </c>
    </row>
    <row r="28" spans="1:3" ht="15" thickBot="1">
      <c r="A28" s="15" t="s">
        <v>283</v>
      </c>
      <c r="B28" s="45">
        <f>SUM(B22:B27)</f>
        <v>0</v>
      </c>
      <c r="C28" s="45">
        <f>SUM(C22:C27)</f>
        <v>0</v>
      </c>
    </row>
    <row r="29" spans="1:3" ht="15" thickBot="1">
      <c r="A29" s="20"/>
      <c r="B29" s="75"/>
      <c r="C29" s="76"/>
    </row>
    <row r="30" spans="1:3">
      <c r="A30" s="14" t="s">
        <v>263</v>
      </c>
      <c r="B30" s="32"/>
      <c r="C30" s="80"/>
    </row>
    <row r="31" spans="1:3">
      <c r="A31" s="7" t="s">
        <v>2125</v>
      </c>
      <c r="B31" s="42" t="s">
        <v>2126</v>
      </c>
      <c r="C31" s="114" t="s">
        <v>2127</v>
      </c>
    </row>
    <row r="32" spans="1:3">
      <c r="A32" s="7" t="s">
        <v>2128</v>
      </c>
      <c r="B32" s="42" t="s">
        <v>2129</v>
      </c>
      <c r="C32" s="114" t="s">
        <v>2130</v>
      </c>
    </row>
    <row r="33" spans="1:3">
      <c r="A33" s="7" t="s">
        <v>2131</v>
      </c>
      <c r="B33" s="42" t="s">
        <v>2132</v>
      </c>
      <c r="C33" s="114" t="s">
        <v>2133</v>
      </c>
    </row>
    <row r="34" spans="1:3">
      <c r="A34" s="7" t="s">
        <v>2134</v>
      </c>
      <c r="B34" s="42" t="s">
        <v>2135</v>
      </c>
      <c r="C34" s="114" t="s">
        <v>2136</v>
      </c>
    </row>
    <row r="35" spans="1:3">
      <c r="A35" s="7" t="s">
        <v>2137</v>
      </c>
      <c r="B35" s="42" t="s">
        <v>2138</v>
      </c>
      <c r="C35" s="114" t="s">
        <v>2139</v>
      </c>
    </row>
    <row r="36" spans="1:3" ht="15" thickBot="1">
      <c r="A36" s="7" t="s">
        <v>2140</v>
      </c>
      <c r="B36" s="43" t="s">
        <v>2141</v>
      </c>
      <c r="C36" s="115" t="s">
        <v>2142</v>
      </c>
    </row>
    <row r="37" spans="1:3" ht="15" thickBot="1">
      <c r="A37" s="15" t="s">
        <v>284</v>
      </c>
      <c r="B37" s="45">
        <f>SUM(B31:B36)</f>
        <v>0</v>
      </c>
      <c r="C37" s="45">
        <f>SUM(C31:C36)</f>
        <v>0</v>
      </c>
    </row>
    <row r="38" spans="1:3" ht="15" thickBot="1">
      <c r="A38" s="20"/>
      <c r="B38" s="75"/>
      <c r="C38" s="76"/>
    </row>
    <row r="39" spans="1:3">
      <c r="A39" s="14" t="s">
        <v>270</v>
      </c>
      <c r="B39" s="32"/>
      <c r="C39" s="80"/>
    </row>
    <row r="40" spans="1:3">
      <c r="A40" s="7" t="s">
        <v>2143</v>
      </c>
      <c r="B40" s="42" t="s">
        <v>2144</v>
      </c>
      <c r="C40" s="114" t="s">
        <v>2145</v>
      </c>
    </row>
    <row r="41" spans="1:3">
      <c r="A41" s="7" t="s">
        <v>2146</v>
      </c>
      <c r="B41" s="42" t="s">
        <v>2147</v>
      </c>
      <c r="C41" s="114" t="s">
        <v>2148</v>
      </c>
    </row>
    <row r="42" spans="1:3">
      <c r="A42" s="7" t="s">
        <v>2149</v>
      </c>
      <c r="B42" s="42" t="s">
        <v>2150</v>
      </c>
      <c r="C42" s="114" t="s">
        <v>2151</v>
      </c>
    </row>
    <row r="43" spans="1:3">
      <c r="A43" s="7" t="s">
        <v>2152</v>
      </c>
      <c r="B43" s="42" t="s">
        <v>2153</v>
      </c>
      <c r="C43" s="114" t="s">
        <v>2154</v>
      </c>
    </row>
    <row r="44" spans="1:3">
      <c r="A44" s="7" t="s">
        <v>2155</v>
      </c>
      <c r="B44" s="42" t="s">
        <v>2156</v>
      </c>
      <c r="C44" s="114" t="s">
        <v>2157</v>
      </c>
    </row>
    <row r="45" spans="1:3" ht="15" thickBot="1">
      <c r="A45" s="7" t="s">
        <v>2158</v>
      </c>
      <c r="B45" s="43" t="s">
        <v>2159</v>
      </c>
      <c r="C45" s="115" t="s">
        <v>2160</v>
      </c>
    </row>
    <row r="46" spans="1:3" ht="15" thickBot="1">
      <c r="A46" s="15" t="s">
        <v>285</v>
      </c>
      <c r="B46" s="45">
        <f>SUM(B40:B45)</f>
        <v>0</v>
      </c>
      <c r="C46" s="45">
        <f>SUM(C40:C45)</f>
        <v>0</v>
      </c>
    </row>
    <row r="47" spans="1:3" ht="15" thickBot="1">
      <c r="A47" s="20"/>
      <c r="B47" s="75"/>
      <c r="C47" s="76"/>
    </row>
    <row r="48" spans="1:3">
      <c r="A48" s="14" t="s">
        <v>277</v>
      </c>
      <c r="B48" s="32"/>
      <c r="C48" s="80"/>
    </row>
    <row r="49" spans="1:3">
      <c r="A49" s="7" t="s">
        <v>2161</v>
      </c>
      <c r="B49" s="42" t="s">
        <v>2162</v>
      </c>
      <c r="C49" s="114" t="s">
        <v>2163</v>
      </c>
    </row>
    <row r="50" spans="1:3" ht="15" thickBot="1">
      <c r="A50" s="7" t="s">
        <v>2164</v>
      </c>
      <c r="B50" s="43" t="s">
        <v>2165</v>
      </c>
      <c r="C50" s="115" t="s">
        <v>2166</v>
      </c>
    </row>
    <row r="51" spans="1:3" ht="15" thickBot="1">
      <c r="A51" s="15" t="s">
        <v>286</v>
      </c>
      <c r="B51" s="45">
        <f>SUM(B49:B50)</f>
        <v>0</v>
      </c>
      <c r="C51" s="45">
        <f>SUM(C49:C50)</f>
        <v>0</v>
      </c>
    </row>
    <row r="52" spans="1:3" ht="15" thickBot="1">
      <c r="A52" s="20"/>
      <c r="B52" s="75"/>
      <c r="C52" s="76"/>
    </row>
    <row r="53" spans="1:3" ht="15" thickBot="1">
      <c r="A53" s="15" t="s">
        <v>287</v>
      </c>
      <c r="B53" s="45">
        <f>B5+B10</f>
        <v>0</v>
      </c>
      <c r="C53" s="45">
        <f>C5+C10</f>
        <v>0</v>
      </c>
    </row>
    <row r="54" spans="1:3" ht="15" thickBot="1">
      <c r="A54" s="6" t="s">
        <v>288</v>
      </c>
      <c r="B54" s="126">
        <f>B19+B28+B37+B46+B51</f>
        <v>0</v>
      </c>
      <c r="C54" s="126">
        <f>C19+C28+C37+C46+C51</f>
        <v>0</v>
      </c>
    </row>
    <row r="55" spans="1:3" ht="15" thickBot="1">
      <c r="A55" s="15" t="s">
        <v>289</v>
      </c>
      <c r="B55" s="45">
        <f>SUM(B53:B54)</f>
        <v>0</v>
      </c>
      <c r="C55" s="45">
        <f>SUM(C53:C54)</f>
        <v>0</v>
      </c>
    </row>
  </sheetData>
  <phoneticPr fontId="2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E432-C4C9-4D8D-A5CD-BC9798C7C4FB}">
  <dimension ref="A3:N19"/>
  <sheetViews>
    <sheetView workbookViewId="0">
      <selection activeCell="A3" sqref="A3"/>
    </sheetView>
  </sheetViews>
  <sheetFormatPr defaultColWidth="9.125" defaultRowHeight="14.25"/>
  <cols>
    <col min="1" max="1" width="22.625" style="99" bestFit="1" customWidth="1"/>
    <col min="2" max="2" width="66.125" style="99" bestFit="1" customWidth="1"/>
    <col min="3" max="3" width="23.75" style="99" customWidth="1"/>
    <col min="4" max="4" width="35.625" style="99" bestFit="1" customWidth="1"/>
    <col min="5" max="7" width="2.75" style="99" customWidth="1"/>
    <col min="8" max="8" width="13.125" style="99" bestFit="1" customWidth="1"/>
    <col min="9" max="9" width="10.875" style="99" bestFit="1" customWidth="1"/>
    <col min="10" max="12" width="2.75" style="99" customWidth="1"/>
    <col min="13" max="13" width="13.875" style="99" customWidth="1"/>
    <col min="14" max="14" width="10.625" style="99" bestFit="1" customWidth="1"/>
    <col min="15" max="16384" width="9.125" style="99"/>
  </cols>
  <sheetData>
    <row r="3" spans="1:14">
      <c r="A3" s="107" t="s">
        <v>1261</v>
      </c>
    </row>
    <row r="4" spans="1:14">
      <c r="A4" s="107" t="s">
        <v>1260</v>
      </c>
    </row>
    <row r="5" spans="1:14">
      <c r="A5" s="107" t="s">
        <v>1259</v>
      </c>
    </row>
    <row r="8" spans="1:14">
      <c r="A8" s="106" t="s">
        <v>1258</v>
      </c>
      <c r="B8" s="106"/>
      <c r="C8" s="106"/>
      <c r="D8" s="106"/>
      <c r="H8" s="106" t="s">
        <v>1257</v>
      </c>
      <c r="I8" s="106"/>
      <c r="M8" s="106" t="s">
        <v>1256</v>
      </c>
      <c r="N8" s="106"/>
    </row>
    <row r="9" spans="1:14">
      <c r="A9" s="105" t="s">
        <v>1255</v>
      </c>
      <c r="B9" s="105" t="s">
        <v>1254</v>
      </c>
      <c r="C9" s="105" t="s">
        <v>1253</v>
      </c>
      <c r="D9" s="105" t="s">
        <v>1252</v>
      </c>
      <c r="H9" s="105" t="s">
        <v>1251</v>
      </c>
      <c r="I9" s="105" t="s">
        <v>1250</v>
      </c>
      <c r="M9" s="105" t="s">
        <v>1249</v>
      </c>
      <c r="N9" s="105" t="s">
        <v>1248</v>
      </c>
    </row>
    <row r="10" spans="1:14">
      <c r="A10" s="99" t="s">
        <v>1247</v>
      </c>
      <c r="B10" s="99" t="s">
        <v>1246</v>
      </c>
      <c r="H10" s="99" t="s">
        <v>1245</v>
      </c>
      <c r="I10" s="103">
        <v>1234.56</v>
      </c>
    </row>
    <row r="11" spans="1:14">
      <c r="A11" s="99" t="s">
        <v>1243</v>
      </c>
      <c r="B11" s="129" t="s">
        <v>1242</v>
      </c>
      <c r="H11" s="99" t="s">
        <v>1244</v>
      </c>
      <c r="I11" s="104" t="s">
        <v>1240</v>
      </c>
    </row>
    <row r="12" spans="1:14">
      <c r="A12" s="99" t="s">
        <v>2230</v>
      </c>
      <c r="B12" s="131" t="s">
        <v>2243</v>
      </c>
      <c r="C12" s="99" t="s">
        <v>2231</v>
      </c>
      <c r="H12" s="99" t="s">
        <v>1241</v>
      </c>
      <c r="I12" s="104" t="s">
        <v>1240</v>
      </c>
    </row>
    <row r="13" spans="1:14">
      <c r="A13" s="99" t="s">
        <v>2232</v>
      </c>
      <c r="B13" s="131" t="s">
        <v>2244</v>
      </c>
      <c r="C13" s="99" t="s">
        <v>2231</v>
      </c>
      <c r="H13" s="99" t="s">
        <v>1239</v>
      </c>
      <c r="I13" s="103">
        <v>1234.56</v>
      </c>
    </row>
    <row r="14" spans="1:14">
      <c r="A14" s="99" t="s">
        <v>2233</v>
      </c>
      <c r="B14" s="131" t="s">
        <v>2245</v>
      </c>
      <c r="C14" s="99" t="s">
        <v>2231</v>
      </c>
      <c r="H14" s="99" t="s">
        <v>1238</v>
      </c>
      <c r="I14" s="102">
        <v>1234.5</v>
      </c>
    </row>
    <row r="15" spans="1:14">
      <c r="A15" s="130" t="s">
        <v>2237</v>
      </c>
      <c r="B15" s="131" t="s">
        <v>2246</v>
      </c>
      <c r="C15" s="99" t="s">
        <v>2231</v>
      </c>
      <c r="H15" s="99" t="s">
        <v>1237</v>
      </c>
      <c r="I15" s="101">
        <v>1234.5</v>
      </c>
    </row>
    <row r="16" spans="1:14">
      <c r="A16" s="130" t="s">
        <v>2238</v>
      </c>
      <c r="B16" s="131" t="s">
        <v>2247</v>
      </c>
      <c r="C16" s="132" t="s">
        <v>2249</v>
      </c>
      <c r="H16" s="99" t="s">
        <v>1236</v>
      </c>
      <c r="I16" s="100"/>
    </row>
    <row r="17" spans="1:3">
      <c r="A17" s="130" t="s">
        <v>2241</v>
      </c>
      <c r="B17" s="131" t="s">
        <v>2248</v>
      </c>
      <c r="C17" s="99" t="s">
        <v>2231</v>
      </c>
    </row>
    <row r="19" spans="1:3">
      <c r="A19" s="127"/>
    </row>
  </sheetData>
  <phoneticPr fontId="2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2FF9-EFF0-46E1-B040-A24A2D0078C1}">
  <sheetPr codeName="Sheet5"/>
  <dimension ref="A1:N24"/>
  <sheetViews>
    <sheetView workbookViewId="0">
      <selection activeCell="L20" sqref="L20:L23"/>
    </sheetView>
  </sheetViews>
  <sheetFormatPr defaultRowHeight="14.25"/>
  <cols>
    <col min="1" max="2" width="10.875" bestFit="1" customWidth="1"/>
    <col min="3" max="3" width="8.875" bestFit="1" customWidth="1"/>
    <col min="4" max="4" width="23.75" bestFit="1" customWidth="1"/>
    <col min="5" max="6" width="9.625" bestFit="1" customWidth="1"/>
    <col min="7" max="7" width="14.375" bestFit="1" customWidth="1"/>
    <col min="9" max="9" width="11.25" bestFit="1" customWidth="1"/>
    <col min="11" max="11" width="19.25" bestFit="1" customWidth="1"/>
    <col min="12" max="12" width="22.375" bestFit="1" customWidth="1"/>
  </cols>
  <sheetData>
    <row r="1" spans="1:14">
      <c r="A1" t="s">
        <v>12</v>
      </c>
      <c r="B1" t="s">
        <v>17</v>
      </c>
      <c r="C1" t="s">
        <v>35</v>
      </c>
      <c r="D1" t="s">
        <v>35</v>
      </c>
      <c r="E1" t="s">
        <v>35</v>
      </c>
      <c r="F1" t="s">
        <v>46</v>
      </c>
      <c r="G1" t="s">
        <v>48</v>
      </c>
      <c r="H1">
        <v>0</v>
      </c>
      <c r="I1" t="s">
        <v>54</v>
      </c>
      <c r="J1" t="s">
        <v>65</v>
      </c>
      <c r="K1" t="s">
        <v>68</v>
      </c>
      <c r="L1" t="s">
        <v>70</v>
      </c>
      <c r="M1" t="s">
        <v>79</v>
      </c>
      <c r="N1" t="s">
        <v>81</v>
      </c>
    </row>
    <row r="2" spans="1:14">
      <c r="A2" t="s">
        <v>13</v>
      </c>
      <c r="B2" t="s">
        <v>18</v>
      </c>
      <c r="C2" t="s">
        <v>36</v>
      </c>
      <c r="D2" t="s">
        <v>41</v>
      </c>
      <c r="E2" t="s">
        <v>41</v>
      </c>
      <c r="F2" t="s">
        <v>47</v>
      </c>
      <c r="G2" t="s">
        <v>49</v>
      </c>
      <c r="H2">
        <v>1</v>
      </c>
      <c r="I2" t="s">
        <v>55</v>
      </c>
      <c r="J2" t="s">
        <v>66</v>
      </c>
      <c r="K2" t="s">
        <v>69</v>
      </c>
      <c r="L2" t="s">
        <v>71</v>
      </c>
      <c r="M2" t="s">
        <v>80</v>
      </c>
      <c r="N2" t="s">
        <v>82</v>
      </c>
    </row>
    <row r="3" spans="1:14">
      <c r="A3" t="s">
        <v>14</v>
      </c>
      <c r="C3" t="s">
        <v>37</v>
      </c>
      <c r="D3" t="s">
        <v>44</v>
      </c>
      <c r="E3" t="s">
        <v>42</v>
      </c>
      <c r="G3" t="s">
        <v>50</v>
      </c>
      <c r="H3" t="s">
        <v>52</v>
      </c>
      <c r="I3" t="s">
        <v>56</v>
      </c>
      <c r="J3" t="s">
        <v>67</v>
      </c>
      <c r="L3" t="s">
        <v>72</v>
      </c>
    </row>
    <row r="4" spans="1:14">
      <c r="A4" t="s">
        <v>15</v>
      </c>
      <c r="C4" t="s">
        <v>38</v>
      </c>
      <c r="D4" t="s">
        <v>45</v>
      </c>
      <c r="E4" t="s">
        <v>43</v>
      </c>
      <c r="G4" t="s">
        <v>51</v>
      </c>
      <c r="H4" t="s">
        <v>53</v>
      </c>
      <c r="I4" t="s">
        <v>57</v>
      </c>
      <c r="L4" t="s">
        <v>73</v>
      </c>
    </row>
    <row r="5" spans="1:14">
      <c r="A5" t="s">
        <v>16</v>
      </c>
      <c r="C5" t="s">
        <v>39</v>
      </c>
      <c r="H5">
        <v>3</v>
      </c>
      <c r="I5" t="s">
        <v>58</v>
      </c>
      <c r="L5" t="s">
        <v>74</v>
      </c>
    </row>
    <row r="6" spans="1:14">
      <c r="C6" t="s">
        <v>40</v>
      </c>
      <c r="H6">
        <v>4</v>
      </c>
      <c r="I6" t="s">
        <v>59</v>
      </c>
      <c r="L6" t="s">
        <v>75</v>
      </c>
    </row>
    <row r="7" spans="1:14">
      <c r="I7" t="s">
        <v>60</v>
      </c>
      <c r="L7" t="s">
        <v>76</v>
      </c>
    </row>
    <row r="8" spans="1:14">
      <c r="I8" t="s">
        <v>61</v>
      </c>
      <c r="L8" t="s">
        <v>77</v>
      </c>
    </row>
    <row r="9" spans="1:14">
      <c r="I9" t="s">
        <v>62</v>
      </c>
      <c r="L9" t="s">
        <v>78</v>
      </c>
    </row>
    <row r="10" spans="1:14">
      <c r="I10" t="s">
        <v>63</v>
      </c>
    </row>
    <row r="11" spans="1:14">
      <c r="I11" t="s">
        <v>64</v>
      </c>
    </row>
    <row r="20" spans="1:12">
      <c r="A20" t="s">
        <v>201</v>
      </c>
      <c r="B20" t="s">
        <v>203</v>
      </c>
      <c r="C20" t="s">
        <v>207</v>
      </c>
      <c r="D20" t="s">
        <v>210</v>
      </c>
      <c r="E20" t="s">
        <v>185</v>
      </c>
      <c r="F20" t="s">
        <v>217</v>
      </c>
      <c r="G20" t="s">
        <v>230</v>
      </c>
      <c r="H20" t="s">
        <v>382</v>
      </c>
      <c r="I20" t="s">
        <v>383</v>
      </c>
      <c r="J20" t="s">
        <v>382</v>
      </c>
      <c r="K20" t="s">
        <v>382</v>
      </c>
      <c r="L20" t="s">
        <v>2252</v>
      </c>
    </row>
    <row r="21" spans="1:12">
      <c r="A21" t="s">
        <v>202</v>
      </c>
      <c r="B21" t="s">
        <v>204</v>
      </c>
      <c r="C21" t="s">
        <v>208</v>
      </c>
      <c r="D21" t="s">
        <v>211</v>
      </c>
      <c r="E21" t="s">
        <v>186</v>
      </c>
      <c r="F21" t="s">
        <v>218</v>
      </c>
      <c r="G21" t="s">
        <v>231</v>
      </c>
      <c r="H21" t="s">
        <v>2250</v>
      </c>
      <c r="I21" t="s">
        <v>2251</v>
      </c>
      <c r="J21" t="s">
        <v>2250</v>
      </c>
      <c r="K21" t="s">
        <v>2250</v>
      </c>
      <c r="L21" t="s">
        <v>2250</v>
      </c>
    </row>
    <row r="22" spans="1:12">
      <c r="B22" t="s">
        <v>205</v>
      </c>
      <c r="C22" t="s">
        <v>209</v>
      </c>
      <c r="D22" t="s">
        <v>212</v>
      </c>
      <c r="J22" t="s">
        <v>217</v>
      </c>
      <c r="K22" t="s">
        <v>383</v>
      </c>
      <c r="L22" t="s">
        <v>383</v>
      </c>
    </row>
    <row r="23" spans="1:12">
      <c r="D23" t="s">
        <v>213</v>
      </c>
      <c r="J23" t="s">
        <v>218</v>
      </c>
      <c r="K23" t="s">
        <v>2251</v>
      </c>
      <c r="L23" t="s">
        <v>2251</v>
      </c>
    </row>
    <row r="24" spans="1:12">
      <c r="D24" t="s">
        <v>214</v>
      </c>
    </row>
  </sheetData>
  <phoneticPr fontId="2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5985-B521-4D89-B681-4A79DD20CD73}">
  <sheetPr codeName="Sheet6"/>
  <dimension ref="A1:E49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7.375" bestFit="1" customWidth="1"/>
    <col min="2" max="2" width="45.875" bestFit="1" customWidth="1"/>
    <col min="3" max="3" width="46.875" bestFit="1" customWidth="1"/>
    <col min="4" max="4" width="33.75" customWidth="1"/>
    <col min="5" max="5" width="15.75" customWidth="1"/>
  </cols>
  <sheetData>
    <row r="1" spans="1:5">
      <c r="A1" s="82" t="s">
        <v>8</v>
      </c>
      <c r="B1" s="82" t="s">
        <v>339</v>
      </c>
      <c r="C1" s="82" t="s">
        <v>340</v>
      </c>
      <c r="D1" s="82" t="s">
        <v>384</v>
      </c>
      <c r="E1" s="82" t="s">
        <v>385</v>
      </c>
    </row>
    <row r="2" spans="1:5">
      <c r="A2" t="s">
        <v>105</v>
      </c>
      <c r="B2" t="str">
        <f t="shared" ref="B2:B22" si="0">CONCATENATE("ISBL: ",A2," Qty")</f>
        <v>ISBL: Boiler Plant Equipment Qty</v>
      </c>
      <c r="C2" t="str">
        <f t="shared" ref="C2:C22" si="1">CONCATENATE("OSBL: ",A2," Qty")</f>
        <v>OSBL: Boiler Plant Equipment Qty</v>
      </c>
      <c r="D2" s="83" t="str">
        <f>'Project Direct Metrics'!$B$4</f>
        <v>&lt;#dbvalue(2_Equipment_ISBL_Data;0;"KEYQUANT";)&gt;</v>
      </c>
      <c r="E2" s="83" t="str">
        <f>'Project Direct Metrics'!$C$4</f>
        <v>&lt;#dbvalue(2_Equipment_OSBL_Data;0;"KEYQUANT";)&gt;</v>
      </c>
    </row>
    <row r="3" spans="1:5">
      <c r="A3" t="s">
        <v>92</v>
      </c>
      <c r="B3" t="str">
        <f t="shared" si="0"/>
        <v>ISBL: Centrifugal Compressors Qty</v>
      </c>
      <c r="C3" t="str">
        <f t="shared" si="1"/>
        <v>OSBL: Centrifugal Compressors Qty</v>
      </c>
      <c r="D3" s="83" t="str">
        <f>'Project Direct Metrics'!$B$5</f>
        <v>&lt;#dbvalue(2_Equipment_ISBL_Data;1;"KEYQUANT";)&gt;</v>
      </c>
      <c r="E3" s="83" t="str">
        <f>'Project Direct Metrics'!$C$5</f>
        <v>&lt;#dbvalue(2_Equipment_OSBL_Data;1;"KEYQUANT";)&gt;</v>
      </c>
    </row>
    <row r="4" spans="1:5">
      <c r="A4" t="s">
        <v>100</v>
      </c>
      <c r="B4" t="str">
        <f t="shared" si="0"/>
        <v>ISBL: Crushers, Mills Qty</v>
      </c>
      <c r="C4" t="str">
        <f t="shared" si="1"/>
        <v>OSBL: Crushers, Mills Qty</v>
      </c>
      <c r="D4" s="83" t="str">
        <f>'Project Direct Metrics'!$B$6</f>
        <v>&lt;#dbvalue(2_Equipment_ISBL_Data;2;"KEYQUANT";)&gt;</v>
      </c>
      <c r="E4" s="83" t="str">
        <f>'Project Direct Metrics'!$C$6</f>
        <v>&lt;#dbvalue(2_Equipment_OSBL_Data;2;"KEYQUANT";)&gt;</v>
      </c>
    </row>
    <row r="5" spans="1:5">
      <c r="A5" t="s">
        <v>99</v>
      </c>
      <c r="B5" t="str">
        <f t="shared" si="0"/>
        <v>ISBL: Drivers Qty</v>
      </c>
      <c r="C5" t="str">
        <f t="shared" si="1"/>
        <v>OSBL: Drivers Qty</v>
      </c>
      <c r="D5" s="83" t="str">
        <f>'Project Direct Metrics'!$B$7</f>
        <v>&lt;#dbvalue(2_Equipment_ISBL_Data;3;"KEYQUANT";)&gt;</v>
      </c>
      <c r="E5" s="83" t="str">
        <f>'Project Direct Metrics'!$C$7</f>
        <v>&lt;#dbvalue(2_Equipment_OSBL_Data;3;"KEYQUANT";)&gt;</v>
      </c>
    </row>
    <row r="6" spans="1:5">
      <c r="A6" t="s">
        <v>98</v>
      </c>
      <c r="B6" t="str">
        <f t="shared" si="0"/>
        <v>ISBL: Fans, Blowers Qty</v>
      </c>
      <c r="C6" t="str">
        <f t="shared" si="1"/>
        <v>OSBL: Fans, Blowers Qty</v>
      </c>
      <c r="D6" s="83" t="str">
        <f>'Project Direct Metrics'!$B$8</f>
        <v>&lt;#dbvalue(2_Equipment_ISBL_Data;4;"KEYQUANT";)&gt;</v>
      </c>
      <c r="E6" s="83" t="str">
        <f>'Project Direct Metrics'!$C$8</f>
        <v>&lt;#dbvalue(2_Equipment_OSBL_Data;4;"KEYQUANT";)&gt;</v>
      </c>
    </row>
    <row r="7" spans="1:5">
      <c r="A7" t="s">
        <v>90</v>
      </c>
      <c r="B7" t="str">
        <f t="shared" si="0"/>
        <v>ISBL: Flares Qty</v>
      </c>
      <c r="C7" t="str">
        <f t="shared" si="1"/>
        <v>OSBL: Flares Qty</v>
      </c>
      <c r="D7" s="83" t="str">
        <f>'Project Direct Metrics'!$B$9</f>
        <v>&lt;#dbvalue(2_Equipment_ISBL_Data;5;"KEYQUANT";)&gt;</v>
      </c>
      <c r="E7" s="83" t="str">
        <f>'Project Direct Metrics'!$C$9</f>
        <v>&lt;#dbvalue(2_Equipment_OSBL_Data;5;"KEYQUANT";)&gt;</v>
      </c>
    </row>
    <row r="8" spans="1:5">
      <c r="A8" t="s">
        <v>102</v>
      </c>
      <c r="B8" t="str">
        <f t="shared" si="0"/>
        <v>ISBL: Fluid Separation Equipment Qty</v>
      </c>
      <c r="C8" t="str">
        <f t="shared" si="1"/>
        <v>OSBL: Fluid Separation Equipment Qty</v>
      </c>
      <c r="D8" s="83" t="str">
        <f>'Project Direct Metrics'!$B$10</f>
        <v>&lt;#dbvalue(2_Equipment_ISBL_Data;6;"KEYQUANT";)&gt;</v>
      </c>
      <c r="E8" s="83" t="str">
        <f>'Project Direct Metrics'!$C$10</f>
        <v>&lt;#dbvalue(2_Equipment_OSBL_Data;6;"KEYQUANT";)&gt;</v>
      </c>
    </row>
    <row r="9" spans="1:5">
      <c r="A9" t="s">
        <v>106</v>
      </c>
      <c r="B9" t="str">
        <f t="shared" si="0"/>
        <v>ISBL: Furnaces, Heaters Qty</v>
      </c>
      <c r="C9" t="str">
        <f t="shared" si="1"/>
        <v>OSBL: Furnaces, Heaters Qty</v>
      </c>
      <c r="D9" s="83" t="str">
        <f>'Project Direct Metrics'!$B$11</f>
        <v>&lt;#dbvalue(2_Equipment_ISBL_Data;7;"KEYQUANT";)&gt;</v>
      </c>
      <c r="E9" s="83" t="str">
        <f>'Project Direct Metrics'!$C$11</f>
        <v>&lt;#dbvalue(2_Equipment_OSBL_Data;7;"KEYQUANT";)&gt;</v>
      </c>
    </row>
    <row r="10" spans="1:5">
      <c r="A10" t="s">
        <v>104</v>
      </c>
      <c r="B10" t="str">
        <f t="shared" si="0"/>
        <v>ISBL: Generators Qty</v>
      </c>
      <c r="C10" t="str">
        <f t="shared" si="1"/>
        <v>OSBL: Generators Qty</v>
      </c>
      <c r="D10" s="83" t="str">
        <f>'Project Direct Metrics'!$B$12</f>
        <v>&lt;#dbvalue(2_Equipment_ISBL_Data;8;"KEYQUANT";)&gt;</v>
      </c>
      <c r="E10" s="83" t="str">
        <f>'Project Direct Metrics'!$C$12</f>
        <v>&lt;#dbvalue(2_Equipment_OSBL_Data;8;"KEYQUANT";)&gt;</v>
      </c>
    </row>
    <row r="11" spans="1:5">
      <c r="A11" t="s">
        <v>88</v>
      </c>
      <c r="B11" t="str">
        <f t="shared" si="0"/>
        <v>ISBL: Heat Exchangers Qty</v>
      </c>
      <c r="C11" t="str">
        <f t="shared" si="1"/>
        <v>OSBL: Heat Exchangers Qty</v>
      </c>
      <c r="D11" s="83" t="str">
        <f>'Project Direct Metrics'!$B$13</f>
        <v>&lt;#dbvalue(2_Equipment_ISBL_Data;9;"KEYQUANT";)&gt;</v>
      </c>
      <c r="E11" s="83" t="str">
        <f>'Project Direct Metrics'!$C$13</f>
        <v>&lt;#dbvalue(2_Equipment_OSBL_Data;9;"KEYQUANT";)&gt;</v>
      </c>
    </row>
    <row r="12" spans="1:5">
      <c r="A12" t="s">
        <v>103</v>
      </c>
      <c r="B12" t="str">
        <f t="shared" si="0"/>
        <v>ISBL: Material Handling Equipment Qty</v>
      </c>
      <c r="C12" t="str">
        <f t="shared" si="1"/>
        <v>OSBL: Material Handling Equipment Qty</v>
      </c>
      <c r="D12" s="83" t="str">
        <f>'Project Direct Metrics'!$B$14</f>
        <v>&lt;#dbvalue(2_Equipment_ISBL_Data;10;"KEYQUANT";)&gt;</v>
      </c>
      <c r="E12" s="83" t="str">
        <f>'Project Direct Metrics'!$C$14</f>
        <v>&lt;#dbvalue(2_Equipment_OSBL_Data;10;"KEYQUANT";)&gt;</v>
      </c>
    </row>
    <row r="13" spans="1:5">
      <c r="A13" t="s">
        <v>107</v>
      </c>
      <c r="B13" t="str">
        <f t="shared" si="0"/>
        <v>ISBL: Package Units Qty</v>
      </c>
      <c r="C13" t="str">
        <f t="shared" si="1"/>
        <v>OSBL: Package Units Qty</v>
      </c>
      <c r="D13" s="83" t="str">
        <f>'Project Direct Metrics'!$B$15</f>
        <v>&lt;#dbvalue(2_Equipment_ISBL_Data;11;"KEYQUANT";)&gt;</v>
      </c>
      <c r="E13" s="83" t="str">
        <f>'Project Direct Metrics'!$C$15</f>
        <v>&lt;#dbvalue(2_Equipment_OSBL_Data;11;"KEYQUANT";)&gt;</v>
      </c>
    </row>
    <row r="14" spans="1:5">
      <c r="A14" t="s">
        <v>91</v>
      </c>
      <c r="B14" t="str">
        <f t="shared" si="0"/>
        <v>ISBL: Process Vessels Qty</v>
      </c>
      <c r="C14" t="str">
        <f t="shared" si="1"/>
        <v>OSBL: Process Vessels Qty</v>
      </c>
      <c r="D14" s="83" t="str">
        <f>'Project Direct Metrics'!$B$16</f>
        <v>&lt;#dbvalue(2_Equipment_ISBL_Data;12;"KEYQUANT";)&gt;</v>
      </c>
      <c r="E14" s="83" t="str">
        <f>'Project Direct Metrics'!$C$16</f>
        <v>&lt;#dbvalue(2_Equipment_OSBL_Data;12;"KEYQUANT";)&gt;</v>
      </c>
    </row>
    <row r="15" spans="1:5">
      <c r="A15" t="s">
        <v>87</v>
      </c>
      <c r="B15" t="str">
        <f t="shared" si="0"/>
        <v>ISBL: Pumps Qty</v>
      </c>
      <c r="C15" t="str">
        <f t="shared" si="1"/>
        <v>OSBL: Pumps Qty</v>
      </c>
      <c r="D15" s="83" t="str">
        <f>'Project Direct Metrics'!$B$17</f>
        <v>&lt;#dbvalue(2_Equipment_ISBL_Data;13;"KEYQUANT";)&gt;</v>
      </c>
      <c r="E15" s="83" t="str">
        <f>'Project Direct Metrics'!$C$17</f>
        <v>&lt;#dbvalue(2_Equipment_OSBL_Data;13;"KEYQUANT";)&gt;</v>
      </c>
    </row>
    <row r="16" spans="1:5">
      <c r="A16" t="s">
        <v>96</v>
      </c>
      <c r="B16" t="str">
        <f t="shared" si="0"/>
        <v>ISBL: Reactors, Mixers Qty</v>
      </c>
      <c r="C16" t="str">
        <f t="shared" si="1"/>
        <v>OSBL: Reactors, Mixers Qty</v>
      </c>
      <c r="D16" s="83" t="str">
        <f>'Project Direct Metrics'!$B$18</f>
        <v>&lt;#dbvalue(2_Equipment_ISBL_Data;14;"KEYQUANT";)&gt;</v>
      </c>
      <c r="E16" s="83" t="str">
        <f>'Project Direct Metrics'!$C$18</f>
        <v>&lt;#dbvalue(2_Equipment_OSBL_Data;14;"KEYQUANT";)&gt;</v>
      </c>
    </row>
    <row r="17" spans="1:5">
      <c r="A17" t="s">
        <v>93</v>
      </c>
      <c r="B17" t="str">
        <f t="shared" si="0"/>
        <v>ISBL: Reciprocating Compressors Qty</v>
      </c>
      <c r="C17" t="str">
        <f t="shared" si="1"/>
        <v>OSBL: Reciprocating Compressors Qty</v>
      </c>
      <c r="D17" s="83" t="str">
        <f>'Project Direct Metrics'!$B$19</f>
        <v>&lt;#dbvalue(2_Equipment_ISBL_Data;15;"KEYQUANT";)&gt;</v>
      </c>
      <c r="E17" s="83" t="str">
        <f>'Project Direct Metrics'!$C$19</f>
        <v>&lt;#dbvalue(2_Equipment_OSBL_Data;15;"KEYQUANT";)&gt;</v>
      </c>
    </row>
    <row r="18" spans="1:5">
      <c r="A18" t="s">
        <v>101</v>
      </c>
      <c r="B18" t="str">
        <f t="shared" si="0"/>
        <v>ISBL: Solids Separation Equipment Qty</v>
      </c>
      <c r="C18" t="str">
        <f t="shared" si="1"/>
        <v>OSBL: Solids Separation Equipment Qty</v>
      </c>
      <c r="D18" s="83" t="str">
        <f>'Project Direct Metrics'!$B$20</f>
        <v>&lt;#dbvalue(2_Equipment_ISBL_Data;16;"KEYQUANT";)&gt;</v>
      </c>
      <c r="E18" s="83" t="str">
        <f>'Project Direct Metrics'!$C$20</f>
        <v>&lt;#dbvalue(2_Equipment_OSBL_Data;16;"KEYQUANT";)&gt;</v>
      </c>
    </row>
    <row r="19" spans="1:5">
      <c r="A19" t="s">
        <v>89</v>
      </c>
      <c r="B19" t="str">
        <f t="shared" si="0"/>
        <v>ISBL: Storage Vessels Qty</v>
      </c>
      <c r="C19" t="str">
        <f t="shared" si="1"/>
        <v>OSBL: Storage Vessels Qty</v>
      </c>
      <c r="D19" s="83" t="str">
        <f>'Project Direct Metrics'!$B$21</f>
        <v>&lt;#dbvalue(2_Equipment_ISBL_Data;17;"KEYQUANT";)&gt;</v>
      </c>
      <c r="E19" s="83" t="str">
        <f>'Project Direct Metrics'!$C$21</f>
        <v>&lt;#dbvalue(2_Equipment_OSBL_Data;17;"KEYQUANT";)&gt;</v>
      </c>
    </row>
    <row r="20" spans="1:5">
      <c r="A20" t="s">
        <v>97</v>
      </c>
      <c r="B20" t="str">
        <f t="shared" si="0"/>
        <v>ISBL: Turbo Expanders Qty</v>
      </c>
      <c r="C20" t="str">
        <f t="shared" si="1"/>
        <v>OSBL: Turbo Expanders Qty</v>
      </c>
      <c r="D20" s="83" t="str">
        <f>'Project Direct Metrics'!$B$22</f>
        <v>&lt;#dbvalue(2_Equipment_ISBL_Data;18;"KEYQUANT";)&gt;</v>
      </c>
      <c r="E20" s="83" t="str">
        <f>'Project Direct Metrics'!$C$22</f>
        <v>&lt;#dbvalue(2_Equipment_OSBL_Data;18;"KEYQUANT";)&gt;</v>
      </c>
    </row>
    <row r="21" spans="1:5">
      <c r="A21" t="s">
        <v>94</v>
      </c>
      <c r="B21" t="str">
        <f t="shared" si="0"/>
        <v>ISBL: Other Equipment Items Qty</v>
      </c>
      <c r="C21" t="str">
        <f t="shared" si="1"/>
        <v>OSBL: Other Equipment Items Qty</v>
      </c>
      <c r="D21" s="83" t="str">
        <f>'Project Direct Metrics'!$B$23</f>
        <v>&lt;#dbvalue(2_Equipment_ISBL_Data;19;"KEYQUANT";)&gt;</v>
      </c>
      <c r="E21" s="83" t="str">
        <f>'Project Direct Metrics'!$C$23</f>
        <v>&lt;#dbvalue(2_Equipment_OSBL_Data;19;"KEYQUANT";)&gt;</v>
      </c>
    </row>
    <row r="22" spans="1:5">
      <c r="A22" t="s">
        <v>95</v>
      </c>
      <c r="B22" t="str">
        <f t="shared" si="0"/>
        <v>ISBL: Equipment Demolition Qty</v>
      </c>
      <c r="C22" t="str">
        <f t="shared" si="1"/>
        <v>OSBL: Equipment Demolition Qty</v>
      </c>
      <c r="D22" s="83" t="str">
        <f>'Project Direct Metrics'!$B$26</f>
        <v>&lt;#dbvalue(2_Equipment_ISBL_Data;22;"KEYQUANT";)&gt;</v>
      </c>
      <c r="E22" s="83" t="str">
        <f>'Project Direct Metrics'!$C$26</f>
        <v>&lt;#dbvalue(2_Equipment_OSBL_Data;22;"KEYQUANT";)&gt;</v>
      </c>
    </row>
    <row r="24" spans="1:5">
      <c r="A24" t="s">
        <v>219</v>
      </c>
      <c r="B24" t="str">
        <f t="shared" ref="B24:B39" si="2">CONCATENATE("ISBL: ",A24," Qty")</f>
        <v>ISBL: CS Pipe Qty</v>
      </c>
      <c r="C24" t="str">
        <f t="shared" ref="C24:C39" si="3">CONCATENATE("OSBL: ",A24," Qty")</f>
        <v>OSBL: CS Pipe Qty</v>
      </c>
      <c r="D24" s="81" t="str">
        <f>'Project Direct Metrics'!$B$30</f>
        <v>&lt;#dbvalue(3_Piping_ISBL_Data;0;"KEYQUANT";)&gt;</v>
      </c>
      <c r="E24" s="81" t="str">
        <f>'Project Direct Metrics'!$C$30</f>
        <v>&lt;#dbvalue(3_Piping_OSBL_Data;0;"KEYQUANT";)&gt;</v>
      </c>
    </row>
    <row r="25" spans="1:5">
      <c r="A25" t="s">
        <v>220</v>
      </c>
      <c r="B25" t="str">
        <f t="shared" si="2"/>
        <v>ISBL: CS Valves, Fittings Qty</v>
      </c>
      <c r="C25" t="str">
        <f t="shared" si="3"/>
        <v>OSBL: CS Valves, Fittings Qty</v>
      </c>
      <c r="D25" s="81" t="str">
        <f>'Project Direct Metrics'!$B$31</f>
        <v>&lt;#dbvalue(3_Piping_ISBL_Data;1;"KEYQUANT";)&gt;</v>
      </c>
      <c r="E25" s="81" t="str">
        <f>'Project Direct Metrics'!$C$31</f>
        <v>&lt;#dbvalue(3_Piping_OSBL_Data;1;"KEYQUANT";)&gt;</v>
      </c>
    </row>
    <row r="26" spans="1:5">
      <c r="A26" t="s">
        <v>225</v>
      </c>
      <c r="B26" t="str">
        <f t="shared" si="2"/>
        <v>ISBL: SS Pipe Qty</v>
      </c>
      <c r="C26" t="str">
        <f t="shared" si="3"/>
        <v>OSBL: SS Pipe Qty</v>
      </c>
      <c r="D26" s="81" t="str">
        <f>'Project Direct Metrics'!$B$32</f>
        <v>&lt;#dbvalue(3_Piping_ISBL_Data;2;"KEYQUANT";)&gt;</v>
      </c>
      <c r="E26" s="81" t="str">
        <f>'Project Direct Metrics'!$C$32</f>
        <v>&lt;#dbvalue(3_Piping_OSBL_Data;2;"KEYQUANT";)&gt;</v>
      </c>
    </row>
    <row r="27" spans="1:5">
      <c r="A27" t="s">
        <v>221</v>
      </c>
      <c r="B27" t="str">
        <f t="shared" si="2"/>
        <v>ISBL: SS Valves, Fittings Qty</v>
      </c>
      <c r="C27" t="str">
        <f t="shared" si="3"/>
        <v>OSBL: SS Valves, Fittings Qty</v>
      </c>
      <c r="D27" s="81" t="str">
        <f>'Project Direct Metrics'!$B$33</f>
        <v>&lt;#dbvalue(3_Piping_ISBL_Data;3;"KEYQUANT";)&gt;</v>
      </c>
      <c r="E27" s="81" t="str">
        <f>'Project Direct Metrics'!$C$33</f>
        <v>&lt;#dbvalue(3_Piping_OSBL_Data;3;"KEYQUANT";)&gt;</v>
      </c>
    </row>
    <row r="28" spans="1:5">
      <c r="A28" t="s">
        <v>226</v>
      </c>
      <c r="B28" t="str">
        <f t="shared" si="2"/>
        <v>ISBL: Non-ferrous Pipe Qty</v>
      </c>
      <c r="C28" t="str">
        <f t="shared" si="3"/>
        <v>OSBL: Non-ferrous Pipe Qty</v>
      </c>
      <c r="D28" s="81" t="str">
        <f>'Project Direct Metrics'!$B$34</f>
        <v>&lt;#dbvalue(3_Piping_ISBL_Data;4;"KEYQUANT";)&gt;</v>
      </c>
      <c r="E28" s="81" t="str">
        <f>'Project Direct Metrics'!$C$34</f>
        <v>&lt;#dbvalue(3_Piping_OSBL_Data;4;"KEYQUANT";)&gt;</v>
      </c>
    </row>
    <row r="29" spans="1:5">
      <c r="A29" t="s">
        <v>222</v>
      </c>
      <c r="B29" t="str">
        <f t="shared" si="2"/>
        <v>ISBL: Non-ferrous Valves, Fittings Qty</v>
      </c>
      <c r="C29" t="str">
        <f t="shared" si="3"/>
        <v>OSBL: Non-ferrous Valves, Fittings Qty</v>
      </c>
      <c r="D29" s="81" t="str">
        <f>'Project Direct Metrics'!$B$35</f>
        <v>&lt;#dbvalue(3_Piping_ISBL_Data;5;"KEYQUANT";)&gt;</v>
      </c>
      <c r="E29" s="81" t="str">
        <f>'Project Direct Metrics'!$C$35</f>
        <v>&lt;#dbvalue(3_Piping_OSBL_Data;5;"KEYQUANT";)&gt;</v>
      </c>
    </row>
    <row r="30" spans="1:5">
      <c r="A30" t="s">
        <v>227</v>
      </c>
      <c r="B30" t="str">
        <f t="shared" si="2"/>
        <v>ISBL: Lined Pipe Qty</v>
      </c>
      <c r="C30" t="str">
        <f t="shared" si="3"/>
        <v>OSBL: Lined Pipe Qty</v>
      </c>
      <c r="D30" s="81" t="str">
        <f>'Project Direct Metrics'!$B$36</f>
        <v>&lt;#dbvalue(3_Piping_ISBL_Data;6;"KEYQUANT";)&gt;</v>
      </c>
      <c r="E30" s="81" t="str">
        <f>'Project Direct Metrics'!$C$36</f>
        <v>&lt;#dbvalue(3_Piping_OSBL_Data;6;"KEYQUANT";)&gt;</v>
      </c>
    </row>
    <row r="31" spans="1:5">
      <c r="A31" t="s">
        <v>223</v>
      </c>
      <c r="B31" t="str">
        <f t="shared" si="2"/>
        <v>ISBL: Lined Valves, Fittings Qty</v>
      </c>
      <c r="C31" t="str">
        <f t="shared" si="3"/>
        <v>OSBL: Lined Valves, Fittings Qty</v>
      </c>
      <c r="D31" s="81" t="str">
        <f>'Project Direct Metrics'!$B$37</f>
        <v>&lt;#dbvalue(3_Piping_ISBL_Data;7;"KEYQUANT";)&gt;</v>
      </c>
      <c r="E31" s="81" t="str">
        <f>'Project Direct Metrics'!$C$37</f>
        <v>&lt;#dbvalue(3_Piping_OSBL_Data;7;"KEYQUANT";)&gt;</v>
      </c>
    </row>
    <row r="32" spans="1:5">
      <c r="A32" t="s">
        <v>228</v>
      </c>
      <c r="B32" t="str">
        <f t="shared" si="2"/>
        <v>ISBL: Non-metallic Pipe Qty</v>
      </c>
      <c r="C32" t="str">
        <f t="shared" si="3"/>
        <v>OSBL: Non-metallic Pipe Qty</v>
      </c>
      <c r="D32" s="81" t="str">
        <f>'Project Direct Metrics'!$B$38</f>
        <v>&lt;#dbvalue(3_Piping_ISBL_Data;8;"KEYQUANT";)&gt;</v>
      </c>
      <c r="E32" s="81" t="str">
        <f>'Project Direct Metrics'!$C$38</f>
        <v>&lt;#dbvalue(3_Piping_OSBL_Data;8;"KEYQUANT";)&gt;</v>
      </c>
    </row>
    <row r="33" spans="1:5">
      <c r="A33" t="s">
        <v>224</v>
      </c>
      <c r="B33" t="str">
        <f t="shared" si="2"/>
        <v>ISBL: Non-metallic Valves, Fittings Qty</v>
      </c>
      <c r="C33" t="str">
        <f t="shared" si="3"/>
        <v>OSBL: Non-metallic Valves, Fittings Qty</v>
      </c>
      <c r="D33" s="81" t="str">
        <f>'Project Direct Metrics'!$B$39</f>
        <v>&lt;#dbvalue(3_Piping_ISBL_Data;9;"KEYQUANT";)&gt;</v>
      </c>
      <c r="E33" s="81" t="str">
        <f>'Project Direct Metrics'!$C$39</f>
        <v>&lt;#dbvalue(3_Piping_OSBL_Data;9;"KEYQUANT";)&gt;</v>
      </c>
    </row>
    <row r="34" spans="1:5">
      <c r="A34" t="s">
        <v>112</v>
      </c>
      <c r="B34" t="str">
        <f t="shared" si="2"/>
        <v>ISBL: Specialty Piping Items Qty</v>
      </c>
      <c r="C34" t="str">
        <f t="shared" si="3"/>
        <v>OSBL: Specialty Piping Items Qty</v>
      </c>
      <c r="D34" s="81" t="str">
        <f>'Project Direct Metrics'!$B$40</f>
        <v>&lt;#dbvalue(3_Piping_ISBL_Data;10;"KEYQUANT";)&gt;</v>
      </c>
      <c r="E34" s="81" t="str">
        <f>'Project Direct Metrics'!$C$40</f>
        <v>&lt;#dbvalue(3_Piping_OSBL_Data;10;"KEYQUANT";)&gt;</v>
      </c>
    </row>
    <row r="35" spans="1:5">
      <c r="A35" t="s">
        <v>113</v>
      </c>
      <c r="B35" t="str">
        <f t="shared" si="2"/>
        <v>ISBL: Firewater Piping Qty</v>
      </c>
      <c r="C35" t="str">
        <f t="shared" si="3"/>
        <v>OSBL: Firewater Piping Qty</v>
      </c>
      <c r="D35" s="81" t="str">
        <f>'Project Direct Metrics'!$B$41</f>
        <v>&lt;#dbvalue(3_Piping_ISBL_Data;11;"KEYQUANT";)&gt;</v>
      </c>
      <c r="E35" s="81" t="str">
        <f>'Project Direct Metrics'!$C$41</f>
        <v>&lt;#dbvalue(3_Piping_OSBL_Data;11;"KEYQUANT";)&gt;</v>
      </c>
    </row>
    <row r="36" spans="1:5">
      <c r="A36" t="s">
        <v>114</v>
      </c>
      <c r="B36" t="str">
        <f t="shared" si="2"/>
        <v>ISBL: Ductwork, Launders Qty</v>
      </c>
      <c r="C36" t="str">
        <f t="shared" si="3"/>
        <v>OSBL: Ductwork, Launders Qty</v>
      </c>
      <c r="D36" s="81" t="str">
        <f>'Project Direct Metrics'!$B$42</f>
        <v>&lt;#dbvalue(3_Piping_ISBL_Data;12;"KEYQUANT";)&gt;</v>
      </c>
      <c r="E36" s="81" t="str">
        <f>'Project Direct Metrics'!$C$42</f>
        <v>&lt;#dbvalue(3_Piping_OSBL_Data;12;"KEYQUANT";)&gt;</v>
      </c>
    </row>
    <row r="37" spans="1:5">
      <c r="A37" t="s">
        <v>115</v>
      </c>
      <c r="B37" t="str">
        <f t="shared" si="2"/>
        <v>ISBL: Pipelines Qty</v>
      </c>
      <c r="C37" t="str">
        <f t="shared" si="3"/>
        <v>OSBL: Pipelines Qty</v>
      </c>
      <c r="D37" s="81" t="str">
        <f>'Project Direct Metrics'!$B$43</f>
        <v>&lt;#dbvalue(3_Piping_ISBL_Data;13;"KEYQUANT";)&gt;</v>
      </c>
      <c r="E37" s="81" t="str">
        <f>'Project Direct Metrics'!$C$43</f>
        <v>&lt;#dbvalue(3_Piping_OSBL_Data;13;"KEYQUANT";)&gt;</v>
      </c>
    </row>
    <row r="38" spans="1:5">
      <c r="A38" t="s">
        <v>118</v>
      </c>
      <c r="B38" t="str">
        <f t="shared" si="2"/>
        <v>ISBL: Other Piping Qty</v>
      </c>
      <c r="C38" t="str">
        <f t="shared" si="3"/>
        <v>OSBL: Other Piping Qty</v>
      </c>
      <c r="D38" s="81" t="str">
        <f>'Project Direct Metrics'!$B$44</f>
        <v>&lt;#dbvalue(3_Piping_ISBL_Data;14;"KEYQUANT";)&gt;</v>
      </c>
      <c r="E38" s="81" t="str">
        <f>'Project Direct Metrics'!$C$44</f>
        <v>&lt;#dbvalue(3_Piping_OSBL_Data;14;"KEYQUANT";)&gt;</v>
      </c>
    </row>
    <row r="39" spans="1:5">
      <c r="A39" t="s">
        <v>116</v>
      </c>
      <c r="B39" t="str">
        <f t="shared" si="2"/>
        <v>ISBL: Pipe Demolition Qty</v>
      </c>
      <c r="C39" t="str">
        <f t="shared" si="3"/>
        <v>OSBL: Pipe Demolition Qty</v>
      </c>
      <c r="D39" s="81" t="str">
        <f>'Project Direct Metrics'!$B$46</f>
        <v>&lt;#dbvalue(3_Piping_ISBL_Data;16;"KEYQUANT";)&gt;</v>
      </c>
      <c r="E39" s="81" t="str">
        <f>'Project Direct Metrics'!$C$46</f>
        <v>&lt;#dbvalue(3_Piping_OSBL_Data;16;"KEYQUANT";)&gt;</v>
      </c>
    </row>
    <row r="40" spans="1:5">
      <c r="D40" s="81"/>
      <c r="E40" s="81"/>
    </row>
    <row r="41" spans="1:5">
      <c r="A41" t="s">
        <v>120</v>
      </c>
      <c r="B41" t="str">
        <f t="shared" ref="B41:B99" si="4">CONCATENATE("ISBL: ",A41," Qty")</f>
        <v>ISBL: Above Ground (AG) Piping Qty</v>
      </c>
      <c r="C41" t="str">
        <f t="shared" ref="C41:C47" si="5">CONCATENATE("OSBL: ",A41," Qty")</f>
        <v>OSBL: Above Ground (AG) Piping Qty</v>
      </c>
      <c r="D41" s="81" t="str">
        <f>'Project Direct Metrics'!$B$50</f>
        <v>&lt;#dbvalue(3_PipingByInstall_ISBL_Data;0;"KEYQUANT";)&gt;</v>
      </c>
      <c r="E41" s="81" t="str">
        <f>'Project Direct Metrics'!$C$50</f>
        <v>&lt;#dbvalue(3_PipingByInstall_OSBL_Data;0;"KEYQUANT";)&gt;</v>
      </c>
    </row>
    <row r="42" spans="1:5">
      <c r="A42" t="s">
        <v>121</v>
      </c>
      <c r="B42" t="str">
        <f t="shared" si="4"/>
        <v>ISBL: Underground (UG) Piping Qty</v>
      </c>
      <c r="C42" t="str">
        <f t="shared" si="5"/>
        <v>OSBL: Underground (UG) Piping Qty</v>
      </c>
      <c r="D42" s="81" t="str">
        <f>'Project Direct Metrics'!$B$51</f>
        <v>&lt;#dbvalue(3_PipingByInstall_ISBL_Data;1;"KEYQUANT";)&gt;</v>
      </c>
      <c r="E42" s="81" t="str">
        <f>'Project Direct Metrics'!$C$51</f>
        <v>&lt;#dbvalue(3_PipingByInstall_OSBL_Data;1;"KEYQUANT";)&gt;</v>
      </c>
    </row>
    <row r="43" spans="1:5">
      <c r="A43" t="s">
        <v>123</v>
      </c>
      <c r="B43" t="str">
        <f t="shared" si="4"/>
        <v>ISBL: Extra-small Diameter Qty</v>
      </c>
      <c r="C43" t="str">
        <f t="shared" si="5"/>
        <v>OSBL: Extra-small Diameter Qty</v>
      </c>
      <c r="D43" s="81" t="str">
        <f>'Project Direct Metrics'!$B$54</f>
        <v>&lt;#dbvalue(3_PipingBySize_ISBL_Data;0;"KEYQUANT";)&gt;</v>
      </c>
      <c r="E43" s="81" t="str">
        <f>'Project Direct Metrics'!$C$54</f>
        <v>&lt;#dbvalue(3_PipingBySize_OSBL_Data;0;"KEYQUANT";)&gt;</v>
      </c>
    </row>
    <row r="44" spans="1:5">
      <c r="A44" t="s">
        <v>124</v>
      </c>
      <c r="B44" t="str">
        <f t="shared" si="4"/>
        <v>ISBL: Small Diameter Qty</v>
      </c>
      <c r="C44" t="str">
        <f t="shared" si="5"/>
        <v>OSBL: Small Diameter Qty</v>
      </c>
      <c r="D44" s="81" t="str">
        <f>'Project Direct Metrics'!$B$55</f>
        <v>&lt;#dbvalue(3_PipingBySize_ISBL_Data;1;"KEYQUANT";)&gt;</v>
      </c>
      <c r="E44" s="81" t="str">
        <f>'Project Direct Metrics'!$C$55</f>
        <v>&lt;#dbvalue(3_PipingBySize_OSBL_Data;1;"KEYQUANT";)&gt;</v>
      </c>
    </row>
    <row r="45" spans="1:5">
      <c r="A45" t="s">
        <v>125</v>
      </c>
      <c r="B45" t="str">
        <f t="shared" si="4"/>
        <v>ISBL: Medium Diameter Qty</v>
      </c>
      <c r="C45" t="str">
        <f t="shared" si="5"/>
        <v>OSBL: Medium Diameter Qty</v>
      </c>
      <c r="D45" s="81" t="str">
        <f>'Project Direct Metrics'!$B$56</f>
        <v>&lt;#dbvalue(3_PipingBySize_ISBL_Data;2;"KEYQUANT";)&gt;</v>
      </c>
      <c r="E45" s="81" t="str">
        <f>'Project Direct Metrics'!$C$56</f>
        <v>&lt;#dbvalue(3_PipingBySize_OSBL_Data;2;"KEYQUANT";)&gt;</v>
      </c>
    </row>
    <row r="46" spans="1:5">
      <c r="A46" t="s">
        <v>126</v>
      </c>
      <c r="B46" t="str">
        <f t="shared" si="4"/>
        <v>ISBL: Large Diameter Qty</v>
      </c>
      <c r="C46" t="str">
        <f t="shared" si="5"/>
        <v>OSBL: Large Diameter Qty</v>
      </c>
      <c r="D46" s="81" t="str">
        <f>'Project Direct Metrics'!$B$57</f>
        <v>&lt;#dbvalue(3_PipingBySize_ISBL_Data;3;"KEYQUANT";)&gt;</v>
      </c>
      <c r="E46" s="81" t="str">
        <f>'Project Direct Metrics'!$C$57</f>
        <v>&lt;#dbvalue(3_PipingBySize_OSBL_Data;3;"KEYQUANT";)&gt;</v>
      </c>
    </row>
    <row r="47" spans="1:5">
      <c r="A47" t="s">
        <v>127</v>
      </c>
      <c r="B47" t="str">
        <f t="shared" si="4"/>
        <v>ISBL: Extra-large Diameter Qty</v>
      </c>
      <c r="C47" t="str">
        <f t="shared" si="5"/>
        <v>OSBL: Extra-large Diameter Qty</v>
      </c>
      <c r="D47" s="81" t="str">
        <f>'Project Direct Metrics'!$B$58</f>
        <v>&lt;#dbvalue(3_PipingBySize_ISBL_Data;4;"KEYQUANT";)&gt;</v>
      </c>
      <c r="E47" s="81" t="str">
        <f>'Project Direct Metrics'!$C$58</f>
        <v>&lt;#dbvalue(3_PipingBySize_OSBL_Data;4;"KEYQUANT";)&gt;</v>
      </c>
    </row>
    <row r="49" spans="1:5">
      <c r="A49" t="s">
        <v>129</v>
      </c>
      <c r="B49" t="str">
        <f t="shared" si="4"/>
        <v>ISBL: Earthwork Qty</v>
      </c>
      <c r="C49" t="str">
        <f t="shared" ref="C49:C56" si="6">CONCATENATE("OSBL: ",A49," Qty")</f>
        <v>OSBL: Earthwork Qty</v>
      </c>
      <c r="D49" s="81" t="str">
        <f>'Project Direct Metrics'!$B$61</f>
        <v>&lt;#dbvalue(4_Civil_ISBL_Data;0;"KEYQUANT";)&gt;</v>
      </c>
      <c r="E49" s="81" t="str">
        <f>'Project Direct Metrics'!$C$61</f>
        <v>&lt;#dbvalue(4_Civil_OSBL_Data;0;"KEYQUANT";)&gt;</v>
      </c>
    </row>
    <row r="50" spans="1:5">
      <c r="A50" t="s">
        <v>134</v>
      </c>
      <c r="B50" t="str">
        <f t="shared" si="4"/>
        <v>ISBL: Roads, Railroads Qty</v>
      </c>
      <c r="C50" t="str">
        <f t="shared" si="6"/>
        <v>OSBL: Roads, Railroads Qty</v>
      </c>
      <c r="D50" s="81" t="str">
        <f>'Project Direct Metrics'!$B$62</f>
        <v>&lt;#dbvalue(4_Civil_ISBL_Data;1;"KEYQUANT";)&gt;</v>
      </c>
      <c r="E50" s="81" t="str">
        <f>'Project Direct Metrics'!$C$62</f>
        <v>&lt;#dbvalue(4_Civil_OSBL_Data;1;"KEYQUANT";)&gt;</v>
      </c>
    </row>
    <row r="51" spans="1:5">
      <c r="A51" t="s">
        <v>131</v>
      </c>
      <c r="B51" t="str">
        <f t="shared" si="4"/>
        <v>ISBL: Piling Qty</v>
      </c>
      <c r="C51" t="str">
        <f t="shared" si="6"/>
        <v>OSBL: Piling Qty</v>
      </c>
      <c r="D51" s="81" t="str">
        <f>'Project Direct Metrics'!$B$63</f>
        <v>&lt;#dbvalue(4_Civil_ISBL_Data;2;"KEYQUANT";)&gt;</v>
      </c>
      <c r="E51" s="81" t="str">
        <f>'Project Direct Metrics'!$C$63</f>
        <v>&lt;#dbvalue(4_Civil_OSBL_Data;2;"KEYQUANT";)&gt;</v>
      </c>
    </row>
    <row r="52" spans="1:5">
      <c r="A52" t="s">
        <v>132</v>
      </c>
      <c r="B52" t="str">
        <f t="shared" si="4"/>
        <v>ISBL: Paving Qty</v>
      </c>
      <c r="C52" t="str">
        <f t="shared" si="6"/>
        <v>OSBL: Paving Qty</v>
      </c>
      <c r="D52" s="81" t="str">
        <f>'Project Direct Metrics'!$B$64</f>
        <v>&lt;#dbvalue(4_Civil_ISBL_Data;3;"KEYQUANT";)&gt;</v>
      </c>
      <c r="E52" s="81" t="str">
        <f>'Project Direct Metrics'!$C$64</f>
        <v>&lt;#dbvalue(4_Civil_OSBL_Data;3;"KEYQUANT";)&gt;</v>
      </c>
    </row>
    <row r="53" spans="1:5">
      <c r="A53" t="s">
        <v>10</v>
      </c>
      <c r="B53" t="str">
        <f t="shared" si="4"/>
        <v>ISBL: Concrete Qty</v>
      </c>
      <c r="C53" t="str">
        <f t="shared" si="6"/>
        <v>OSBL: Concrete Qty</v>
      </c>
      <c r="D53" s="81" t="str">
        <f>'Project Direct Metrics'!$B$65</f>
        <v>&lt;#dbvalue(4_Civil_ISBL_Data;4;"KEYQUANT";)&gt;</v>
      </c>
      <c r="E53" s="81" t="str">
        <f>'Project Direct Metrics'!$C$65</f>
        <v>&lt;#dbvalue(4_Civil_OSBL_Data;4;"KEYQUANT";)&gt;</v>
      </c>
    </row>
    <row r="54" spans="1:5">
      <c r="A54" t="s">
        <v>11</v>
      </c>
      <c r="B54" t="str">
        <f t="shared" si="4"/>
        <v>ISBL: Grout Qty</v>
      </c>
      <c r="C54" t="str">
        <f t="shared" si="6"/>
        <v>OSBL: Grout Qty</v>
      </c>
      <c r="D54" s="81" t="str">
        <f>'Project Direct Metrics'!$B$66</f>
        <v>&lt;#dbvalue(4_Civil_ISBL_Data;5;"KEYQUANT";)&gt;</v>
      </c>
      <c r="E54" s="81" t="str">
        <f>'Project Direct Metrics'!$C$66</f>
        <v>&lt;#dbvalue(4_Civil_OSBL_Data;5;"KEYQUANT";)&gt;</v>
      </c>
    </row>
    <row r="55" spans="1:5">
      <c r="A55" t="s">
        <v>387</v>
      </c>
      <c r="B55" t="str">
        <f t="shared" si="4"/>
        <v>ISBL: Rebar Qty</v>
      </c>
      <c r="C55" t="str">
        <f t="shared" si="6"/>
        <v>OSBL: Rebar Qty</v>
      </c>
      <c r="D55" s="81" t="str">
        <f>'Project Direct Metrics'!$B$67</f>
        <v>&lt;#dbvalue(4_Civil_ISBL_Data;6;"KEYQUANT";)&gt;</v>
      </c>
      <c r="E55" s="81" t="str">
        <f>'Project Direct Metrics'!$C$67</f>
        <v>&lt;#dbvalue(4_Civil_OSBL_Data;6;"KEYQUANT";)&gt;</v>
      </c>
    </row>
    <row r="56" spans="1:5">
      <c r="A56" t="s">
        <v>135</v>
      </c>
      <c r="B56" t="str">
        <f t="shared" si="4"/>
        <v>ISBL: Buildings, Architectural Qty</v>
      </c>
      <c r="C56" t="str">
        <f t="shared" si="6"/>
        <v>OSBL: Buildings, Architectural Qty</v>
      </c>
      <c r="D56" s="81" t="str">
        <f>'Project Direct Metrics'!$B$68</f>
        <v>&lt;#dbvalue(4_Civil_ISBL_Data;7;"KEYQUANT";)&gt;</v>
      </c>
      <c r="E56" s="81" t="str">
        <f>'Project Direct Metrics'!$C$68</f>
        <v>&lt;#dbvalue(4_Civil_OSBL_Data;7;"KEYQUANT";)&gt;</v>
      </c>
    </row>
    <row r="58" spans="1:5">
      <c r="A58" t="s">
        <v>138</v>
      </c>
      <c r="B58" t="str">
        <f t="shared" si="4"/>
        <v>ISBL: Extra Light Qty</v>
      </c>
      <c r="C58" t="str">
        <f t="shared" ref="C58:C65" si="7">CONCATENATE("OSBL: ",A58," Qty")</f>
        <v>OSBL: Extra Light Qty</v>
      </c>
      <c r="D58" s="81" t="str">
        <f>'Project Direct Metrics'!$B$75</f>
        <v>&lt;#dbvalue(5_Steel_ISBL_Data;0;"KEYQUANT";)&gt;</v>
      </c>
      <c r="E58" s="81" t="str">
        <f>'Project Direct Metrics'!$C$75</f>
        <v>&lt;#dbvalue(5_Steel_OSBL_Data;0;"KEYQUANT";)&gt;</v>
      </c>
    </row>
    <row r="59" spans="1:5">
      <c r="A59" t="s">
        <v>139</v>
      </c>
      <c r="B59" t="str">
        <f t="shared" si="4"/>
        <v>ISBL: Light Qty</v>
      </c>
      <c r="C59" t="str">
        <f t="shared" si="7"/>
        <v>OSBL: Light Qty</v>
      </c>
      <c r="D59" s="81" t="str">
        <f>'Project Direct Metrics'!$B$76</f>
        <v>&lt;#dbvalue(5_Steel_ISBL_Data;1;"KEYQUANT";)&gt;</v>
      </c>
      <c r="E59" s="81" t="str">
        <f>'Project Direct Metrics'!$C$76</f>
        <v>&lt;#dbvalue(5_Steel_OSBL_Data;1;"KEYQUANT";)&gt;</v>
      </c>
    </row>
    <row r="60" spans="1:5">
      <c r="A60" t="s">
        <v>140</v>
      </c>
      <c r="B60" t="str">
        <f t="shared" si="4"/>
        <v>ISBL: Medium Qty</v>
      </c>
      <c r="C60" t="str">
        <f t="shared" si="7"/>
        <v>OSBL: Medium Qty</v>
      </c>
      <c r="D60" s="81" t="str">
        <f>'Project Direct Metrics'!$B$77</f>
        <v>&lt;#dbvalue(5_Steel_ISBL_Data;2;"KEYQUANT";)&gt;</v>
      </c>
      <c r="E60" s="81" t="str">
        <f>'Project Direct Metrics'!$C$77</f>
        <v>&lt;#dbvalue(5_Steel_OSBL_Data;2;"KEYQUANT";)&gt;</v>
      </c>
    </row>
    <row r="61" spans="1:5">
      <c r="A61" t="s">
        <v>141</v>
      </c>
      <c r="B61" t="str">
        <f t="shared" si="4"/>
        <v>ISBL: Heavy Qty</v>
      </c>
      <c r="C61" t="str">
        <f t="shared" si="7"/>
        <v>OSBL: Heavy Qty</v>
      </c>
      <c r="D61" s="81" t="str">
        <f>'Project Direct Metrics'!$B$78</f>
        <v>&lt;#dbvalue(5_Steel_ISBL_Data;3;"KEYQUANT";)&gt;</v>
      </c>
      <c r="E61" s="81" t="str">
        <f>'Project Direct Metrics'!$C$78</f>
        <v>&lt;#dbvalue(5_Steel_OSBL_Data;3;"KEYQUANT";)&gt;</v>
      </c>
    </row>
    <row r="62" spans="1:5">
      <c r="A62" t="s">
        <v>142</v>
      </c>
      <c r="B62" t="str">
        <f t="shared" si="4"/>
        <v>ISBL: Extra Heavy Qty</v>
      </c>
      <c r="C62" t="str">
        <f t="shared" si="7"/>
        <v>OSBL: Extra Heavy Qty</v>
      </c>
      <c r="D62" s="81" t="str">
        <f>'Project Direct Metrics'!$B$79</f>
        <v>&lt;#dbvalue(5_Steel_ISBL_Data;4;"KEYQUANT";)&gt;</v>
      </c>
      <c r="E62" s="81" t="str">
        <f>'Project Direct Metrics'!$C$79</f>
        <v>&lt;#dbvalue(5_Steel_OSBL_Data;4;"KEYQUANT";)&gt;</v>
      </c>
    </row>
    <row r="63" spans="1:5">
      <c r="A63" t="s">
        <v>172</v>
      </c>
      <c r="B63" t="str">
        <f t="shared" si="4"/>
        <v>ISBL: Offshore Steel Qty</v>
      </c>
      <c r="C63" t="str">
        <f t="shared" si="7"/>
        <v>OSBL: Offshore Steel Qty</v>
      </c>
      <c r="D63" s="81" t="str">
        <f>'Project Direct Metrics'!$B$80</f>
        <v>&lt;#dbvalue(5_Steel_ISBL_Data;5;"KEYQUANT";)&gt;</v>
      </c>
      <c r="E63" s="81" t="str">
        <f>'Project Direct Metrics'!$C$80</f>
        <v>&lt;#dbvalue(5_Steel_OSBL_Data;5;"KEYQUANT";)&gt;</v>
      </c>
    </row>
    <row r="64" spans="1:5">
      <c r="A64" t="s">
        <v>143</v>
      </c>
      <c r="B64" t="str">
        <f t="shared" si="4"/>
        <v>ISBL: Other Steel Items Qty</v>
      </c>
      <c r="C64" t="str">
        <f t="shared" si="7"/>
        <v>OSBL: Other Steel Items Qty</v>
      </c>
      <c r="D64" s="81" t="str">
        <f>'Project Direct Metrics'!$B$81</f>
        <v>&lt;#dbvalue(5_Steel_ISBL_Data;6;"KEYQUANT";)&gt;</v>
      </c>
      <c r="E64" s="81" t="str">
        <f>'Project Direct Metrics'!$C$81</f>
        <v>&lt;#dbvalue(5_Steel_OSBL_Data;6;"KEYQUANT";)&gt;</v>
      </c>
    </row>
    <row r="65" spans="1:5">
      <c r="A65" t="s">
        <v>144</v>
      </c>
      <c r="B65" t="str">
        <f t="shared" si="4"/>
        <v>ISBL: Steel Demolition Qty</v>
      </c>
      <c r="C65" t="str">
        <f t="shared" si="7"/>
        <v>OSBL: Steel Demolition Qty</v>
      </c>
      <c r="D65" s="81" t="str">
        <f>'Project Direct Metrics'!$B$82</f>
        <v>&lt;#dbvalue(5_Steel_ISBL_Data;7;"KEYQUANT";)&gt;</v>
      </c>
      <c r="E65" s="81" t="str">
        <f>'Project Direct Metrics'!$C$82</f>
        <v>&lt;#dbvalue(5_Steel_OSBL_Data;7;"KEYQUANT";)&gt;</v>
      </c>
    </row>
    <row r="67" spans="1:5">
      <c r="A67" t="s">
        <v>175</v>
      </c>
      <c r="B67" t="str">
        <f t="shared" si="4"/>
        <v>ISBL: Sensors Qty</v>
      </c>
      <c r="C67" t="str">
        <f t="shared" ref="C67" si="8">CONCATENATE("OSBL: ",A67," Qty")</f>
        <v>OSBL: Sensors Qty</v>
      </c>
      <c r="D67" s="81" t="str">
        <f>'Project Direct Metrics'!$B$86</f>
        <v>&lt;#dbvalue(6_Instrumentation_ISBL_Data;0;"KEYQUANT";)&gt;</v>
      </c>
      <c r="E67" s="81" t="str">
        <f>'Project Direct Metrics'!$C$86</f>
        <v>&lt;#dbvalue(6_Instrumentation_OSBL_Data;0;"KEYQUANT";)&gt;</v>
      </c>
    </row>
    <row r="68" spans="1:5">
      <c r="A68" t="s">
        <v>176</v>
      </c>
      <c r="B68" t="str">
        <f t="shared" si="4"/>
        <v>ISBL: Control Valves Qty</v>
      </c>
      <c r="C68" t="str">
        <f t="shared" ref="C68:C71" si="9">CONCATENATE("OSBL: ",A68," Qty")</f>
        <v>OSBL: Control Valves Qty</v>
      </c>
      <c r="D68" s="81" t="str">
        <f>'Project Direct Metrics'!$B$87</f>
        <v>&lt;#dbvalue(6_Instrumentation_ISBL_Data;1;"KEYQUANT";)&gt;</v>
      </c>
      <c r="E68" s="81" t="str">
        <f>'Project Direct Metrics'!$C$87</f>
        <v>&lt;#dbvalue(6_Instrumentation_OSBL_Data;1;"KEYQUANT";)&gt;</v>
      </c>
    </row>
    <row r="69" spans="1:5">
      <c r="A69" t="s">
        <v>183</v>
      </c>
      <c r="B69" t="str">
        <f t="shared" si="4"/>
        <v>ISBL: Wiring, Cable, Data Highway, Fiber Optic Qty</v>
      </c>
      <c r="C69" t="str">
        <f t="shared" si="9"/>
        <v>OSBL: Wiring, Cable, Data Highway, Fiber Optic Qty</v>
      </c>
      <c r="D69" s="81" t="str">
        <f>'Project Direct Metrics'!$B$88</f>
        <v>&lt;#dbvalue(6_Instrumentation_ISBL_Data;2;"KEYQUANT";)&gt;</v>
      </c>
      <c r="E69" s="81" t="str">
        <f>'Project Direct Metrics'!$C$88</f>
        <v>&lt;#dbvalue(6_Instrumentation_OSBL_Data;2;"KEYQUANT";)&gt;</v>
      </c>
    </row>
    <row r="70" spans="1:5">
      <c r="A70" t="s">
        <v>420</v>
      </c>
      <c r="B70" t="str">
        <f t="shared" si="4"/>
        <v>ISBL: Junction Boxes, Cabinets Etc. Qty</v>
      </c>
      <c r="C70" t="str">
        <f t="shared" si="9"/>
        <v>OSBL: Junction Boxes, Cabinets Etc. Qty</v>
      </c>
      <c r="D70" s="81" t="str">
        <f>'Project Direct Metrics'!$B$89</f>
        <v>&lt;#dbvalue(6_Instrumentation_ISBL_Data;3;"KEYQUANT";)&gt;</v>
      </c>
      <c r="E70" s="81" t="str">
        <f>'Project Direct Metrics'!$C$89</f>
        <v>&lt;#dbvalue(6_Instrumentation_OSBL_Data;3;"KEYQUANT";)&gt;</v>
      </c>
    </row>
    <row r="71" spans="1:5">
      <c r="A71" t="s">
        <v>436</v>
      </c>
      <c r="B71" t="str">
        <f t="shared" si="4"/>
        <v>ISBL: Instrumentation Conduit, Fittings Qty</v>
      </c>
      <c r="C71" t="str">
        <f t="shared" si="9"/>
        <v>OSBL: Instrumentation Conduit, Fittings Qty</v>
      </c>
      <c r="D71" s="81" t="str">
        <f>'Project Direct Metrics'!$B$90</f>
        <v>&lt;#dbvalue(6_Instrumentation_ISBL_Data;4;"KEYQUANT";)&gt;</v>
      </c>
      <c r="E71" s="81" t="str">
        <f>'Project Direct Metrics'!$C$90</f>
        <v>&lt;#dbvalue(6_Instrumentation_OSBL_Data;4;"KEYQUANT";)&gt;</v>
      </c>
    </row>
    <row r="72" spans="1:5">
      <c r="A72" t="s">
        <v>435</v>
      </c>
      <c r="B72" t="str">
        <f t="shared" si="4"/>
        <v>ISBL: Instrumentation Cable Tray, Supports Qty</v>
      </c>
      <c r="C72" t="str">
        <f t="shared" ref="C72" si="10">CONCATENATE("OSBL: ",A72," Qty")</f>
        <v>OSBL: Instrumentation Cable Tray, Supports Qty</v>
      </c>
      <c r="D72" s="81" t="str">
        <f>'Project Direct Metrics'!$B$91</f>
        <v>&lt;#dbvalue(6_Instrumentation_ISBL_Data;5;"KEYQUANT";)&gt;</v>
      </c>
      <c r="E72" s="81" t="str">
        <f>'Project Direct Metrics'!$C$91</f>
        <v>&lt;#dbvalue(6_Instrumentation_OSBL_Data;5;"KEYQUANT";)&gt;</v>
      </c>
    </row>
    <row r="74" spans="1:5">
      <c r="A74" t="s">
        <v>164</v>
      </c>
      <c r="B74" t="str">
        <f t="shared" si="4"/>
        <v>ISBL: High Voltage Electrical Cable Qty</v>
      </c>
      <c r="C74" t="str">
        <f t="shared" ref="C74" si="11">CONCATENATE("OSBL: ",A74," Qty")</f>
        <v>OSBL: High Voltage Electrical Cable Qty</v>
      </c>
      <c r="D74" s="81" t="str">
        <f>'Project Direct Metrics'!$B$99</f>
        <v>&lt;#dbvalue(7_Electrical_ISBL_Data;0;"KEYQUANT";)&gt;</v>
      </c>
      <c r="E74" s="81" t="str">
        <f>'Project Direct Metrics'!$C$99</f>
        <v>&lt;#dbvalue(7_Electrical_OSBL_Data;0;"KEYQUANT";)&gt;</v>
      </c>
    </row>
    <row r="75" spans="1:5">
      <c r="A75" t="s">
        <v>165</v>
      </c>
      <c r="B75" t="str">
        <f t="shared" si="4"/>
        <v>ISBL: Medium Voltage Electrical Cable Qty</v>
      </c>
      <c r="C75" t="str">
        <f t="shared" ref="C75:C84" si="12">CONCATENATE("OSBL: ",A75," Qty")</f>
        <v>OSBL: Medium Voltage Electrical Cable Qty</v>
      </c>
      <c r="D75" s="81" t="str">
        <f>'Project Direct Metrics'!$B$100</f>
        <v>&lt;#dbvalue(7_Electrical_ISBL_Data;1;"KEYQUANT";)&gt;</v>
      </c>
      <c r="E75" s="81" t="str">
        <f>'Project Direct Metrics'!$C$100</f>
        <v>&lt;#dbvalue(7_Electrical_OSBL_Data;1;"KEYQUANT";)&gt;</v>
      </c>
    </row>
    <row r="76" spans="1:5">
      <c r="A76" t="s">
        <v>166</v>
      </c>
      <c r="B76" t="str">
        <f t="shared" si="4"/>
        <v>ISBL: Low Voltage Electrical Cable Qty</v>
      </c>
      <c r="C76" t="str">
        <f t="shared" si="12"/>
        <v>OSBL: Low Voltage Electrical Cable Qty</v>
      </c>
      <c r="D76" s="81" t="str">
        <f>'Project Direct Metrics'!$B$101</f>
        <v>&lt;#dbvalue(7_Electrical_ISBL_Data;2;"KEYQUANT";)&gt;</v>
      </c>
      <c r="E76" s="81" t="str">
        <f>'Project Direct Metrics'!$C$101</f>
        <v>&lt;#dbvalue(7_Electrical_OSBL_Data;2;"KEYQUANT";)&gt;</v>
      </c>
    </row>
    <row r="77" spans="1:5">
      <c r="A77" t="s">
        <v>167</v>
      </c>
      <c r="B77" t="str">
        <f t="shared" si="4"/>
        <v>ISBL: Control Cable Qty</v>
      </c>
      <c r="C77" t="str">
        <f t="shared" si="12"/>
        <v>OSBL: Control Cable Qty</v>
      </c>
      <c r="D77" s="81" t="str">
        <f>'Project Direct Metrics'!$B$102</f>
        <v>&lt;#dbvalue(7_Electrical_ISBL_Data;3;"KEYQUANT";)&gt;</v>
      </c>
      <c r="E77" s="81" t="str">
        <f>'Project Direct Metrics'!$C$102</f>
        <v>&lt;#dbvalue(7_Electrical_OSBL_Data;3;"KEYQUANT";)&gt;</v>
      </c>
    </row>
    <row r="78" spans="1:5">
      <c r="A78" t="s">
        <v>168</v>
      </c>
      <c r="B78" t="str">
        <f t="shared" si="4"/>
        <v>ISBL: Lighting Cable Qty</v>
      </c>
      <c r="C78" t="str">
        <f t="shared" si="12"/>
        <v>OSBL: Lighting Cable Qty</v>
      </c>
      <c r="D78" s="81" t="str">
        <f>'Project Direct Metrics'!$B$103</f>
        <v>&lt;#dbvalue(7_Electrical_ISBL_Data;4;"KEYQUANT";)&gt;</v>
      </c>
      <c r="E78" s="81" t="str">
        <f>'Project Direct Metrics'!$C$103</f>
        <v>&lt;#dbvalue(7_Electrical_OSBL_Data;4;"KEYQUANT";)&gt;</v>
      </c>
    </row>
    <row r="79" spans="1:5">
      <c r="A79" t="s">
        <v>177</v>
      </c>
      <c r="B79" t="str">
        <f t="shared" si="4"/>
        <v>ISBL: Conduit, Fittings Qty</v>
      </c>
      <c r="C79" t="str">
        <f t="shared" si="12"/>
        <v>OSBL: Conduit, Fittings Qty</v>
      </c>
      <c r="D79" s="81" t="str">
        <f>'Project Direct Metrics'!$B$104</f>
        <v>&lt;#dbvalue(7_Electrical_ISBL_Data;5;"KEYQUANT";)&gt;</v>
      </c>
      <c r="E79" s="81" t="str">
        <f>'Project Direct Metrics'!$C$104</f>
        <v>&lt;#dbvalue(7_Electrical_OSBL_Data;5;"KEYQUANT";)&gt;</v>
      </c>
    </row>
    <row r="80" spans="1:5">
      <c r="A80" t="s">
        <v>178</v>
      </c>
      <c r="B80" t="str">
        <f t="shared" si="4"/>
        <v>ISBL: Cable Tray, Supports Qty</v>
      </c>
      <c r="C80" t="str">
        <f t="shared" si="12"/>
        <v>OSBL: Cable Tray, Supports Qty</v>
      </c>
      <c r="D80" s="81" t="str">
        <f>'Project Direct Metrics'!$B$105</f>
        <v>&lt;#dbvalue(7_Electrical_ISBL_Data;6;"KEYQUANT";)&gt;</v>
      </c>
      <c r="E80" s="81" t="str">
        <f>'Project Direct Metrics'!$C$105</f>
        <v>&lt;#dbvalue(7_Electrical_OSBL_Data;6;"KEYQUANT";)&gt;</v>
      </c>
    </row>
    <row r="81" spans="1:5">
      <c r="A81" t="s">
        <v>180</v>
      </c>
      <c r="B81" t="str">
        <f t="shared" si="4"/>
        <v>ISBL: Transformers, Switchgear Qty</v>
      </c>
      <c r="C81" t="str">
        <f t="shared" si="12"/>
        <v>OSBL: Transformers, Switchgear Qty</v>
      </c>
      <c r="D81" s="81" t="str">
        <f>'Project Direct Metrics'!$B$106</f>
        <v>&lt;#dbvalue(7_Electrical_ISBL_Data;7;"KEYQUANT";)&gt;</v>
      </c>
      <c r="E81" s="81" t="str">
        <f>'Project Direct Metrics'!$C$106</f>
        <v>&lt;#dbvalue(7_Electrical_OSBL_Data;7;"KEYQUANT";)&gt;</v>
      </c>
    </row>
    <row r="82" spans="1:5">
      <c r="A82" t="s">
        <v>181</v>
      </c>
      <c r="B82" t="str">
        <f t="shared" si="4"/>
        <v>ISBL: Motor Control Center Qty</v>
      </c>
      <c r="C82" t="str">
        <f t="shared" si="12"/>
        <v>OSBL: Motor Control Center Qty</v>
      </c>
      <c r="D82" s="81" t="str">
        <f>'Project Direct Metrics'!$B$107</f>
        <v>&lt;#dbvalue(7_Electrical_ISBL_Data;8;"KEYQUANT";)&gt;</v>
      </c>
      <c r="E82" s="81" t="str">
        <f>'Project Direct Metrics'!$C$107</f>
        <v>&lt;#dbvalue(7_Electrical_OSBL_Data;8;"KEYQUANT";)&gt;</v>
      </c>
    </row>
    <row r="83" spans="1:5">
      <c r="A83" t="s">
        <v>182</v>
      </c>
      <c r="B83" t="str">
        <f t="shared" si="4"/>
        <v>ISBL: Other Electrical Equipment Qty</v>
      </c>
      <c r="C83" t="str">
        <f t="shared" si="12"/>
        <v>OSBL: Other Electrical Equipment Qty</v>
      </c>
      <c r="D83" s="81" t="str">
        <f>'Project Direct Metrics'!$B$108</f>
        <v>&lt;#dbvalue(7_Electrical_ISBL_Data;9;"KEYQUANT";)&gt;</v>
      </c>
      <c r="E83" s="81" t="str">
        <f>'Project Direct Metrics'!$C$108</f>
        <v>&lt;#dbvalue(7_Electrical_OSBL_Data;9;"KEYQUANT";)&gt;</v>
      </c>
    </row>
    <row r="84" spans="1:5">
      <c r="A84" t="s">
        <v>163</v>
      </c>
      <c r="B84" t="str">
        <f t="shared" si="4"/>
        <v>ISBL: Other Electrical Items Qty</v>
      </c>
      <c r="C84" t="str">
        <f t="shared" si="12"/>
        <v>OSBL: Other Electrical Items Qty</v>
      </c>
      <c r="D84" s="81" t="str">
        <f>'Project Direct Metrics'!$B$109</f>
        <v>&lt;#dbvalue(7_Electrical_ISBL_Data;10;"KEYQUANT";)&gt;</v>
      </c>
      <c r="E84" s="81" t="str">
        <f>'Project Direct Metrics'!$C$109</f>
        <v>&lt;#dbvalue(7_Electrical_OSBL_Data;10;"KEYQUANT";)&gt;</v>
      </c>
    </row>
    <row r="85" spans="1:5">
      <c r="A85" t="s">
        <v>169</v>
      </c>
      <c r="B85" t="str">
        <f t="shared" si="4"/>
        <v>ISBL: Above Ground Electrical Qty</v>
      </c>
      <c r="C85" t="str">
        <f t="shared" ref="C85:C86" si="13">CONCATENATE("OSBL: ",A85," Qty")</f>
        <v>OSBL: Above Ground Electrical Qty</v>
      </c>
      <c r="D85" s="81" t="str">
        <f>'Project Direct Metrics'!$B$115</f>
        <v>&lt;#dbvalue(7_ElectricalByInstall_ISBL_Data;0;"KEYQUANT";)&gt;</v>
      </c>
      <c r="E85" s="81" t="str">
        <f>'Project Direct Metrics'!$C$115</f>
        <v>&lt;#dbvalue(7_ElectricalByInstall_OSBL_Data;0;"KEYQUANT";)&gt;</v>
      </c>
    </row>
    <row r="86" spans="1:5">
      <c r="A86" t="s">
        <v>170</v>
      </c>
      <c r="B86" t="str">
        <f t="shared" si="4"/>
        <v>ISBL: Below Ground Electrical Qty</v>
      </c>
      <c r="C86" t="str">
        <f t="shared" si="13"/>
        <v>OSBL: Below Ground Electrical Qty</v>
      </c>
      <c r="D86" s="81" t="str">
        <f>'Project Direct Metrics'!$B$116</f>
        <v>&lt;#dbvalue(7_ElectricalByInstall_ISBL_Data;1;"KEYQUANT";)&gt;</v>
      </c>
      <c r="E86" s="81" t="str">
        <f>'Project Direct Metrics'!$C$116</f>
        <v>&lt;#dbvalue(7_ElectricalByInstall_OSBL_Data;1;"KEYQUANT";)&gt;</v>
      </c>
    </row>
    <row r="88" spans="1:5">
      <c r="A88" t="s">
        <v>148</v>
      </c>
      <c r="B88" t="str">
        <f t="shared" si="4"/>
        <v>ISBL: Equipment Insulation Qty</v>
      </c>
      <c r="C88" t="str">
        <f t="shared" ref="C88" si="14">CONCATENATE("OSBL: ",A88," Qty")</f>
        <v>OSBL: Equipment Insulation Qty</v>
      </c>
      <c r="D88" s="81" t="str">
        <f>'Project Direct Metrics'!$B$119</f>
        <v>&lt;#dbvalue(8_Insulation_ISBL_Data;0;"KEYQUANT";)&gt;</v>
      </c>
      <c r="E88" s="81" t="str">
        <f>'Project Direct Metrics'!$C$119</f>
        <v>&lt;#dbvalue(8_Insulation_OSBL_Data;0;"KEYQUANT";)&gt;</v>
      </c>
    </row>
    <row r="89" spans="1:5">
      <c r="A89" t="s">
        <v>149</v>
      </c>
      <c r="B89" t="str">
        <f t="shared" si="4"/>
        <v>ISBL: Pipe Insulation Qty</v>
      </c>
      <c r="C89" t="str">
        <f t="shared" ref="C89:C91" si="15">CONCATENATE("OSBL: ",A89," Qty")</f>
        <v>OSBL: Pipe Insulation Qty</v>
      </c>
      <c r="D89" s="81" t="str">
        <f>'Project Direct Metrics'!$B$120</f>
        <v>&lt;#dbvalue(8_Insulation_ISBL_Data;1;"KEYQUANT";)&gt;</v>
      </c>
      <c r="E89" s="81" t="str">
        <f>'Project Direct Metrics'!$C$120</f>
        <v>&lt;#dbvalue(8_Insulation_OSBL_Data;1;"KEYQUANT";)&gt;</v>
      </c>
    </row>
    <row r="90" spans="1:5">
      <c r="A90" t="s">
        <v>150</v>
      </c>
      <c r="B90" t="str">
        <f t="shared" si="4"/>
        <v>ISBL: Equipment Fireproofing Qty</v>
      </c>
      <c r="C90" t="str">
        <f t="shared" si="15"/>
        <v>OSBL: Equipment Fireproofing Qty</v>
      </c>
      <c r="D90" s="81" t="str">
        <f>'Project Direct Metrics'!$B$121</f>
        <v>&lt;#dbvalue(8_Insulation_ISBL_Data;2;"KEYQUANT";)&gt;</v>
      </c>
      <c r="E90" s="81" t="str">
        <f>'Project Direct Metrics'!$C$121</f>
        <v>&lt;#dbvalue(8_Insulation_OSBL_Data;2;"KEYQUANT";)&gt;</v>
      </c>
    </row>
    <row r="91" spans="1:5">
      <c r="A91" t="s">
        <v>151</v>
      </c>
      <c r="B91" t="str">
        <f t="shared" si="4"/>
        <v>ISBL: Steel Fireproofing Qty</v>
      </c>
      <c r="C91" t="str">
        <f t="shared" si="15"/>
        <v>OSBL: Steel Fireproofing Qty</v>
      </c>
      <c r="D91" s="81" t="str">
        <f>'Project Direct Metrics'!$B$122</f>
        <v>&lt;#dbvalue(8_Insulation_ISBL_Data;3;"KEYQUANT";)&gt;</v>
      </c>
      <c r="E91" s="81" t="str">
        <f>'Project Direct Metrics'!$C$122</f>
        <v>&lt;#dbvalue(8_Insulation_OSBL_Data;3;"KEYQUANT";)&gt;</v>
      </c>
    </row>
    <row r="93" spans="1:5">
      <c r="A93" t="s">
        <v>155</v>
      </c>
      <c r="B93" t="str">
        <f t="shared" si="4"/>
        <v>ISBL: Equipment Paint Qty</v>
      </c>
      <c r="C93" t="str">
        <f t="shared" ref="C93" si="16">CONCATENATE("OSBL: ",A93," Qty")</f>
        <v>OSBL: Equipment Paint Qty</v>
      </c>
      <c r="D93" s="81" t="str">
        <f>'Project Direct Metrics'!$B$128</f>
        <v>&lt;#dbvalue(9_Paint_ISBL_Data;0;"KEYQUANT";)&gt;</v>
      </c>
      <c r="E93" s="81" t="str">
        <f>'Project Direct Metrics'!$C$128</f>
        <v>&lt;#dbvalue(9_Paint_OSBL_Data;0;"KEYQUANT";)&gt;</v>
      </c>
    </row>
    <row r="94" spans="1:5">
      <c r="A94" t="s">
        <v>156</v>
      </c>
      <c r="B94" t="str">
        <f t="shared" si="4"/>
        <v>ISBL: Pipe Paint Qty</v>
      </c>
      <c r="C94" t="str">
        <f t="shared" ref="C94:C99" si="17">CONCATENATE("OSBL: ",A94," Qty")</f>
        <v>OSBL: Pipe Paint Qty</v>
      </c>
      <c r="D94" s="81" t="str">
        <f>'Project Direct Metrics'!$B$129</f>
        <v>&lt;#dbvalue(9_Paint_ISBL_Data;1;"KEYQUANT";)&gt;</v>
      </c>
      <c r="E94" s="81" t="str">
        <f>'Project Direct Metrics'!$C$129</f>
        <v>&lt;#dbvalue(9_Paint_OSBL_Data;1;"KEYQUANT";)&gt;</v>
      </c>
    </row>
    <row r="95" spans="1:5">
      <c r="A95" t="s">
        <v>157</v>
      </c>
      <c r="B95" t="str">
        <f t="shared" si="4"/>
        <v>ISBL: Steel Paint Qty</v>
      </c>
      <c r="C95" t="str">
        <f t="shared" si="17"/>
        <v>OSBL: Steel Paint Qty</v>
      </c>
      <c r="D95" s="81" t="str">
        <f>'Project Direct Metrics'!$B$130</f>
        <v>&lt;#dbvalue(9_Paint_ISBL_Data;2;"KEYQUANT";)&gt;</v>
      </c>
      <c r="E95" s="81" t="str">
        <f>'Project Direct Metrics'!$C$130</f>
        <v>&lt;#dbvalue(9_Paint_OSBL_Data;2;"KEYQUANT";)&gt;</v>
      </c>
    </row>
    <row r="96" spans="1:5">
      <c r="A96" t="s">
        <v>158</v>
      </c>
      <c r="B96" t="str">
        <f t="shared" si="4"/>
        <v>ISBL: Surface Preparation Qty</v>
      </c>
      <c r="C96" t="str">
        <f t="shared" si="17"/>
        <v>OSBL: Surface Preparation Qty</v>
      </c>
      <c r="D96" s="81" t="str">
        <f>'Project Direct Metrics'!$B$131</f>
        <v>&lt;#dbvalue(9_Paint_ISBL_Data;3;"KEYQUANT";)&gt;</v>
      </c>
      <c r="E96" s="81" t="str">
        <f>'Project Direct Metrics'!$C$131</f>
        <v>&lt;#dbvalue(9_Paint_OSBL_Data;3;"KEYQUANT";)&gt;</v>
      </c>
    </row>
    <row r="97" spans="1:5">
      <c r="A97" t="s">
        <v>159</v>
      </c>
      <c r="B97" t="str">
        <f t="shared" si="4"/>
        <v>ISBL: Module Paint Qty</v>
      </c>
      <c r="C97" t="str">
        <f t="shared" si="17"/>
        <v>OSBL: Module Paint Qty</v>
      </c>
      <c r="D97" s="81" t="str">
        <f>'Project Direct Metrics'!$B$132</f>
        <v>&lt;#dbvalue(9_Paint_ISBL_Data;4;"KEYQUANT";)&gt;</v>
      </c>
      <c r="E97" s="81" t="str">
        <f>'Project Direct Metrics'!$C$132</f>
        <v>&lt;#dbvalue(9_Paint_OSBL_Data;4;"KEYQUANT";)&gt;</v>
      </c>
    </row>
    <row r="98" spans="1:5">
      <c r="A98" t="s">
        <v>160</v>
      </c>
      <c r="B98" t="str">
        <f t="shared" si="4"/>
        <v>ISBL: Other Paint Qty</v>
      </c>
      <c r="C98" t="str">
        <f t="shared" si="17"/>
        <v>OSBL: Other Paint Qty</v>
      </c>
      <c r="D98" s="81" t="str">
        <f>'Project Direct Metrics'!$B$133</f>
        <v>&lt;#dbvalue(9_Paint_ISBL_Data;5;"KEYQUANT";)&gt;</v>
      </c>
      <c r="E98" s="81" t="str">
        <f>'Project Direct Metrics'!$C$133</f>
        <v>&lt;#dbvalue(9_Paint_OSBL_Data;5;"KEYQUANT";)&gt;</v>
      </c>
    </row>
    <row r="99" spans="1:5">
      <c r="A99" t="s">
        <v>161</v>
      </c>
      <c r="B99" t="str">
        <f t="shared" si="4"/>
        <v>ISBL: Paint Demolition Qty</v>
      </c>
      <c r="C99" t="str">
        <f t="shared" si="17"/>
        <v>OSBL: Paint Demolition Qty</v>
      </c>
      <c r="D99" s="81" t="str">
        <f>'Project Direct Metrics'!$B$134</f>
        <v>&lt;#dbvalue(9_Paint_ISBL_Data;6;"KEYQUANT";)&gt;</v>
      </c>
      <c r="E99" s="81" t="str">
        <f>'Project Direct Metrics'!$C$134</f>
        <v>&lt;#dbvalue(9_Paint_OSBL_Data;6;"KEYQUANT";)&gt;</v>
      </c>
    </row>
    <row r="101" spans="1:5">
      <c r="A101" t="s">
        <v>485</v>
      </c>
      <c r="B101" t="str">
        <f>CONCATENATE("ISBL: ",A101," Matl. Cost")</f>
        <v>ISBL: Boiler Plant Equip. Matl. Cost</v>
      </c>
      <c r="C101" t="str">
        <f>CONCATENATE("OSBL: ",A101," Matl. Cost")</f>
        <v>OSBL: Boiler Plant Equip. Matl. Cost</v>
      </c>
      <c r="D101" s="81" t="str">
        <f>'Project Direct Metrics'!$E$4</f>
        <v>&lt;#dbvalue(2_Equipment_ISBL_Data;0;"Matl";)&gt;</v>
      </c>
      <c r="E101" s="81" t="str">
        <f>'Project Direct Metrics'!$F$4</f>
        <v>&lt;#dbvalue(2_Equipment_OSBL_Data;0;"Matl";)&gt;</v>
      </c>
    </row>
    <row r="102" spans="1:5">
      <c r="A102" t="s">
        <v>92</v>
      </c>
      <c r="B102" t="str">
        <f t="shared" ref="B102:B165" si="18">CONCATENATE("ISBL: ",A102," Matl. Cost")</f>
        <v>ISBL: Centrifugal Compressors Matl. Cost</v>
      </c>
      <c r="C102" t="str">
        <f t="shared" ref="C102:C123" si="19">CONCATENATE("OSBL: ",A102," Matl. Cost")</f>
        <v>OSBL: Centrifugal Compressors Matl. Cost</v>
      </c>
      <c r="D102" s="81" t="str">
        <f>'Project Direct Metrics'!$E$5</f>
        <v>&lt;#dbvalue(2_Equipment_ISBL_Data;1;"Matl";)&gt;</v>
      </c>
      <c r="E102" s="81" t="str">
        <f>'Project Direct Metrics'!$F$5</f>
        <v>&lt;#dbvalue(2_Equipment_OSBL_Data;1;"Matl";)&gt;</v>
      </c>
    </row>
    <row r="103" spans="1:5">
      <c r="A103" t="s">
        <v>100</v>
      </c>
      <c r="B103" t="str">
        <f t="shared" si="18"/>
        <v>ISBL: Crushers, Mills Matl. Cost</v>
      </c>
      <c r="C103" t="str">
        <f t="shared" si="19"/>
        <v>OSBL: Crushers, Mills Matl. Cost</v>
      </c>
      <c r="D103" s="81" t="str">
        <f>'Project Direct Metrics'!$E$6</f>
        <v>&lt;#dbvalue(2_Equipment_ISBL_Data;2;"Matl";)&gt;</v>
      </c>
      <c r="E103" s="81" t="str">
        <f>'Project Direct Metrics'!$F$6</f>
        <v>&lt;#dbvalue(2_Equipment_OSBL_Data;2;"Matl";)&gt;</v>
      </c>
    </row>
    <row r="104" spans="1:5">
      <c r="A104" t="s">
        <v>99</v>
      </c>
      <c r="B104" t="str">
        <f t="shared" si="18"/>
        <v>ISBL: Drivers Matl. Cost</v>
      </c>
      <c r="C104" t="str">
        <f t="shared" si="19"/>
        <v>OSBL: Drivers Matl. Cost</v>
      </c>
      <c r="D104" s="81" t="str">
        <f>'Project Direct Metrics'!$E$7</f>
        <v>&lt;#dbvalue(2_Equipment_ISBL_Data;3;"Matl";)&gt;</v>
      </c>
      <c r="E104" s="81" t="str">
        <f>'Project Direct Metrics'!$F$7</f>
        <v>&lt;#dbvalue(2_Equipment_OSBL_Data;3;"Matl";)&gt;</v>
      </c>
    </row>
    <row r="105" spans="1:5">
      <c r="A105" t="s">
        <v>98</v>
      </c>
      <c r="B105" t="str">
        <f t="shared" si="18"/>
        <v>ISBL: Fans, Blowers Matl. Cost</v>
      </c>
      <c r="C105" t="str">
        <f t="shared" si="19"/>
        <v>OSBL: Fans, Blowers Matl. Cost</v>
      </c>
      <c r="D105" s="81" t="str">
        <f>'Project Direct Metrics'!$E$8</f>
        <v>&lt;#dbvalue(2_Equipment_ISBL_Data;4;"Matl";)&gt;</v>
      </c>
      <c r="E105" s="81" t="str">
        <f>'Project Direct Metrics'!$F$8</f>
        <v>&lt;#dbvalue(2_Equipment_OSBL_Data;4;"Matl";)&gt;</v>
      </c>
    </row>
    <row r="106" spans="1:5">
      <c r="A106" t="s">
        <v>90</v>
      </c>
      <c r="B106" t="str">
        <f t="shared" si="18"/>
        <v>ISBL: Flares Matl. Cost</v>
      </c>
      <c r="C106" t="str">
        <f t="shared" si="19"/>
        <v>OSBL: Flares Matl. Cost</v>
      </c>
      <c r="D106" s="81" t="str">
        <f>'Project Direct Metrics'!$E$9</f>
        <v>&lt;#dbvalue(2_Equipment_ISBL_Data;5;"Matl";)&gt;</v>
      </c>
      <c r="E106" s="81" t="str">
        <f>'Project Direct Metrics'!$F$9</f>
        <v>&lt;#dbvalue(2_Equipment_OSBL_Data;5;"Matl";)&gt;</v>
      </c>
    </row>
    <row r="107" spans="1:5">
      <c r="A107" t="s">
        <v>486</v>
      </c>
      <c r="B107" t="str">
        <f t="shared" si="18"/>
        <v>ISBL: Fluid Separation Equip. Matl. Cost</v>
      </c>
      <c r="C107" t="str">
        <f t="shared" si="19"/>
        <v>OSBL: Fluid Separation Equip. Matl. Cost</v>
      </c>
      <c r="D107" s="81" t="str">
        <f>'Project Direct Metrics'!$E$10</f>
        <v>&lt;#dbvalue(2_Equipment_ISBL_Data;6;"Matl";)&gt;</v>
      </c>
      <c r="E107" s="81" t="str">
        <f>'Project Direct Metrics'!$F$10</f>
        <v>&lt;#dbvalue(2_Equipment_OSBL_Data;6;"Matl";)&gt;</v>
      </c>
    </row>
    <row r="108" spans="1:5">
      <c r="A108" t="s">
        <v>106</v>
      </c>
      <c r="B108" t="str">
        <f t="shared" si="18"/>
        <v>ISBL: Furnaces, Heaters Matl. Cost</v>
      </c>
      <c r="C108" t="str">
        <f t="shared" si="19"/>
        <v>OSBL: Furnaces, Heaters Matl. Cost</v>
      </c>
      <c r="D108" s="81" t="str">
        <f>'Project Direct Metrics'!$E$11</f>
        <v>&lt;#dbvalue(2_Equipment_ISBL_Data;7;"Matl";)&gt;</v>
      </c>
      <c r="E108" s="81" t="str">
        <f>'Project Direct Metrics'!$F$11</f>
        <v>&lt;#dbvalue(2_Equipment_OSBL_Data;7;"Matl";)&gt;</v>
      </c>
    </row>
    <row r="109" spans="1:5">
      <c r="A109" t="s">
        <v>104</v>
      </c>
      <c r="B109" t="str">
        <f t="shared" si="18"/>
        <v>ISBL: Generators Matl. Cost</v>
      </c>
      <c r="C109" t="str">
        <f t="shared" si="19"/>
        <v>OSBL: Generators Matl. Cost</v>
      </c>
      <c r="D109" s="81" t="str">
        <f>'Project Direct Metrics'!$E$12</f>
        <v>&lt;#dbvalue(2_Equipment_ISBL_Data;8;"Matl";)&gt;</v>
      </c>
      <c r="E109" s="81" t="str">
        <f>'Project Direct Metrics'!$F$12</f>
        <v>&lt;#dbvalue(2_Equipment_OSBL_Data;8;"Matl";)&gt;</v>
      </c>
    </row>
    <row r="110" spans="1:5">
      <c r="A110" t="s">
        <v>88</v>
      </c>
      <c r="B110" t="str">
        <f t="shared" si="18"/>
        <v>ISBL: Heat Exchangers Matl. Cost</v>
      </c>
      <c r="C110" t="str">
        <f t="shared" si="19"/>
        <v>OSBL: Heat Exchangers Matl. Cost</v>
      </c>
      <c r="D110" s="81" t="str">
        <f>'Project Direct Metrics'!$E$13</f>
        <v>&lt;#dbvalue(2_Equipment_ISBL_Data;9;"Matl";)&gt;</v>
      </c>
      <c r="E110" s="81" t="str">
        <f>'Project Direct Metrics'!$F$13</f>
        <v>&lt;#dbvalue(2_Equipment_OSBL_Data;9;"Matl";)&gt;</v>
      </c>
    </row>
    <row r="111" spans="1:5">
      <c r="A111" t="s">
        <v>487</v>
      </c>
      <c r="B111" t="str">
        <f t="shared" si="18"/>
        <v>ISBL: Material Handling Equip. Matl. Cost</v>
      </c>
      <c r="C111" t="str">
        <f t="shared" si="19"/>
        <v>OSBL: Material Handling Equip. Matl. Cost</v>
      </c>
      <c r="D111" s="81" t="str">
        <f>'Project Direct Metrics'!$E$14</f>
        <v>&lt;#dbvalue(2_Equipment_ISBL_Data;10;"Matl";)&gt;</v>
      </c>
      <c r="E111" s="81" t="str">
        <f>'Project Direct Metrics'!$F$14</f>
        <v>&lt;#dbvalue(2_Equipment_OSBL_Data;10;"Matl";)&gt;</v>
      </c>
    </row>
    <row r="112" spans="1:5">
      <c r="A112" t="s">
        <v>107</v>
      </c>
      <c r="B112" t="str">
        <f t="shared" si="18"/>
        <v>ISBL: Package Units Matl. Cost</v>
      </c>
      <c r="C112" t="str">
        <f t="shared" si="19"/>
        <v>OSBL: Package Units Matl. Cost</v>
      </c>
      <c r="D112" s="81" t="str">
        <f>'Project Direct Metrics'!$E$15</f>
        <v>&lt;#dbvalue(2_Equipment_ISBL_Data;11;"Matl";)&gt;</v>
      </c>
      <c r="E112" s="81" t="str">
        <f>'Project Direct Metrics'!$F$15</f>
        <v>&lt;#dbvalue(2_Equipment_OSBL_Data;11;"Matl";)&gt;</v>
      </c>
    </row>
    <row r="113" spans="1:5">
      <c r="A113" t="s">
        <v>91</v>
      </c>
      <c r="B113" t="str">
        <f t="shared" si="18"/>
        <v>ISBL: Process Vessels Matl. Cost</v>
      </c>
      <c r="C113" t="str">
        <f t="shared" si="19"/>
        <v>OSBL: Process Vessels Matl. Cost</v>
      </c>
      <c r="D113" s="81" t="str">
        <f>'Project Direct Metrics'!$E$16</f>
        <v>&lt;#dbvalue(2_Equipment_ISBL_Data;12;"Matl";)&gt;</v>
      </c>
      <c r="E113" s="81" t="str">
        <f>'Project Direct Metrics'!$F$16</f>
        <v>&lt;#dbvalue(2_Equipment_OSBL_Data;12;"Matl";)&gt;</v>
      </c>
    </row>
    <row r="114" spans="1:5">
      <c r="A114" t="s">
        <v>87</v>
      </c>
      <c r="B114" t="str">
        <f t="shared" si="18"/>
        <v>ISBL: Pumps Matl. Cost</v>
      </c>
      <c r="C114" t="str">
        <f t="shared" si="19"/>
        <v>OSBL: Pumps Matl. Cost</v>
      </c>
      <c r="D114" s="81" t="str">
        <f>'Project Direct Metrics'!$E$17</f>
        <v>&lt;#dbvalue(2_Equipment_ISBL_Data;13;"Matl";)&gt;</v>
      </c>
      <c r="E114" s="81" t="str">
        <f>'Project Direct Metrics'!$F$17</f>
        <v>&lt;#dbvalue(2_Equipment_OSBL_Data;13;"Matl";)&gt;</v>
      </c>
    </row>
    <row r="115" spans="1:5">
      <c r="A115" t="s">
        <v>96</v>
      </c>
      <c r="B115" t="str">
        <f t="shared" si="18"/>
        <v>ISBL: Reactors, Mixers Matl. Cost</v>
      </c>
      <c r="C115" t="str">
        <f t="shared" si="19"/>
        <v>OSBL: Reactors, Mixers Matl. Cost</v>
      </c>
      <c r="D115" s="81" t="str">
        <f>'Project Direct Metrics'!$E$18</f>
        <v>&lt;#dbvalue(2_Equipment_ISBL_Data;14;"Matl";)&gt;</v>
      </c>
      <c r="E115" s="81" t="str">
        <f>'Project Direct Metrics'!$F$18</f>
        <v>&lt;#dbvalue(2_Equipment_OSBL_Data;14;"Matl";)&gt;</v>
      </c>
    </row>
    <row r="116" spans="1:5">
      <c r="A116" t="s">
        <v>93</v>
      </c>
      <c r="B116" t="str">
        <f t="shared" si="18"/>
        <v>ISBL: Reciprocating Compressors Matl. Cost</v>
      </c>
      <c r="C116" t="str">
        <f t="shared" si="19"/>
        <v>OSBL: Reciprocating Compressors Matl. Cost</v>
      </c>
      <c r="D116" s="81" t="str">
        <f>'Project Direct Metrics'!$E$19</f>
        <v>&lt;#dbvalue(2_Equipment_ISBL_Data;15;"Matl";)&gt;</v>
      </c>
      <c r="E116" s="81" t="str">
        <f>'Project Direct Metrics'!$F$19</f>
        <v>&lt;#dbvalue(2_Equipment_OSBL_Data;15;"Matl";)&gt;</v>
      </c>
    </row>
    <row r="117" spans="1:5">
      <c r="A117" t="s">
        <v>488</v>
      </c>
      <c r="B117" t="str">
        <f t="shared" si="18"/>
        <v>ISBL: Solids Separation Equip. Matl. Cost</v>
      </c>
      <c r="C117" t="str">
        <f t="shared" si="19"/>
        <v>OSBL: Solids Separation Equip. Matl. Cost</v>
      </c>
      <c r="D117" s="81" t="str">
        <f>'Project Direct Metrics'!$E$20</f>
        <v>&lt;#dbvalue(2_Equipment_ISBL_Data;16;"Matl";)&gt;</v>
      </c>
      <c r="E117" s="81" t="str">
        <f>'Project Direct Metrics'!$F$20</f>
        <v>&lt;#dbvalue(2_Equipment_OSBL_Data;16;"Matl";)&gt;</v>
      </c>
    </row>
    <row r="118" spans="1:5">
      <c r="A118" t="s">
        <v>89</v>
      </c>
      <c r="B118" t="str">
        <f t="shared" si="18"/>
        <v>ISBL: Storage Vessels Matl. Cost</v>
      </c>
      <c r="C118" t="str">
        <f t="shared" si="19"/>
        <v>OSBL: Storage Vessels Matl. Cost</v>
      </c>
      <c r="D118" s="81" t="str">
        <f>'Project Direct Metrics'!$E$21</f>
        <v>&lt;#dbvalue(2_Equipment_ISBL_Data;17;"Matl";)&gt;</v>
      </c>
      <c r="E118" s="81" t="str">
        <f>'Project Direct Metrics'!$F$21</f>
        <v>&lt;#dbvalue(2_Equipment_OSBL_Data;17;"Matl";)&gt;</v>
      </c>
    </row>
    <row r="119" spans="1:5">
      <c r="A119" t="s">
        <v>97</v>
      </c>
      <c r="B119" t="str">
        <f t="shared" si="18"/>
        <v>ISBL: Turbo Expanders Matl. Cost</v>
      </c>
      <c r="C119" t="str">
        <f t="shared" si="19"/>
        <v>OSBL: Turbo Expanders Matl. Cost</v>
      </c>
      <c r="D119" s="81" t="str">
        <f>'Project Direct Metrics'!$E$22</f>
        <v>&lt;#dbvalue(2_Equipment_ISBL_Data;18;"Matl";)&gt;</v>
      </c>
      <c r="E119" s="81" t="str">
        <f>'Project Direct Metrics'!$F$22</f>
        <v>&lt;#dbvalue(2_Equipment_OSBL_Data;18;"Matl";)&gt;</v>
      </c>
    </row>
    <row r="120" spans="1:5">
      <c r="A120" t="s">
        <v>94</v>
      </c>
      <c r="B120" t="str">
        <f t="shared" si="18"/>
        <v>ISBL: Other Equipment Items Matl. Cost</v>
      </c>
      <c r="C120" t="str">
        <f t="shared" si="19"/>
        <v>OSBL: Other Equipment Items Matl. Cost</v>
      </c>
      <c r="D120" s="81" t="str">
        <f>'Project Direct Metrics'!$E$23</f>
        <v>&lt;#dbvalue(2_Equipment_ISBL_Data;19;"Matl";)&gt;</v>
      </c>
      <c r="E120" s="81" t="str">
        <f>'Project Direct Metrics'!$F$23</f>
        <v>&lt;#dbvalue(2_Equipment_OSBL_Data;19;"Matl";)&gt;</v>
      </c>
    </row>
    <row r="121" spans="1:5">
      <c r="A121" t="s">
        <v>109</v>
      </c>
      <c r="B121" t="str">
        <f t="shared" si="18"/>
        <v>ISBL: Design Allowance Matl. Cost</v>
      </c>
      <c r="C121" t="str">
        <f t="shared" si="19"/>
        <v>OSBL: Design Allowance Matl. Cost</v>
      </c>
      <c r="D121" s="81" t="str">
        <f>'Project Direct Metrics'!$E$24</f>
        <v>&lt;#dbvalue(2_Equipment_ISBL_Data;20;"Matl";)&gt;</v>
      </c>
      <c r="E121" s="81" t="str">
        <f>'Project Direct Metrics'!$F$24</f>
        <v>&lt;#dbvalue(2_Equipment_OSBL_Data;20;"Matl";)&gt;</v>
      </c>
    </row>
    <row r="122" spans="1:5">
      <c r="A122" t="s">
        <v>110</v>
      </c>
      <c r="B122" t="str">
        <f t="shared" si="18"/>
        <v>ISBL: Warehouse Spares Matl. Cost</v>
      </c>
      <c r="C122" t="str">
        <f t="shared" si="19"/>
        <v>OSBL: Warehouse Spares Matl. Cost</v>
      </c>
      <c r="D122" s="81" t="str">
        <f>'Project Direct Metrics'!$E$25</f>
        <v>&lt;#dbvalue(2_Equipment_ISBL_Data;21;"Matl";)&gt;</v>
      </c>
      <c r="E122" s="81" t="str">
        <f>'Project Direct Metrics'!$F$25</f>
        <v>&lt;#dbvalue(2_Equipment_OSBL_Data;21;"Matl";)&gt;</v>
      </c>
    </row>
    <row r="123" spans="1:5">
      <c r="A123" t="s">
        <v>95</v>
      </c>
      <c r="B123" t="str">
        <f t="shared" si="18"/>
        <v>ISBL: Equipment Demolition Matl. Cost</v>
      </c>
      <c r="C123" t="str">
        <f t="shared" si="19"/>
        <v>OSBL: Equipment Demolition Matl. Cost</v>
      </c>
      <c r="D123" s="81" t="str">
        <f>'Project Direct Metrics'!$E$26</f>
        <v>&lt;#dbvalue(2_Equipment_ISBL_Data;22;"Matl";)&gt;</v>
      </c>
      <c r="E123" s="81" t="str">
        <f>'Project Direct Metrics'!$F$26</f>
        <v>&lt;#dbvalue(2_Equipment_OSBL_Data;22;"Matl";)&gt;</v>
      </c>
    </row>
    <row r="125" spans="1:5">
      <c r="A125" t="s">
        <v>219</v>
      </c>
      <c r="B125" t="str">
        <f t="shared" si="18"/>
        <v>ISBL: CS Pipe Matl. Cost</v>
      </c>
      <c r="C125" t="str">
        <f t="shared" ref="C125" si="20">CONCATENATE("OSBL: ",A125," Matl. Cost")</f>
        <v>OSBL: CS Pipe Matl. Cost</v>
      </c>
      <c r="D125" s="81" t="str">
        <f>'Project Direct Metrics'!$E$30</f>
        <v>&lt;#dbvalue(3_Piping_ISBL_Data;0;"Matl";)&gt;</v>
      </c>
      <c r="E125" s="81" t="str">
        <f>'Project Direct Metrics'!$F$30</f>
        <v>&lt;#dbvalue(3_Piping_OSBL_Data;0;"Matl";)&gt;</v>
      </c>
    </row>
    <row r="126" spans="1:5">
      <c r="A126" t="s">
        <v>220</v>
      </c>
      <c r="B126" t="str">
        <f t="shared" si="18"/>
        <v>ISBL: CS Valves, Fittings Matl. Cost</v>
      </c>
      <c r="C126" t="str">
        <f t="shared" ref="C126:C141" si="21">CONCATENATE("OSBL: ",A126," Matl. Cost")</f>
        <v>OSBL: CS Valves, Fittings Matl. Cost</v>
      </c>
      <c r="D126" s="81" t="str">
        <f>'Project Direct Metrics'!$E$31</f>
        <v>&lt;#dbvalue(3_Piping_ISBL_Data;1;"Matl";)&gt;</v>
      </c>
      <c r="E126" s="81" t="str">
        <f>'Project Direct Metrics'!$F$31</f>
        <v>&lt;#dbvalue(3_Piping_OSBL_Data;1;"Matl";)&gt;</v>
      </c>
    </row>
    <row r="127" spans="1:5">
      <c r="A127" t="s">
        <v>225</v>
      </c>
      <c r="B127" t="str">
        <f t="shared" si="18"/>
        <v>ISBL: SS Pipe Matl. Cost</v>
      </c>
      <c r="C127" t="str">
        <f t="shared" si="21"/>
        <v>OSBL: SS Pipe Matl. Cost</v>
      </c>
      <c r="D127" s="81" t="str">
        <f>'Project Direct Metrics'!$E$32</f>
        <v>&lt;#dbvalue(3_Piping_ISBL_Data;2;"Matl";)&gt;</v>
      </c>
      <c r="E127" s="81" t="str">
        <f>'Project Direct Metrics'!$F$32</f>
        <v>&lt;#dbvalue(3_Piping_OSBL_Data;2;"Matl";)&gt;</v>
      </c>
    </row>
    <row r="128" spans="1:5">
      <c r="A128" t="s">
        <v>221</v>
      </c>
      <c r="B128" t="str">
        <f t="shared" si="18"/>
        <v>ISBL: SS Valves, Fittings Matl. Cost</v>
      </c>
      <c r="C128" t="str">
        <f t="shared" si="21"/>
        <v>OSBL: SS Valves, Fittings Matl. Cost</v>
      </c>
      <c r="D128" s="81" t="str">
        <f>'Project Direct Metrics'!$E$33</f>
        <v>&lt;#dbvalue(3_Piping_ISBL_Data;3;"Matl";)&gt;</v>
      </c>
      <c r="E128" s="81" t="str">
        <f>'Project Direct Metrics'!$F$33</f>
        <v>&lt;#dbvalue(3_Piping_OSBL_Data;3;"Matl";)&gt;</v>
      </c>
    </row>
    <row r="129" spans="1:5">
      <c r="A129" t="s">
        <v>226</v>
      </c>
      <c r="B129" t="str">
        <f t="shared" si="18"/>
        <v>ISBL: Non-ferrous Pipe Matl. Cost</v>
      </c>
      <c r="C129" t="str">
        <f t="shared" si="21"/>
        <v>OSBL: Non-ferrous Pipe Matl. Cost</v>
      </c>
      <c r="D129" s="81" t="str">
        <f>'Project Direct Metrics'!$E$34</f>
        <v>&lt;#dbvalue(3_Piping_ISBL_Data;4;"Matl";)&gt;</v>
      </c>
      <c r="E129" s="81" t="str">
        <f>'Project Direct Metrics'!$F$34</f>
        <v>&lt;#dbvalue(3_Piping_OSBL_Data;4;"Matl";)&gt;</v>
      </c>
    </row>
    <row r="130" spans="1:5">
      <c r="A130" t="s">
        <v>222</v>
      </c>
      <c r="B130" t="str">
        <f t="shared" si="18"/>
        <v>ISBL: Non-ferrous Valves, Fittings Matl. Cost</v>
      </c>
      <c r="C130" t="str">
        <f t="shared" si="21"/>
        <v>OSBL: Non-ferrous Valves, Fittings Matl. Cost</v>
      </c>
      <c r="D130" s="81" t="str">
        <f>'Project Direct Metrics'!$E$35</f>
        <v>&lt;#dbvalue(3_Piping_ISBL_Data;5;"Matl";)&gt;</v>
      </c>
      <c r="E130" s="81" t="str">
        <f>'Project Direct Metrics'!$F$35</f>
        <v>&lt;#dbvalue(3_Piping_OSBL_Data;5;"Matl";)&gt;</v>
      </c>
    </row>
    <row r="131" spans="1:5">
      <c r="A131" t="s">
        <v>227</v>
      </c>
      <c r="B131" t="str">
        <f t="shared" si="18"/>
        <v>ISBL: Lined Pipe Matl. Cost</v>
      </c>
      <c r="C131" t="str">
        <f t="shared" si="21"/>
        <v>OSBL: Lined Pipe Matl. Cost</v>
      </c>
      <c r="D131" s="81" t="str">
        <f>'Project Direct Metrics'!$E$36</f>
        <v>&lt;#dbvalue(3_Piping_ISBL_Data;6;"Matl";)&gt;</v>
      </c>
      <c r="E131" s="81" t="str">
        <f>'Project Direct Metrics'!$F$36</f>
        <v>&lt;#dbvalue(3_Piping_OSBL_Data;6;"Matl";)&gt;</v>
      </c>
    </row>
    <row r="132" spans="1:5">
      <c r="A132" t="s">
        <v>223</v>
      </c>
      <c r="B132" t="str">
        <f t="shared" si="18"/>
        <v>ISBL: Lined Valves, Fittings Matl. Cost</v>
      </c>
      <c r="C132" t="str">
        <f t="shared" si="21"/>
        <v>OSBL: Lined Valves, Fittings Matl. Cost</v>
      </c>
      <c r="D132" s="81" t="str">
        <f>'Project Direct Metrics'!$E$37</f>
        <v>&lt;#dbvalue(3_Piping_ISBL_Data;7;"Matl";)&gt;</v>
      </c>
      <c r="E132" s="81" t="str">
        <f>'Project Direct Metrics'!$F$37</f>
        <v>&lt;#dbvalue(3_Piping_OSBL_Data;7;"Matl";)&gt;</v>
      </c>
    </row>
    <row r="133" spans="1:5">
      <c r="A133" t="s">
        <v>228</v>
      </c>
      <c r="B133" t="str">
        <f t="shared" si="18"/>
        <v>ISBL: Non-metallic Pipe Matl. Cost</v>
      </c>
      <c r="C133" t="str">
        <f t="shared" si="21"/>
        <v>OSBL: Non-metallic Pipe Matl. Cost</v>
      </c>
      <c r="D133" s="81" t="str">
        <f>'Project Direct Metrics'!$E$38</f>
        <v>&lt;#dbvalue(3_Piping_ISBL_Data;8;"Matl";)&gt;</v>
      </c>
      <c r="E133" s="81" t="str">
        <f>'Project Direct Metrics'!$F$38</f>
        <v>&lt;#dbvalue(3_Piping_OSBL_Data;8;"Matl";)&gt;</v>
      </c>
    </row>
    <row r="134" spans="1:5">
      <c r="A134" t="s">
        <v>224</v>
      </c>
      <c r="B134" t="str">
        <f t="shared" si="18"/>
        <v>ISBL: Non-metallic Valves, Fittings Matl. Cost</v>
      </c>
      <c r="C134" t="str">
        <f t="shared" si="21"/>
        <v>OSBL: Non-metallic Valves, Fittings Matl. Cost</v>
      </c>
      <c r="D134" s="81" t="str">
        <f>'Project Direct Metrics'!$E$39</f>
        <v>&lt;#dbvalue(3_Piping_ISBL_Data;9;"Matl";)&gt;</v>
      </c>
      <c r="E134" s="81" t="str">
        <f>'Project Direct Metrics'!$F$39</f>
        <v>&lt;#dbvalue(3_Piping_OSBL_Data;9;"Matl";)&gt;</v>
      </c>
    </row>
    <row r="135" spans="1:5">
      <c r="A135" t="s">
        <v>112</v>
      </c>
      <c r="B135" t="str">
        <f t="shared" si="18"/>
        <v>ISBL: Specialty Piping Items Matl. Cost</v>
      </c>
      <c r="C135" t="str">
        <f t="shared" si="21"/>
        <v>OSBL: Specialty Piping Items Matl. Cost</v>
      </c>
      <c r="D135" s="81" t="str">
        <f>'Project Direct Metrics'!$E$40</f>
        <v>&lt;#dbvalue(3_Piping_ISBL_Data;10;"Matl";)&gt;</v>
      </c>
      <c r="E135" s="81" t="str">
        <f>'Project Direct Metrics'!$F$40</f>
        <v>&lt;#dbvalue(3_Piping_OSBL_Data;10;"Matl";)&gt;</v>
      </c>
    </row>
    <row r="136" spans="1:5">
      <c r="A136" t="s">
        <v>113</v>
      </c>
      <c r="B136" t="str">
        <f t="shared" si="18"/>
        <v>ISBL: Firewater Piping Matl. Cost</v>
      </c>
      <c r="C136" t="str">
        <f t="shared" si="21"/>
        <v>OSBL: Firewater Piping Matl. Cost</v>
      </c>
      <c r="D136" s="81" t="str">
        <f>'Project Direct Metrics'!$E$41</f>
        <v>&lt;#dbvalue(3_Piping_ISBL_Data;11;"Matl";)&gt;</v>
      </c>
      <c r="E136" s="81" t="str">
        <f>'Project Direct Metrics'!$F$41</f>
        <v>&lt;#dbvalue(3_Piping_OSBL_Data;11;"Matl";)&gt;</v>
      </c>
    </row>
    <row r="137" spans="1:5">
      <c r="A137" t="s">
        <v>114</v>
      </c>
      <c r="B137" t="str">
        <f t="shared" si="18"/>
        <v>ISBL: Ductwork, Launders Matl. Cost</v>
      </c>
      <c r="C137" t="str">
        <f t="shared" si="21"/>
        <v>OSBL: Ductwork, Launders Matl. Cost</v>
      </c>
      <c r="D137" s="81" t="str">
        <f>'Project Direct Metrics'!$E$42</f>
        <v>&lt;#dbvalue(3_Piping_ISBL_Data;12;"Matl";)&gt;</v>
      </c>
      <c r="E137" s="81" t="str">
        <f>'Project Direct Metrics'!$F$42</f>
        <v>&lt;#dbvalue(3_Piping_OSBL_Data;12;"Matl";)&gt;</v>
      </c>
    </row>
    <row r="138" spans="1:5">
      <c r="A138" t="s">
        <v>115</v>
      </c>
      <c r="B138" t="str">
        <f t="shared" si="18"/>
        <v>ISBL: Pipelines Matl. Cost</v>
      </c>
      <c r="C138" t="str">
        <f t="shared" si="21"/>
        <v>OSBL: Pipelines Matl. Cost</v>
      </c>
      <c r="D138" s="81" t="str">
        <f>'Project Direct Metrics'!$E$43</f>
        <v>&lt;#dbvalue(3_Piping_ISBL_Data;13;"Matl";)&gt;</v>
      </c>
      <c r="E138" s="81" t="str">
        <f>'Project Direct Metrics'!$F$43</f>
        <v>&lt;#dbvalue(3_Piping_OSBL_Data;13;"Matl";)&gt;</v>
      </c>
    </row>
    <row r="139" spans="1:5">
      <c r="A139" t="s">
        <v>118</v>
      </c>
      <c r="B139" t="str">
        <f t="shared" si="18"/>
        <v>ISBL: Other Piping Matl. Cost</v>
      </c>
      <c r="C139" t="str">
        <f t="shared" si="21"/>
        <v>OSBL: Other Piping Matl. Cost</v>
      </c>
      <c r="D139" s="81" t="str">
        <f>'Project Direct Metrics'!$E$44</f>
        <v>&lt;#dbvalue(3_Piping_ISBL_Data;14;"Matl";)&gt;</v>
      </c>
      <c r="E139" s="81" t="str">
        <f>'Project Direct Metrics'!$F$44</f>
        <v>&lt;#dbvalue(3_Piping_OSBL_Data;14;"Matl";)&gt;</v>
      </c>
    </row>
    <row r="140" spans="1:5">
      <c r="A140" t="s">
        <v>117</v>
      </c>
      <c r="B140" t="str">
        <f t="shared" si="18"/>
        <v>ISBL: Pipe Testing Matl. Cost</v>
      </c>
      <c r="C140" t="str">
        <f t="shared" si="21"/>
        <v>OSBL: Pipe Testing Matl. Cost</v>
      </c>
      <c r="D140" s="81" t="str">
        <f>'Project Direct Metrics'!$E$45</f>
        <v>&lt;#dbvalue(3_Piping_ISBL_Data;15;"Matl";)&gt;</v>
      </c>
      <c r="E140" s="81" t="str">
        <f>'Project Direct Metrics'!$F$45</f>
        <v>&lt;#dbvalue(3_Piping_OSBL_Data;15;"Matl";)&gt;</v>
      </c>
    </row>
    <row r="141" spans="1:5">
      <c r="A141" t="s">
        <v>116</v>
      </c>
      <c r="B141" t="str">
        <f t="shared" si="18"/>
        <v>ISBL: Pipe Demolition Matl. Cost</v>
      </c>
      <c r="C141" t="str">
        <f t="shared" si="21"/>
        <v>OSBL: Pipe Demolition Matl. Cost</v>
      </c>
      <c r="D141" s="81" t="str">
        <f>'Project Direct Metrics'!$E$46</f>
        <v>&lt;#dbvalue(3_Piping_ISBL_Data;16;"Matl";)&gt;</v>
      </c>
      <c r="E141" s="81" t="str">
        <f>'Project Direct Metrics'!$F$46</f>
        <v>&lt;#dbvalue(3_Piping_OSBL_Data;16;"Matl";)&gt;</v>
      </c>
    </row>
    <row r="142" spans="1:5">
      <c r="A142" t="s">
        <v>120</v>
      </c>
      <c r="B142" t="str">
        <f t="shared" si="18"/>
        <v>ISBL: Above Ground (AG) Piping Matl. Cost</v>
      </c>
      <c r="C142" t="str">
        <f t="shared" ref="C142:C148" si="22">CONCATENATE("OSBL: ",A142," Matl. Cost")</f>
        <v>OSBL: Above Ground (AG) Piping Matl. Cost</v>
      </c>
      <c r="D142" s="81" t="str">
        <f>'Project Direct Metrics'!$E$50</f>
        <v>&lt;#dbvalue(3_PipingByInstall_ISBL_Data;0;"Matl";)&gt;</v>
      </c>
      <c r="E142" s="81" t="str">
        <f>'Project Direct Metrics'!$F$50</f>
        <v>&lt;#dbvalue(3_PipingByInstall_OSBL_Data;0;"Matl";)&gt;</v>
      </c>
    </row>
    <row r="143" spans="1:5">
      <c r="A143" t="s">
        <v>121</v>
      </c>
      <c r="B143" t="str">
        <f t="shared" si="18"/>
        <v>ISBL: Underground (UG) Piping Matl. Cost</v>
      </c>
      <c r="C143" t="str">
        <f t="shared" si="22"/>
        <v>OSBL: Underground (UG) Piping Matl. Cost</v>
      </c>
      <c r="D143" s="81" t="str">
        <f>'Project Direct Metrics'!$E$51</f>
        <v>&lt;#dbvalue(3_PipingByInstall_ISBL_Data;1;"Matl";)&gt;</v>
      </c>
      <c r="E143" s="81" t="str">
        <f>'Project Direct Metrics'!$F$51</f>
        <v>&lt;#dbvalue(3_PipingByInstall_OSBL_Data;1;"Matl";)&gt;</v>
      </c>
    </row>
    <row r="144" spans="1:5">
      <c r="A144" t="s">
        <v>123</v>
      </c>
      <c r="B144" t="str">
        <f t="shared" si="18"/>
        <v>ISBL: Extra-small Diameter Matl. Cost</v>
      </c>
      <c r="C144" t="str">
        <f t="shared" si="22"/>
        <v>OSBL: Extra-small Diameter Matl. Cost</v>
      </c>
      <c r="D144" s="81" t="str">
        <f>'Project Direct Metrics'!$E$54</f>
        <v>&lt;#dbvalue(3_PipingBySize_ISBL_Data;0;"Matl";)&gt;</v>
      </c>
      <c r="E144" s="81" t="str">
        <f>'Project Direct Metrics'!$F$54</f>
        <v>&lt;#dbvalue(3_PipingBySize_OSBL_Data;0;"Matl";)&gt;</v>
      </c>
    </row>
    <row r="145" spans="1:5">
      <c r="A145" t="s">
        <v>124</v>
      </c>
      <c r="B145" t="str">
        <f t="shared" si="18"/>
        <v>ISBL: Small Diameter Matl. Cost</v>
      </c>
      <c r="C145" t="str">
        <f t="shared" si="22"/>
        <v>OSBL: Small Diameter Matl. Cost</v>
      </c>
      <c r="D145" s="81" t="str">
        <f>'Project Direct Metrics'!$E$55</f>
        <v>&lt;#dbvalue(3_PipingBySize_ISBL_Data;1;"Matl";)&gt;</v>
      </c>
      <c r="E145" s="81" t="str">
        <f>'Project Direct Metrics'!$F$55</f>
        <v>&lt;#dbvalue(3_PipingBySize_OSBL_Data;1;"Matl";)&gt;</v>
      </c>
    </row>
    <row r="146" spans="1:5">
      <c r="A146" t="s">
        <v>125</v>
      </c>
      <c r="B146" t="str">
        <f t="shared" si="18"/>
        <v>ISBL: Medium Diameter Matl. Cost</v>
      </c>
      <c r="C146" t="str">
        <f t="shared" si="22"/>
        <v>OSBL: Medium Diameter Matl. Cost</v>
      </c>
      <c r="D146" s="81" t="str">
        <f>'Project Direct Metrics'!$E$56</f>
        <v>&lt;#dbvalue(3_PipingBySize_ISBL_Data;2;"Matl";)&gt;</v>
      </c>
      <c r="E146" s="81" t="str">
        <f>'Project Direct Metrics'!$F$56</f>
        <v>&lt;#dbvalue(3_PipingBySize_OSBL_Data;2;"Matl";)&gt;</v>
      </c>
    </row>
    <row r="147" spans="1:5">
      <c r="A147" t="s">
        <v>126</v>
      </c>
      <c r="B147" t="str">
        <f t="shared" si="18"/>
        <v>ISBL: Large Diameter Matl. Cost</v>
      </c>
      <c r="C147" t="str">
        <f t="shared" si="22"/>
        <v>OSBL: Large Diameter Matl. Cost</v>
      </c>
      <c r="D147" s="81" t="str">
        <f>'Project Direct Metrics'!$E$57</f>
        <v>&lt;#dbvalue(3_PipingBySize_ISBL_Data;3;"Matl";)&gt;</v>
      </c>
      <c r="E147" s="81" t="str">
        <f>'Project Direct Metrics'!$F$57</f>
        <v>&lt;#dbvalue(3_PipingBySize_OSBL_Data;3;"Matl";)&gt;</v>
      </c>
    </row>
    <row r="148" spans="1:5">
      <c r="A148" t="s">
        <v>127</v>
      </c>
      <c r="B148" t="str">
        <f t="shared" si="18"/>
        <v>ISBL: Extra-large Diameter Matl. Cost</v>
      </c>
      <c r="C148" t="str">
        <f t="shared" si="22"/>
        <v>OSBL: Extra-large Diameter Matl. Cost</v>
      </c>
      <c r="D148" s="81" t="str">
        <f>'Project Direct Metrics'!$E$58</f>
        <v>&lt;#dbvalue(3_PipingBySize_ISBL_Data;4;"Matl";)&gt;</v>
      </c>
      <c r="E148" s="81" t="str">
        <f>'Project Direct Metrics'!$F$58</f>
        <v>&lt;#dbvalue(3_PipingBySize_OSBL_Data;4;"Matl";)&gt;</v>
      </c>
    </row>
    <row r="150" spans="1:5">
      <c r="A150" t="s">
        <v>129</v>
      </c>
      <c r="B150" t="str">
        <f t="shared" si="18"/>
        <v>ISBL: Earthwork Matl. Cost</v>
      </c>
      <c r="C150" t="str">
        <f t="shared" ref="C150" si="23">CONCATENATE("OSBL: ",A150," Matl. Cost")</f>
        <v>OSBL: Earthwork Matl. Cost</v>
      </c>
      <c r="D150" s="81" t="str">
        <f>'Project Direct Metrics'!$E$61</f>
        <v>&lt;#dbvalue(4_Civil_ISBL_Data;0;"Matl";)&gt;</v>
      </c>
      <c r="E150" s="81" t="str">
        <f>'Project Direct Metrics'!$F$61</f>
        <v>&lt;#dbvalue(4_Civil_OSBL_Data;0;"Matl";)&gt;</v>
      </c>
    </row>
    <row r="151" spans="1:5">
      <c r="A151" t="s">
        <v>134</v>
      </c>
      <c r="B151" t="str">
        <f t="shared" si="18"/>
        <v>ISBL: Roads, Railroads Matl. Cost</v>
      </c>
      <c r="C151" t="str">
        <f t="shared" ref="C151:C160" si="24">CONCATENATE("OSBL: ",A151," Matl. Cost")</f>
        <v>OSBL: Roads, Railroads Matl. Cost</v>
      </c>
      <c r="D151" s="81" t="str">
        <f>'Project Direct Metrics'!$E$62</f>
        <v>&lt;#dbvalue(4_Civil_ISBL_Data;1;"Matl";)&gt;</v>
      </c>
      <c r="E151" s="81" t="str">
        <f>'Project Direct Metrics'!$F$62</f>
        <v>&lt;#dbvalue(4_Civil_OSBL_Data;1;"Matl";)&gt;</v>
      </c>
    </row>
    <row r="152" spans="1:5">
      <c r="A152" t="s">
        <v>131</v>
      </c>
      <c r="B152" t="str">
        <f t="shared" si="18"/>
        <v>ISBL: Piling Matl. Cost</v>
      </c>
      <c r="C152" t="str">
        <f t="shared" si="24"/>
        <v>OSBL: Piling Matl. Cost</v>
      </c>
      <c r="D152" s="81" t="str">
        <f>'Project Direct Metrics'!$E$63</f>
        <v>&lt;#dbvalue(4_Civil_ISBL_Data;2;"Matl";)&gt;</v>
      </c>
      <c r="E152" s="81" t="str">
        <f>'Project Direct Metrics'!$F$63</f>
        <v>&lt;#dbvalue(4_Civil_OSBL_Data;2;"Matl";)&gt;</v>
      </c>
    </row>
    <row r="153" spans="1:5">
      <c r="A153" t="s">
        <v>132</v>
      </c>
      <c r="B153" t="str">
        <f t="shared" si="18"/>
        <v>ISBL: Paving Matl. Cost</v>
      </c>
      <c r="C153" t="str">
        <f t="shared" si="24"/>
        <v>OSBL: Paving Matl. Cost</v>
      </c>
      <c r="D153" s="81" t="str">
        <f>'Project Direct Metrics'!$E$64</f>
        <v>&lt;#dbvalue(4_Civil_ISBL_Data;3;"Matl";)&gt;</v>
      </c>
      <c r="E153" s="81" t="str">
        <f>'Project Direct Metrics'!$F$64</f>
        <v>&lt;#dbvalue(4_Civil_OSBL_Data;3;"Matl";)&gt;</v>
      </c>
    </row>
    <row r="154" spans="1:5">
      <c r="A154" t="s">
        <v>10</v>
      </c>
      <c r="B154" t="str">
        <f t="shared" si="18"/>
        <v>ISBL: Concrete Matl. Cost</v>
      </c>
      <c r="C154" t="str">
        <f t="shared" si="24"/>
        <v>OSBL: Concrete Matl. Cost</v>
      </c>
      <c r="D154" s="81" t="str">
        <f>'Project Direct Metrics'!$E$65</f>
        <v>&lt;#dbvalue(4_Civil_ISBL_Data;4;"Matl";)&gt;</v>
      </c>
      <c r="E154" s="81" t="str">
        <f>'Project Direct Metrics'!$F$65</f>
        <v>&lt;#dbvalue(4_Civil_OSBL_Data;4;"Matl";)&gt;</v>
      </c>
    </row>
    <row r="155" spans="1:5">
      <c r="A155" t="s">
        <v>11</v>
      </c>
      <c r="B155" t="str">
        <f t="shared" si="18"/>
        <v>ISBL: Grout Matl. Cost</v>
      </c>
      <c r="C155" t="str">
        <f t="shared" si="24"/>
        <v>OSBL: Grout Matl. Cost</v>
      </c>
      <c r="D155" s="81" t="str">
        <f>'Project Direct Metrics'!$E$66</f>
        <v>&lt;#dbvalue(4_Civil_ISBL_Data;5;"Matl";)&gt;</v>
      </c>
      <c r="E155" s="81" t="str">
        <f>'Project Direct Metrics'!$F$66</f>
        <v>&lt;#dbvalue(4_Civil_OSBL_Data;5;"Matl";)&gt;</v>
      </c>
    </row>
    <row r="156" spans="1:5">
      <c r="A156" t="s">
        <v>387</v>
      </c>
      <c r="B156" t="str">
        <f t="shared" si="18"/>
        <v>ISBL: Rebar Matl. Cost</v>
      </c>
      <c r="C156" t="str">
        <f t="shared" si="24"/>
        <v>OSBL: Rebar Matl. Cost</v>
      </c>
      <c r="D156" s="81" t="str">
        <f>'Project Direct Metrics'!$E$67</f>
        <v>&lt;#dbvalue(4_Civil_ISBL_Data;6;"Matl";)&gt;</v>
      </c>
      <c r="E156" s="81" t="str">
        <f>'Project Direct Metrics'!$F$67</f>
        <v>&lt;#dbvalue(4_Civil_OSBL_Data;6;"Matl";)&gt;</v>
      </c>
    </row>
    <row r="157" spans="1:5">
      <c r="A157" t="s">
        <v>135</v>
      </c>
      <c r="B157" t="str">
        <f t="shared" si="18"/>
        <v>ISBL: Buildings, Architectural Matl. Cost</v>
      </c>
      <c r="C157" t="str">
        <f t="shared" si="24"/>
        <v>OSBL: Buildings, Architectural Matl. Cost</v>
      </c>
      <c r="D157" s="81" t="str">
        <f>'Project Direct Metrics'!$E$68</f>
        <v>&lt;#dbvalue(4_Civil_ISBL_Data;7;"Matl";)&gt;</v>
      </c>
      <c r="E157" s="81" t="str">
        <f>'Project Direct Metrics'!$F$68</f>
        <v>&lt;#dbvalue(4_Civil_OSBL_Data;7;"Matl";)&gt;</v>
      </c>
    </row>
    <row r="158" spans="1:5">
      <c r="A158" t="s">
        <v>130</v>
      </c>
      <c r="B158" t="str">
        <f t="shared" si="18"/>
        <v>ISBL: Other Sitework Matl. Cost</v>
      </c>
      <c r="C158" t="str">
        <f t="shared" si="24"/>
        <v>OSBL: Other Sitework Matl. Cost</v>
      </c>
      <c r="D158" s="81" t="str">
        <f>'Project Direct Metrics'!$E$69</f>
        <v>&lt;#dbvalue(4_Civil_ISBL_Data;8;"Matl";)&gt;</v>
      </c>
      <c r="E158" s="81" t="str">
        <f>'Project Direct Metrics'!$F$69</f>
        <v>&lt;#dbvalue(4_Civil_OSBL_Data;8;"Matl";)&gt;</v>
      </c>
    </row>
    <row r="159" spans="1:5">
      <c r="A159" t="s">
        <v>133</v>
      </c>
      <c r="B159" t="str">
        <f t="shared" si="18"/>
        <v>ISBL: Other Civil Matl. Cost</v>
      </c>
      <c r="C159" t="str">
        <f t="shared" si="24"/>
        <v>OSBL: Other Civil Matl. Cost</v>
      </c>
      <c r="D159" s="81" t="str">
        <f>'Project Direct Metrics'!$E$70</f>
        <v>&lt;#dbvalue(4_Civil_ISBL_Data;9;"Matl";)&gt;</v>
      </c>
      <c r="E159" s="81" t="str">
        <f>'Project Direct Metrics'!$F$70</f>
        <v>&lt;#dbvalue(4_Civil_OSBL_Data;9;"Matl";)&gt;</v>
      </c>
    </row>
    <row r="160" spans="1:5">
      <c r="A160" t="s">
        <v>136</v>
      </c>
      <c r="B160" t="str">
        <f t="shared" si="18"/>
        <v>ISBL: Civil Demolition Matl. Cost</v>
      </c>
      <c r="C160" t="str">
        <f t="shared" si="24"/>
        <v>OSBL: Civil Demolition Matl. Cost</v>
      </c>
      <c r="D160" s="81" t="str">
        <f>'Project Direct Metrics'!$E$71</f>
        <v>&lt;#dbvalue(4_Civil_ISBL_Data;10;"Matl";)&gt;</v>
      </c>
      <c r="E160" s="81" t="str">
        <f>'Project Direct Metrics'!$F$71</f>
        <v>&lt;#dbvalue(4_Civil_OSBL_Data;10;"Matl";)&gt;</v>
      </c>
    </row>
    <row r="162" spans="1:5">
      <c r="A162" t="s">
        <v>611</v>
      </c>
      <c r="B162" t="str">
        <f t="shared" si="18"/>
        <v>ISBL: Extra Light Steel Matl. Cost</v>
      </c>
      <c r="C162" t="str">
        <f t="shared" ref="C162" si="25">CONCATENATE("OSBL: ",A162," Matl. Cost")</f>
        <v>OSBL: Extra Light Steel Matl. Cost</v>
      </c>
      <c r="D162" s="81" t="str">
        <f>'Project Direct Metrics'!$E$75</f>
        <v>&lt;#dbvalue(5_Steel_ISBL_Data;0;"Matl";)&gt;</v>
      </c>
      <c r="E162" s="81" t="str">
        <f>'Project Direct Metrics'!$F$75</f>
        <v>&lt;#dbvalue(5_Steel_OSBL_Data;0;"Matl";)&gt;</v>
      </c>
    </row>
    <row r="163" spans="1:5">
      <c r="A163" t="s">
        <v>612</v>
      </c>
      <c r="B163" t="str">
        <f t="shared" si="18"/>
        <v>ISBL: Light Steel Matl. Cost</v>
      </c>
      <c r="C163" t="str">
        <f t="shared" ref="C163:C169" si="26">CONCATENATE("OSBL: ",A163," Matl. Cost")</f>
        <v>OSBL: Light Steel Matl. Cost</v>
      </c>
      <c r="D163" s="81" t="str">
        <f>'Project Direct Metrics'!$E$76</f>
        <v>&lt;#dbvalue(5_Steel_ISBL_Data;1;"Matl";)&gt;</v>
      </c>
      <c r="E163" s="81" t="str">
        <f>'Project Direct Metrics'!$F$76</f>
        <v>&lt;#dbvalue(5_Steel_OSBL_Data;1;"Matl";)&gt;</v>
      </c>
    </row>
    <row r="164" spans="1:5">
      <c r="A164" t="s">
        <v>613</v>
      </c>
      <c r="B164" t="str">
        <f t="shared" si="18"/>
        <v>ISBL: Medium Steel Matl. Cost</v>
      </c>
      <c r="C164" t="str">
        <f t="shared" si="26"/>
        <v>OSBL: Medium Steel Matl. Cost</v>
      </c>
      <c r="D164" s="81" t="str">
        <f>'Project Direct Metrics'!$E$77</f>
        <v>&lt;#dbvalue(5_Steel_ISBL_Data;2;"Matl";)&gt;</v>
      </c>
      <c r="E164" s="81" t="str">
        <f>'Project Direct Metrics'!$F$77</f>
        <v>&lt;#dbvalue(5_Steel_OSBL_Data;2;"Matl";)&gt;</v>
      </c>
    </row>
    <row r="165" spans="1:5">
      <c r="A165" t="s">
        <v>614</v>
      </c>
      <c r="B165" t="str">
        <f t="shared" si="18"/>
        <v>ISBL: Heavy Steel Matl. Cost</v>
      </c>
      <c r="C165" t="str">
        <f t="shared" si="26"/>
        <v>OSBL: Heavy Steel Matl. Cost</v>
      </c>
      <c r="D165" s="81" t="str">
        <f>'Project Direct Metrics'!$E$78</f>
        <v>&lt;#dbvalue(5_Steel_ISBL_Data;3;"Matl";)&gt;</v>
      </c>
      <c r="E165" s="81" t="str">
        <f>'Project Direct Metrics'!$F$78</f>
        <v>&lt;#dbvalue(5_Steel_OSBL_Data;3;"Matl";)&gt;</v>
      </c>
    </row>
    <row r="166" spans="1:5">
      <c r="A166" t="s">
        <v>615</v>
      </c>
      <c r="B166" t="str">
        <f t="shared" ref="B166:B169" si="27">CONCATENATE("ISBL: ",A166," Matl. Cost")</f>
        <v>ISBL: Extra Heavy Steel Matl. Cost</v>
      </c>
      <c r="C166" t="str">
        <f t="shared" si="26"/>
        <v>OSBL: Extra Heavy Steel Matl. Cost</v>
      </c>
      <c r="D166" s="81" t="str">
        <f>'Project Direct Metrics'!$E$79</f>
        <v>&lt;#dbvalue(5_Steel_ISBL_Data;4;"Matl";)&gt;</v>
      </c>
      <c r="E166" s="81" t="str">
        <f>'Project Direct Metrics'!$F$79</f>
        <v>&lt;#dbvalue(5_Steel_OSBL_Data;4;"Matl";)&gt;</v>
      </c>
    </row>
    <row r="167" spans="1:5">
      <c r="A167" t="s">
        <v>172</v>
      </c>
      <c r="B167" t="str">
        <f t="shared" si="27"/>
        <v>ISBL: Offshore Steel Matl. Cost</v>
      </c>
      <c r="C167" t="str">
        <f t="shared" si="26"/>
        <v>OSBL: Offshore Steel Matl. Cost</v>
      </c>
      <c r="D167" s="81" t="str">
        <f>'Project Direct Metrics'!$E$80</f>
        <v>&lt;#dbvalue(5_Steel_ISBL_Data;5;"Matl";)&gt;</v>
      </c>
      <c r="E167" s="81" t="str">
        <f>'Project Direct Metrics'!$F$80</f>
        <v>&lt;#dbvalue(5_Steel_OSBL_Data;5;"Matl";)&gt;</v>
      </c>
    </row>
    <row r="168" spans="1:5">
      <c r="A168" t="s">
        <v>143</v>
      </c>
      <c r="B168" t="str">
        <f t="shared" si="27"/>
        <v>ISBL: Other Steel Items Matl. Cost</v>
      </c>
      <c r="C168" t="str">
        <f t="shared" si="26"/>
        <v>OSBL: Other Steel Items Matl. Cost</v>
      </c>
      <c r="D168" s="81" t="str">
        <f>'Project Direct Metrics'!$E$81</f>
        <v>&lt;#dbvalue(5_Steel_ISBL_Data;6;"Matl";)&gt;</v>
      </c>
      <c r="E168" s="81" t="str">
        <f>'Project Direct Metrics'!$F$81</f>
        <v>&lt;#dbvalue(5_Steel_OSBL_Data;6;"Matl";)&gt;</v>
      </c>
    </row>
    <row r="169" spans="1:5">
      <c r="A169" t="s">
        <v>144</v>
      </c>
      <c r="B169" t="str">
        <f t="shared" si="27"/>
        <v>ISBL: Steel Demolition Matl. Cost</v>
      </c>
      <c r="C169" t="str">
        <f t="shared" si="26"/>
        <v>OSBL: Steel Demolition Matl. Cost</v>
      </c>
      <c r="D169" s="81" t="str">
        <f>'Project Direct Metrics'!$E$82</f>
        <v>&lt;#dbvalue(5_Steel_ISBL_Data;7;"Matl";)&gt;</v>
      </c>
      <c r="E169" s="81" t="str">
        <f>'Project Direct Metrics'!$F$82</f>
        <v>&lt;#dbvalue(5_Steel_OSBL_Data;7;"Matl";)&gt;</v>
      </c>
    </row>
    <row r="171" spans="1:5">
      <c r="A171" t="s">
        <v>175</v>
      </c>
      <c r="B171" t="str">
        <f t="shared" ref="B171:B211" si="28">CONCATENATE("ISBL: ",A171," Matl. Cost")</f>
        <v>ISBL: Sensors Matl. Cost</v>
      </c>
      <c r="C171" t="str">
        <f t="shared" ref="C171" si="29">CONCATENATE("OSBL: ",A171," Matl. Cost")</f>
        <v>OSBL: Sensors Matl. Cost</v>
      </c>
      <c r="D171" s="81" t="str">
        <f>'Project Direct Metrics'!$E$86</f>
        <v>&lt;#dbvalue(6_Instrumentation_ISBL_Data;0;"Matl";)&gt;</v>
      </c>
      <c r="E171" s="81" t="str">
        <f>'Project Direct Metrics'!$F$86</f>
        <v>&lt;#dbvalue(6_Instrumentation_OSBL_Data;0;"Matl";)&gt;</v>
      </c>
    </row>
    <row r="172" spans="1:5">
      <c r="A172" t="s">
        <v>176</v>
      </c>
      <c r="B172" t="str">
        <f t="shared" si="28"/>
        <v>ISBL: Control Valves Matl. Cost</v>
      </c>
      <c r="C172" t="str">
        <f t="shared" ref="C172:C180" si="30">CONCATENATE("OSBL: ",A172," Matl. Cost")</f>
        <v>OSBL: Control Valves Matl. Cost</v>
      </c>
      <c r="D172" s="81" t="str">
        <f>'Project Direct Metrics'!$E$87</f>
        <v>&lt;#dbvalue(6_Instrumentation_ISBL_Data;1;"Matl";)&gt;</v>
      </c>
      <c r="E172" s="81" t="str">
        <f>'Project Direct Metrics'!$F$87</f>
        <v>&lt;#dbvalue(6_Instrumentation_OSBL_Data;1;"Matl";)&gt;</v>
      </c>
    </row>
    <row r="173" spans="1:5">
      <c r="A173" t="s">
        <v>183</v>
      </c>
      <c r="B173" t="str">
        <f t="shared" si="28"/>
        <v>ISBL: Wiring, Cable, Data Highway, Fiber Optic Matl. Cost</v>
      </c>
      <c r="C173" t="str">
        <f t="shared" si="30"/>
        <v>OSBL: Wiring, Cable, Data Highway, Fiber Optic Matl. Cost</v>
      </c>
      <c r="D173" s="81" t="str">
        <f>'Project Direct Metrics'!$E$88</f>
        <v>&lt;#dbvalue(6_Instrumentation_ISBL_Data;2;"Matl";)&gt;</v>
      </c>
      <c r="E173" s="81" t="str">
        <f>'Project Direct Metrics'!$F$88</f>
        <v>&lt;#dbvalue(6_Instrumentation_OSBL_Data;2;"Matl";)&gt;</v>
      </c>
    </row>
    <row r="174" spans="1:5">
      <c r="A174" t="s">
        <v>420</v>
      </c>
      <c r="B174" t="str">
        <f t="shared" si="28"/>
        <v>ISBL: Junction Boxes, Cabinets Etc. Matl. Cost</v>
      </c>
      <c r="C174" t="str">
        <f t="shared" si="30"/>
        <v>OSBL: Junction Boxes, Cabinets Etc. Matl. Cost</v>
      </c>
      <c r="D174" s="81" t="str">
        <f>'Project Direct Metrics'!$E$89</f>
        <v>&lt;#dbvalue(6_Instrumentation_ISBL_Data;3;"Matl";)&gt;</v>
      </c>
      <c r="E174" s="81" t="str">
        <f>'Project Direct Metrics'!$F$89</f>
        <v>&lt;#dbvalue(6_Instrumentation_OSBL_Data;3;"Matl";)&gt;</v>
      </c>
    </row>
    <row r="175" spans="1:5">
      <c r="A175" t="s">
        <v>626</v>
      </c>
      <c r="B175" t="str">
        <f t="shared" si="28"/>
        <v>ISBL: Instru. Conduit, Fittings Matl. Cost</v>
      </c>
      <c r="C175" t="str">
        <f t="shared" si="30"/>
        <v>OSBL: Instru. Conduit, Fittings Matl. Cost</v>
      </c>
      <c r="D175" s="81" t="str">
        <f>'Project Direct Metrics'!$E$90</f>
        <v>&lt;#dbvalue(6_Instrumentation_ISBL_Data;4;"Matl";)&gt;</v>
      </c>
      <c r="E175" s="81" t="str">
        <f>'Project Direct Metrics'!$F$90</f>
        <v>&lt;#dbvalue(6_Instrumentation_OSBL_Data;4;"Matl";)&gt;</v>
      </c>
    </row>
    <row r="176" spans="1:5">
      <c r="A176" t="s">
        <v>627</v>
      </c>
      <c r="B176" t="str">
        <f t="shared" si="28"/>
        <v>ISBL: Instru. Cable Tray, Supports Matl. Cost</v>
      </c>
      <c r="C176" t="str">
        <f t="shared" si="30"/>
        <v>OSBL: Instru. Cable Tray, Supports Matl. Cost</v>
      </c>
      <c r="D176" s="81" t="str">
        <f>'Project Direct Metrics'!$E$91</f>
        <v>&lt;#dbvalue(6_Instrumentation_ISBL_Data;5;"Matl";)&gt;</v>
      </c>
      <c r="E176" s="81" t="str">
        <f>'Project Direct Metrics'!$F$91</f>
        <v>&lt;#dbvalue(6_Instrumentation_OSBL_Data;5;"Matl";)&gt;</v>
      </c>
    </row>
    <row r="177" spans="1:5">
      <c r="A177" t="s">
        <v>184</v>
      </c>
      <c r="B177" t="str">
        <f t="shared" si="28"/>
        <v>ISBL: Computer Control Matl. Cost</v>
      </c>
      <c r="C177" t="str">
        <f t="shared" si="30"/>
        <v>OSBL: Computer Control Matl. Cost</v>
      </c>
      <c r="D177" s="81" t="str">
        <f>'Project Direct Metrics'!$E$92</f>
        <v>&lt;#dbvalue(6_Instrumentation_ISBL_Data;6;"Matl";)&gt;</v>
      </c>
      <c r="E177" s="81" t="str">
        <f>'Project Direct Metrics'!$F$92</f>
        <v>&lt;#dbvalue(6_Instrumentation_OSBL_Data;6;"Matl";)&gt;</v>
      </c>
    </row>
    <row r="178" spans="1:5">
      <c r="A178" t="s">
        <v>179</v>
      </c>
      <c r="B178" t="str">
        <f t="shared" si="28"/>
        <v>ISBL: Instrument Testing Matl. Cost</v>
      </c>
      <c r="C178" t="str">
        <f t="shared" si="30"/>
        <v>OSBL: Instrument Testing Matl. Cost</v>
      </c>
      <c r="D178" s="81" t="str">
        <f>'Project Direct Metrics'!$E$93</f>
        <v>&lt;#dbvalue(6_Instrumentation_ISBL_Data;7;"Matl";)&gt;</v>
      </c>
      <c r="E178" s="81" t="str">
        <f>'Project Direct Metrics'!$F$93</f>
        <v>&lt;#dbvalue(6_Instrumentation_OSBL_Data;7;"Matl";)&gt;</v>
      </c>
    </row>
    <row r="179" spans="1:5">
      <c r="A179" t="s">
        <v>174</v>
      </c>
      <c r="B179" t="str">
        <f t="shared" si="28"/>
        <v>ISBL: Other Instrumentation Items Matl. Cost</v>
      </c>
      <c r="C179" t="str">
        <f t="shared" si="30"/>
        <v>OSBL: Other Instrumentation Items Matl. Cost</v>
      </c>
      <c r="D179" s="81" t="str">
        <f>'Project Direct Metrics'!$E$94</f>
        <v>&lt;#dbvalue(6_Instrumentation_ISBL_Data;8;"Matl";)&gt;</v>
      </c>
      <c r="E179" s="81" t="str">
        <f>'Project Direct Metrics'!$F$94</f>
        <v>&lt;#dbvalue(6_Instrumentation_OSBL_Data;8;"Matl";)&gt;</v>
      </c>
    </row>
    <row r="180" spans="1:5">
      <c r="A180" t="s">
        <v>173</v>
      </c>
      <c r="B180" t="str">
        <f t="shared" si="28"/>
        <v>ISBL: Instrumentation Demolition Matl. Cost</v>
      </c>
      <c r="C180" t="str">
        <f t="shared" si="30"/>
        <v>OSBL: Instrumentation Demolition Matl. Cost</v>
      </c>
      <c r="D180" s="81" t="str">
        <f>'Project Direct Metrics'!$E$95</f>
        <v>&lt;#dbvalue(6_Instrumentation_ISBL_Data;9;"Matl";)&gt;</v>
      </c>
      <c r="E180" s="81" t="str">
        <f>'Project Direct Metrics'!$F$95</f>
        <v>&lt;#dbvalue(6_Instrumentation_OSBL_Data;9;"Matl";)&gt;</v>
      </c>
    </row>
    <row r="182" spans="1:5">
      <c r="A182" t="s">
        <v>648</v>
      </c>
      <c r="B182" t="str">
        <f t="shared" si="28"/>
        <v>ISBL: HV Electrical Cable Matl. Cost</v>
      </c>
      <c r="C182" t="str">
        <f t="shared" ref="C182" si="31">CONCATENATE("OSBL: ",A182," Matl. Cost")</f>
        <v>OSBL: HV Electrical Cable Matl. Cost</v>
      </c>
      <c r="D182" s="81" t="str">
        <f>'Project Direct Metrics'!$E$99</f>
        <v>&lt;#dbvalue(7_Electrical_ISBL_Data;0;"Matl";)&gt;</v>
      </c>
      <c r="E182" s="81" t="str">
        <f>'Project Direct Metrics'!$F$99</f>
        <v>&lt;#dbvalue(7_Electrical_OSBL_Data;0;"Matl";)&gt;</v>
      </c>
    </row>
    <row r="183" spans="1:5">
      <c r="A183" t="s">
        <v>649</v>
      </c>
      <c r="B183" t="str">
        <f t="shared" si="28"/>
        <v>ISBL: MV Electrical Cable Matl. Cost</v>
      </c>
      <c r="C183" t="str">
        <f t="shared" ref="C183:C194" si="32">CONCATENATE("OSBL: ",A183," Matl. Cost")</f>
        <v>OSBL: MV Electrical Cable Matl. Cost</v>
      </c>
      <c r="D183" s="81" t="str">
        <f>'Project Direct Metrics'!$E$100</f>
        <v>&lt;#dbvalue(7_Electrical_ISBL_Data;1;"Matl";)&gt;</v>
      </c>
      <c r="E183" s="81" t="str">
        <f>'Project Direct Metrics'!$F$100</f>
        <v>&lt;#dbvalue(7_Electrical_OSBL_Data;1;"Matl";)&gt;</v>
      </c>
    </row>
    <row r="184" spans="1:5">
      <c r="A184" t="s">
        <v>650</v>
      </c>
      <c r="B184" t="str">
        <f t="shared" si="28"/>
        <v>ISBL: LV Electrical Cable Matl. Cost</v>
      </c>
      <c r="C184" t="str">
        <f t="shared" si="32"/>
        <v>OSBL: LV Electrical Cable Matl. Cost</v>
      </c>
      <c r="D184" s="81" t="str">
        <f>'Project Direct Metrics'!$E$101</f>
        <v>&lt;#dbvalue(7_Electrical_ISBL_Data;2;"Matl";)&gt;</v>
      </c>
      <c r="E184" s="81" t="str">
        <f>'Project Direct Metrics'!$F$101</f>
        <v>&lt;#dbvalue(7_Electrical_OSBL_Data;2;"Matl";)&gt;</v>
      </c>
    </row>
    <row r="185" spans="1:5">
      <c r="A185" t="s">
        <v>167</v>
      </c>
      <c r="B185" t="str">
        <f t="shared" si="28"/>
        <v>ISBL: Control Cable Matl. Cost</v>
      </c>
      <c r="C185" t="str">
        <f t="shared" si="32"/>
        <v>OSBL: Control Cable Matl. Cost</v>
      </c>
      <c r="D185" s="81" t="str">
        <f>'Project Direct Metrics'!$E$102</f>
        <v>&lt;#dbvalue(7_Electrical_ISBL_Data;3;"Matl";)&gt;</v>
      </c>
      <c r="E185" s="81" t="str">
        <f>'Project Direct Metrics'!$F$102</f>
        <v>&lt;#dbvalue(7_Electrical_OSBL_Data;3;"Matl";)&gt;</v>
      </c>
    </row>
    <row r="186" spans="1:5">
      <c r="A186" t="s">
        <v>168</v>
      </c>
      <c r="B186" t="str">
        <f t="shared" si="28"/>
        <v>ISBL: Lighting Cable Matl. Cost</v>
      </c>
      <c r="C186" t="str">
        <f t="shared" si="32"/>
        <v>OSBL: Lighting Cable Matl. Cost</v>
      </c>
      <c r="D186" s="81" t="str">
        <f>'Project Direct Metrics'!$E$103</f>
        <v>&lt;#dbvalue(7_Electrical_ISBL_Data;4;"Matl";)&gt;</v>
      </c>
      <c r="E186" s="81" t="str">
        <f>'Project Direct Metrics'!$F$103</f>
        <v>&lt;#dbvalue(7_Electrical_OSBL_Data;4;"Matl";)&gt;</v>
      </c>
    </row>
    <row r="187" spans="1:5">
      <c r="A187" t="s">
        <v>652</v>
      </c>
      <c r="B187" t="str">
        <f t="shared" si="28"/>
        <v>ISBL: Elec. Conduit, Fittings Matl. Cost</v>
      </c>
      <c r="C187" t="str">
        <f t="shared" si="32"/>
        <v>OSBL: Elec. Conduit, Fittings Matl. Cost</v>
      </c>
      <c r="D187" s="81" t="str">
        <f>'Project Direct Metrics'!$E$104</f>
        <v>&lt;#dbvalue(7_Electrical_ISBL_Data;5;"Matl";)&gt;</v>
      </c>
      <c r="E187" s="81" t="str">
        <f>'Project Direct Metrics'!$F$104</f>
        <v>&lt;#dbvalue(7_Electrical_OSBL_Data;5;"Matl";)&gt;</v>
      </c>
    </row>
    <row r="188" spans="1:5">
      <c r="A188" t="s">
        <v>653</v>
      </c>
      <c r="B188" t="str">
        <f t="shared" si="28"/>
        <v>ISBL: Elec. Cable Tray, Supports Matl. Cost</v>
      </c>
      <c r="C188" t="str">
        <f t="shared" si="32"/>
        <v>OSBL: Elec. Cable Tray, Supports Matl. Cost</v>
      </c>
      <c r="D188" s="81" t="str">
        <f>'Project Direct Metrics'!$E$105</f>
        <v>&lt;#dbvalue(7_Electrical_ISBL_Data;6;"Matl";)&gt;</v>
      </c>
      <c r="E188" s="81" t="str">
        <f>'Project Direct Metrics'!$F$105</f>
        <v>&lt;#dbvalue(7_Electrical_OSBL_Data;6;"Matl";)&gt;</v>
      </c>
    </row>
    <row r="189" spans="1:5">
      <c r="A189" t="s">
        <v>180</v>
      </c>
      <c r="B189" t="str">
        <f t="shared" si="28"/>
        <v>ISBL: Transformers, Switchgear Matl. Cost</v>
      </c>
      <c r="C189" t="str">
        <f t="shared" si="32"/>
        <v>OSBL: Transformers, Switchgear Matl. Cost</v>
      </c>
      <c r="D189" s="81" t="str">
        <f>'Project Direct Metrics'!$E$106</f>
        <v>&lt;#dbvalue(7_Electrical_ISBL_Data;7;"Matl";)&gt;</v>
      </c>
      <c r="E189" s="81" t="str">
        <f>'Project Direct Metrics'!$F$106</f>
        <v>&lt;#dbvalue(7_Electrical_OSBL_Data;7;"Matl";)&gt;</v>
      </c>
    </row>
    <row r="190" spans="1:5">
      <c r="A190" t="s">
        <v>181</v>
      </c>
      <c r="B190" t="str">
        <f t="shared" si="28"/>
        <v>ISBL: Motor Control Center Matl. Cost</v>
      </c>
      <c r="C190" t="str">
        <f t="shared" si="32"/>
        <v>OSBL: Motor Control Center Matl. Cost</v>
      </c>
      <c r="D190" s="81" t="str">
        <f>'Project Direct Metrics'!$E$107</f>
        <v>&lt;#dbvalue(7_Electrical_ISBL_Data;8;"Matl";)&gt;</v>
      </c>
      <c r="E190" s="81" t="str">
        <f>'Project Direct Metrics'!$F$107</f>
        <v>&lt;#dbvalue(7_Electrical_OSBL_Data;8;"Matl";)&gt;</v>
      </c>
    </row>
    <row r="191" spans="1:5">
      <c r="A191" t="s">
        <v>651</v>
      </c>
      <c r="B191" t="str">
        <f t="shared" si="28"/>
        <v>ISBL: Other Electrical Equip. Matl. Cost</v>
      </c>
      <c r="C191" t="str">
        <f t="shared" si="32"/>
        <v>OSBL: Other Electrical Equip. Matl. Cost</v>
      </c>
      <c r="D191" s="81" t="str">
        <f>'Project Direct Metrics'!$E$108</f>
        <v>&lt;#dbvalue(7_Electrical_ISBL_Data;9;"Matl";)&gt;</v>
      </c>
      <c r="E191" s="81" t="str">
        <f>'Project Direct Metrics'!$F$108</f>
        <v>&lt;#dbvalue(7_Electrical_OSBL_Data;9;"Matl";)&gt;</v>
      </c>
    </row>
    <row r="192" spans="1:5">
      <c r="A192" t="s">
        <v>163</v>
      </c>
      <c r="B192" t="str">
        <f t="shared" si="28"/>
        <v>ISBL: Other Electrical Items Matl. Cost</v>
      </c>
      <c r="C192" t="str">
        <f t="shared" si="32"/>
        <v>OSBL: Other Electrical Items Matl. Cost</v>
      </c>
      <c r="D192" s="81" t="str">
        <f>'Project Direct Metrics'!$E$109</f>
        <v>&lt;#dbvalue(7_Electrical_ISBL_Data;10;"Matl";)&gt;</v>
      </c>
      <c r="E192" s="81" t="str">
        <f>'Project Direct Metrics'!$F$109</f>
        <v>&lt;#dbvalue(7_Electrical_OSBL_Data;10;"Matl";)&gt;</v>
      </c>
    </row>
    <row r="193" spans="1:5">
      <c r="A193" t="s">
        <v>232</v>
      </c>
      <c r="B193" t="str">
        <f t="shared" si="28"/>
        <v>ISBL: Electrical Testing Matl. Cost</v>
      </c>
      <c r="C193" t="str">
        <f t="shared" si="32"/>
        <v>OSBL: Electrical Testing Matl. Cost</v>
      </c>
      <c r="D193" s="81" t="str">
        <f>'Project Direct Metrics'!$E$110</f>
        <v>&lt;#dbvalue(7_Electrical_ISBL_Data;11;"Matl";)&gt;</v>
      </c>
      <c r="E193" s="81" t="str">
        <f>'Project Direct Metrics'!$F$110</f>
        <v>&lt;#dbvalue(7_Electrical_OSBL_Data;11;"Matl";)&gt;</v>
      </c>
    </row>
    <row r="194" spans="1:5">
      <c r="A194" t="s">
        <v>162</v>
      </c>
      <c r="B194" t="str">
        <f t="shared" si="28"/>
        <v>ISBL: Electrical Demolition Matl. Cost</v>
      </c>
      <c r="C194" t="str">
        <f t="shared" si="32"/>
        <v>OSBL: Electrical Demolition Matl. Cost</v>
      </c>
      <c r="D194" s="81" t="str">
        <f>'Project Direct Metrics'!$E$111</f>
        <v>&lt;#dbvalue(7_Electrical_ISBL_Data;12;"Matl";)&gt;</v>
      </c>
      <c r="E194" s="81" t="str">
        <f>'Project Direct Metrics'!$F$111</f>
        <v>&lt;#dbvalue(7_Electrical_OSBL_Data;12;"Matl";)&gt;</v>
      </c>
    </row>
    <row r="195" spans="1:5">
      <c r="A195" t="s">
        <v>169</v>
      </c>
      <c r="B195" t="str">
        <f t="shared" si="28"/>
        <v>ISBL: Above Ground Electrical Matl. Cost</v>
      </c>
      <c r="C195" t="str">
        <f t="shared" ref="C195:C196" si="33">CONCATENATE("OSBL: ",A195," Matl. Cost")</f>
        <v>OSBL: Above Ground Electrical Matl. Cost</v>
      </c>
      <c r="D195" s="81" t="str">
        <f>'Project Direct Metrics'!$E$115</f>
        <v>&lt;#dbvalue(7_ElectricalByInstall_ISBL_Data;0;"Matl";)&gt;</v>
      </c>
      <c r="E195" s="81" t="str">
        <f>'Project Direct Metrics'!$F$115</f>
        <v>&lt;#dbvalue(7_ElectricalByInstall_OSBL_Data;0;"Matl";)&gt;</v>
      </c>
    </row>
    <row r="196" spans="1:5">
      <c r="A196" t="s">
        <v>170</v>
      </c>
      <c r="B196" t="str">
        <f t="shared" si="28"/>
        <v>ISBL: Below Ground Electrical Matl. Cost</v>
      </c>
      <c r="C196" t="str">
        <f t="shared" si="33"/>
        <v>OSBL: Below Ground Electrical Matl. Cost</v>
      </c>
      <c r="D196" s="81" t="str">
        <f>'Project Direct Metrics'!$E$116</f>
        <v>&lt;#dbvalue(7_ElectricalByInstall_ISBL_Data;1;"Matl";)&gt;</v>
      </c>
      <c r="E196" s="81" t="str">
        <f>'Project Direct Metrics'!$F$116</f>
        <v>&lt;#dbvalue(7_ElectricalByInstall_OSBL_Data;1;"Matl";)&gt;</v>
      </c>
    </row>
    <row r="198" spans="1:5">
      <c r="A198" t="s">
        <v>148</v>
      </c>
      <c r="B198" t="str">
        <f t="shared" si="28"/>
        <v>ISBL: Equipment Insulation Matl. Cost</v>
      </c>
      <c r="C198" t="str">
        <f t="shared" ref="C198" si="34">CONCATENATE("OSBL: ",A198," Matl. Cost")</f>
        <v>OSBL: Equipment Insulation Matl. Cost</v>
      </c>
      <c r="D198" s="81" t="str">
        <f>'Project Direct Metrics'!$F$119</f>
        <v>&lt;#dbvalue(8_Insulation_OSBL_Data;0;"Matl";)&gt;</v>
      </c>
      <c r="E198" s="81" t="str">
        <f>'Project Direct Metrics'!$G$119</f>
        <v>&lt;#dbvalue(8_Insulation_ISBL_Data;0;"MH";)&gt;</v>
      </c>
    </row>
    <row r="199" spans="1:5">
      <c r="A199" t="s">
        <v>149</v>
      </c>
      <c r="B199" t="str">
        <f t="shared" si="28"/>
        <v>ISBL: Pipe Insulation Matl. Cost</v>
      </c>
      <c r="C199" t="str">
        <f t="shared" ref="C199:C203" si="35">CONCATENATE("OSBL: ",A199," Matl. Cost")</f>
        <v>OSBL: Pipe Insulation Matl. Cost</v>
      </c>
      <c r="D199" s="81" t="str">
        <f>'Project Direct Metrics'!$F$120</f>
        <v>&lt;#dbvalue(8_Insulation_OSBL_Data;1;"Matl";)&gt;</v>
      </c>
      <c r="E199" s="81" t="str">
        <f>'Project Direct Metrics'!$G$120</f>
        <v>&lt;#dbvalue(8_Insulation_ISBL_Data;1;"MH";)&gt;</v>
      </c>
    </row>
    <row r="200" spans="1:5">
      <c r="A200" t="s">
        <v>150</v>
      </c>
      <c r="B200" t="str">
        <f t="shared" si="28"/>
        <v>ISBL: Equipment Fireproofing Matl. Cost</v>
      </c>
      <c r="C200" t="str">
        <f t="shared" si="35"/>
        <v>OSBL: Equipment Fireproofing Matl. Cost</v>
      </c>
      <c r="D200" s="81" t="str">
        <f>'Project Direct Metrics'!$F$121</f>
        <v>&lt;#dbvalue(8_Insulation_OSBL_Data;2;"Matl";)&gt;</v>
      </c>
      <c r="E200" s="81" t="str">
        <f>'Project Direct Metrics'!$G$121</f>
        <v>&lt;#dbvalue(8_Insulation_ISBL_Data;2;"MH";)&gt;</v>
      </c>
    </row>
    <row r="201" spans="1:5">
      <c r="A201" t="s">
        <v>151</v>
      </c>
      <c r="B201" t="str">
        <f t="shared" si="28"/>
        <v>ISBL: Steel Fireproofing Matl. Cost</v>
      </c>
      <c r="C201" t="str">
        <f t="shared" si="35"/>
        <v>OSBL: Steel Fireproofing Matl. Cost</v>
      </c>
      <c r="D201" s="81" t="str">
        <f>'Project Direct Metrics'!$F$122</f>
        <v>&lt;#dbvalue(8_Insulation_OSBL_Data;3;"Matl";)&gt;</v>
      </c>
      <c r="E201" s="81" t="str">
        <f>'Project Direct Metrics'!$G$122</f>
        <v>&lt;#dbvalue(8_Insulation_ISBL_Data;3;"MH";)&gt;</v>
      </c>
    </row>
    <row r="202" spans="1:5">
      <c r="A202" t="s">
        <v>152</v>
      </c>
      <c r="B202" t="str">
        <f t="shared" si="28"/>
        <v>ISBL: Other Insulation, Fireproofing Matl. Cost</v>
      </c>
      <c r="C202" t="str">
        <f t="shared" si="35"/>
        <v>OSBL: Other Insulation, Fireproofing Matl. Cost</v>
      </c>
      <c r="D202" s="81" t="str">
        <f>'Project Direct Metrics'!$F$123</f>
        <v>&lt;#dbvalue(8_Insulation_OSBL_Data;4;"Matl";)&gt;</v>
      </c>
      <c r="E202" s="81" t="str">
        <f>'Project Direct Metrics'!$G$123</f>
        <v>&lt;#dbvalue(8_Insulation_ISBL_Data;4;"MH";)&gt;</v>
      </c>
    </row>
    <row r="203" spans="1:5">
      <c r="A203" t="s">
        <v>153</v>
      </c>
      <c r="B203" t="str">
        <f t="shared" si="28"/>
        <v>ISBL: Insulation, Fireproofing Demolition Matl. Cost</v>
      </c>
      <c r="C203" t="str">
        <f t="shared" si="35"/>
        <v>OSBL: Insulation, Fireproofing Demolition Matl. Cost</v>
      </c>
      <c r="D203" s="81" t="str">
        <f>'Project Direct Metrics'!$F$124</f>
        <v>&lt;#dbvalue(8_Insulation_OSBL_Data;5;"Matl";)&gt;</v>
      </c>
      <c r="E203" s="81" t="str">
        <f>'Project Direct Metrics'!$G$124</f>
        <v>&lt;#dbvalue(8_Insulation_ISBL_Data;5;"MH";)&gt;</v>
      </c>
    </row>
    <row r="205" spans="1:5">
      <c r="A205" t="s">
        <v>155</v>
      </c>
      <c r="B205" t="str">
        <f t="shared" si="28"/>
        <v>ISBL: Equipment Paint Matl. Cost</v>
      </c>
      <c r="C205" t="str">
        <f t="shared" ref="C205" si="36">CONCATENATE("OSBL: ",A205," Matl. Cost")</f>
        <v>OSBL: Equipment Paint Matl. Cost</v>
      </c>
      <c r="D205" s="81" t="str">
        <f>'Project Direct Metrics'!$E$128</f>
        <v>&lt;#dbvalue(9_Paint_ISBL_Data;0;"Matl";)&gt;</v>
      </c>
      <c r="E205" s="81" t="str">
        <f>'Project Direct Metrics'!$F$128</f>
        <v>&lt;#dbvalue(9_Paint_OSBL_Data;0;"Matl";)&gt;</v>
      </c>
    </row>
    <row r="206" spans="1:5">
      <c r="A206" t="s">
        <v>156</v>
      </c>
      <c r="B206" t="str">
        <f t="shared" si="28"/>
        <v>ISBL: Pipe Paint Matl. Cost</v>
      </c>
      <c r="C206" t="str">
        <f t="shared" ref="C206:C211" si="37">CONCATENATE("OSBL: ",A206," Matl. Cost")</f>
        <v>OSBL: Pipe Paint Matl. Cost</v>
      </c>
      <c r="D206" s="81" t="str">
        <f>'Project Direct Metrics'!$E$129</f>
        <v>&lt;#dbvalue(9_Paint_ISBL_Data;1;"Matl";)&gt;</v>
      </c>
      <c r="E206" s="81" t="str">
        <f>'Project Direct Metrics'!$F$129</f>
        <v>&lt;#dbvalue(9_Paint_OSBL_Data;1;"Matl";)&gt;</v>
      </c>
    </row>
    <row r="207" spans="1:5">
      <c r="A207" t="s">
        <v>157</v>
      </c>
      <c r="B207" t="str">
        <f t="shared" si="28"/>
        <v>ISBL: Steel Paint Matl. Cost</v>
      </c>
      <c r="C207" t="str">
        <f t="shared" si="37"/>
        <v>OSBL: Steel Paint Matl. Cost</v>
      </c>
      <c r="D207" s="81" t="str">
        <f>'Project Direct Metrics'!$E$130</f>
        <v>&lt;#dbvalue(9_Paint_ISBL_Data;2;"Matl";)&gt;</v>
      </c>
      <c r="E207" s="81" t="str">
        <f>'Project Direct Metrics'!$F$130</f>
        <v>&lt;#dbvalue(9_Paint_OSBL_Data;2;"Matl";)&gt;</v>
      </c>
    </row>
    <row r="208" spans="1:5">
      <c r="A208" t="s">
        <v>158</v>
      </c>
      <c r="B208" t="str">
        <f t="shared" si="28"/>
        <v>ISBL: Surface Preparation Matl. Cost</v>
      </c>
      <c r="C208" t="str">
        <f t="shared" si="37"/>
        <v>OSBL: Surface Preparation Matl. Cost</v>
      </c>
      <c r="D208" s="81" t="str">
        <f>'Project Direct Metrics'!$E$131</f>
        <v>&lt;#dbvalue(9_Paint_ISBL_Data;3;"Matl";)&gt;</v>
      </c>
      <c r="E208" s="81" t="str">
        <f>'Project Direct Metrics'!$F$131</f>
        <v>&lt;#dbvalue(9_Paint_OSBL_Data;3;"Matl";)&gt;</v>
      </c>
    </row>
    <row r="209" spans="1:5">
      <c r="A209" t="s">
        <v>159</v>
      </c>
      <c r="B209" t="str">
        <f t="shared" si="28"/>
        <v>ISBL: Module Paint Matl. Cost</v>
      </c>
      <c r="C209" t="str">
        <f t="shared" si="37"/>
        <v>OSBL: Module Paint Matl. Cost</v>
      </c>
      <c r="D209" s="81" t="str">
        <f>'Project Direct Metrics'!$E$132</f>
        <v>&lt;#dbvalue(9_Paint_ISBL_Data;4;"Matl";)&gt;</v>
      </c>
      <c r="E209" s="81" t="str">
        <f>'Project Direct Metrics'!$F$132</f>
        <v>&lt;#dbvalue(9_Paint_OSBL_Data;4;"Matl";)&gt;</v>
      </c>
    </row>
    <row r="210" spans="1:5">
      <c r="A210" t="s">
        <v>160</v>
      </c>
      <c r="B210" t="str">
        <f t="shared" si="28"/>
        <v>ISBL: Other Paint Matl. Cost</v>
      </c>
      <c r="C210" t="str">
        <f t="shared" si="37"/>
        <v>OSBL: Other Paint Matl. Cost</v>
      </c>
      <c r="D210" s="81" t="str">
        <f>'Project Direct Metrics'!$E$133</f>
        <v>&lt;#dbvalue(9_Paint_ISBL_Data;5;"Matl";)&gt;</v>
      </c>
      <c r="E210" s="81" t="str">
        <f>'Project Direct Metrics'!$F$133</f>
        <v>&lt;#dbvalue(9_Paint_OSBL_Data;5;"Matl";)&gt;</v>
      </c>
    </row>
    <row r="211" spans="1:5">
      <c r="A211" t="s">
        <v>161</v>
      </c>
      <c r="B211" t="str">
        <f t="shared" si="28"/>
        <v>ISBL: Paint Demolition Matl. Cost</v>
      </c>
      <c r="C211" t="str">
        <f t="shared" si="37"/>
        <v>OSBL: Paint Demolition Matl. Cost</v>
      </c>
      <c r="D211" s="81" t="str">
        <f>'Project Direct Metrics'!$E$134</f>
        <v>&lt;#dbvalue(9_Paint_ISBL_Data;6;"Matl";)&gt;</v>
      </c>
      <c r="E211" s="81" t="str">
        <f>'Project Direct Metrics'!$F$134</f>
        <v>&lt;#dbvalue(9_Paint_OSBL_Data;6;"Matl";)&gt;</v>
      </c>
    </row>
    <row r="213" spans="1:5">
      <c r="A213" t="s">
        <v>485</v>
      </c>
      <c r="B213" t="str">
        <f>CONCATENATE("ISBL: ",A213," MHrs")</f>
        <v>ISBL: Boiler Plant Equip. MHrs</v>
      </c>
      <c r="C213" t="str">
        <f>CONCATENATE("OSBL: ",A213," MHrs")</f>
        <v>OSBL: Boiler Plant Equip. MHrs</v>
      </c>
      <c r="D213" s="81" t="str">
        <f>'Project Direct Metrics'!$G$4</f>
        <v>&lt;#dbvalue(2_Equipment_ISBL_Data;0;"MH";)&gt;</v>
      </c>
      <c r="E213" s="81" t="str">
        <f>'Project Direct Metrics'!$H$4</f>
        <v>&lt;#dbvalue(2_Equipment_OSBL_Data;0;"MH";)&gt;</v>
      </c>
    </row>
    <row r="214" spans="1:5">
      <c r="A214" t="s">
        <v>92</v>
      </c>
      <c r="B214" t="str">
        <f t="shared" ref="B214:B235" si="38">CONCATENATE("ISBL: ",A214," MHrs")</f>
        <v>ISBL: Centrifugal Compressors MHrs</v>
      </c>
      <c r="C214" t="str">
        <f t="shared" ref="C214:C235" si="39">CONCATENATE("OSBL: ",A214," MHrs")</f>
        <v>OSBL: Centrifugal Compressors MHrs</v>
      </c>
      <c r="D214" s="81" t="str">
        <f>'Project Direct Metrics'!$G$5</f>
        <v>&lt;#dbvalue(2_Equipment_ISBL_Data;1;"MH";)&gt;</v>
      </c>
      <c r="E214" s="81" t="str">
        <f>'Project Direct Metrics'!$H$5</f>
        <v>&lt;#dbvalue(2_Equipment_OSBL_Data;1;"MH";)&gt;</v>
      </c>
    </row>
    <row r="215" spans="1:5">
      <c r="A215" t="s">
        <v>100</v>
      </c>
      <c r="B215" t="str">
        <f t="shared" si="38"/>
        <v>ISBL: Crushers, Mills MHrs</v>
      </c>
      <c r="C215" t="str">
        <f t="shared" si="39"/>
        <v>OSBL: Crushers, Mills MHrs</v>
      </c>
      <c r="D215" s="81" t="str">
        <f>'Project Direct Metrics'!$G$6</f>
        <v>&lt;#dbvalue(2_Equipment_ISBL_Data;2;"MH";)&gt;</v>
      </c>
      <c r="E215" s="81" t="str">
        <f>'Project Direct Metrics'!$H$6</f>
        <v>&lt;#dbvalue(2_Equipment_OSBL_Data;2;"MH";)&gt;</v>
      </c>
    </row>
    <row r="216" spans="1:5">
      <c r="A216" t="s">
        <v>99</v>
      </c>
      <c r="B216" t="str">
        <f t="shared" si="38"/>
        <v>ISBL: Drivers MHrs</v>
      </c>
      <c r="C216" t="str">
        <f t="shared" si="39"/>
        <v>OSBL: Drivers MHrs</v>
      </c>
      <c r="D216" s="81" t="str">
        <f>'Project Direct Metrics'!$G$7</f>
        <v>&lt;#dbvalue(2_Equipment_ISBL_Data;3;"MH";)&gt;</v>
      </c>
      <c r="E216" s="81" t="str">
        <f>'Project Direct Metrics'!$H$7</f>
        <v>&lt;#dbvalue(2_Equipment_OSBL_Data;3;"MH";)&gt;</v>
      </c>
    </row>
    <row r="217" spans="1:5">
      <c r="A217" t="s">
        <v>98</v>
      </c>
      <c r="B217" t="str">
        <f t="shared" si="38"/>
        <v>ISBL: Fans, Blowers MHrs</v>
      </c>
      <c r="C217" t="str">
        <f t="shared" si="39"/>
        <v>OSBL: Fans, Blowers MHrs</v>
      </c>
      <c r="D217" s="81" t="str">
        <f>'Project Direct Metrics'!$G$8</f>
        <v>&lt;#dbvalue(2_Equipment_ISBL_Data;4;"MH";)&gt;</v>
      </c>
      <c r="E217" s="81" t="str">
        <f>'Project Direct Metrics'!$H$8</f>
        <v>&lt;#dbvalue(2_Equipment_OSBL_Data;4;"MH";)&gt;</v>
      </c>
    </row>
    <row r="218" spans="1:5">
      <c r="A218" t="s">
        <v>90</v>
      </c>
      <c r="B218" t="str">
        <f t="shared" si="38"/>
        <v>ISBL: Flares MHrs</v>
      </c>
      <c r="C218" t="str">
        <f t="shared" si="39"/>
        <v>OSBL: Flares MHrs</v>
      </c>
      <c r="D218" s="81" t="str">
        <f>'Project Direct Metrics'!$G$9</f>
        <v>&lt;#dbvalue(2_Equipment_ISBL_Data;5;"MH";)&gt;</v>
      </c>
      <c r="E218" s="81" t="str">
        <f>'Project Direct Metrics'!$H$9</f>
        <v>&lt;#dbvalue(2_Equipment_OSBL_Data;5;"MH";)&gt;</v>
      </c>
    </row>
    <row r="219" spans="1:5">
      <c r="A219" t="s">
        <v>486</v>
      </c>
      <c r="B219" t="str">
        <f t="shared" si="38"/>
        <v>ISBL: Fluid Separation Equip. MHrs</v>
      </c>
      <c r="C219" t="str">
        <f t="shared" si="39"/>
        <v>OSBL: Fluid Separation Equip. MHrs</v>
      </c>
      <c r="D219" s="81" t="str">
        <f>'Project Direct Metrics'!$G$10</f>
        <v>&lt;#dbvalue(2_Equipment_ISBL_Data;6;"MH";)&gt;</v>
      </c>
      <c r="E219" s="81" t="str">
        <f>'Project Direct Metrics'!$H$10</f>
        <v>&lt;#dbvalue(2_Equipment_OSBL_Data;6;"MH";)&gt;</v>
      </c>
    </row>
    <row r="220" spans="1:5">
      <c r="A220" t="s">
        <v>106</v>
      </c>
      <c r="B220" t="str">
        <f t="shared" si="38"/>
        <v>ISBL: Furnaces, Heaters MHrs</v>
      </c>
      <c r="C220" t="str">
        <f t="shared" si="39"/>
        <v>OSBL: Furnaces, Heaters MHrs</v>
      </c>
      <c r="D220" s="81" t="str">
        <f>'Project Direct Metrics'!$G$11</f>
        <v>&lt;#dbvalue(2_Equipment_ISBL_Data;7;"MH";)&gt;</v>
      </c>
      <c r="E220" s="81" t="str">
        <f>'Project Direct Metrics'!$H$11</f>
        <v>&lt;#dbvalue(2_Equipment_OSBL_Data;7;"MH";)&gt;</v>
      </c>
    </row>
    <row r="221" spans="1:5">
      <c r="A221" t="s">
        <v>104</v>
      </c>
      <c r="B221" t="str">
        <f t="shared" si="38"/>
        <v>ISBL: Generators MHrs</v>
      </c>
      <c r="C221" t="str">
        <f t="shared" si="39"/>
        <v>OSBL: Generators MHrs</v>
      </c>
      <c r="D221" s="81" t="str">
        <f>'Project Direct Metrics'!$G$12</f>
        <v>&lt;#dbvalue(2_Equipment_ISBL_Data;8;"MH";)&gt;</v>
      </c>
      <c r="E221" s="81" t="str">
        <f>'Project Direct Metrics'!$H$12</f>
        <v>&lt;#dbvalue(2_Equipment_OSBL_Data;8;"MH";)&gt;</v>
      </c>
    </row>
    <row r="222" spans="1:5">
      <c r="A222" t="s">
        <v>88</v>
      </c>
      <c r="B222" t="str">
        <f t="shared" si="38"/>
        <v>ISBL: Heat Exchangers MHrs</v>
      </c>
      <c r="C222" t="str">
        <f t="shared" si="39"/>
        <v>OSBL: Heat Exchangers MHrs</v>
      </c>
      <c r="D222" s="81" t="str">
        <f>'Project Direct Metrics'!$G$13</f>
        <v>&lt;#dbvalue(2_Equipment_ISBL_Data;9;"MH";)&gt;</v>
      </c>
      <c r="E222" s="81" t="str">
        <f>'Project Direct Metrics'!$H$13</f>
        <v>&lt;#dbvalue(2_Equipment_OSBL_Data;9;"MH";)&gt;</v>
      </c>
    </row>
    <row r="223" spans="1:5">
      <c r="A223" t="s">
        <v>487</v>
      </c>
      <c r="B223" t="str">
        <f t="shared" si="38"/>
        <v>ISBL: Material Handling Equip. MHrs</v>
      </c>
      <c r="C223" t="str">
        <f t="shared" si="39"/>
        <v>OSBL: Material Handling Equip. MHrs</v>
      </c>
      <c r="D223" s="81" t="str">
        <f>'Project Direct Metrics'!$G$14</f>
        <v>&lt;#dbvalue(2_Equipment_ISBL_Data;10;"MH";)&gt;</v>
      </c>
      <c r="E223" s="81" t="str">
        <f>'Project Direct Metrics'!$H$14</f>
        <v>&lt;#dbvalue(2_Equipment_OSBL_Data;10;"MH";)&gt;</v>
      </c>
    </row>
    <row r="224" spans="1:5">
      <c r="A224" t="s">
        <v>107</v>
      </c>
      <c r="B224" t="str">
        <f t="shared" si="38"/>
        <v>ISBL: Package Units MHrs</v>
      </c>
      <c r="C224" t="str">
        <f t="shared" si="39"/>
        <v>OSBL: Package Units MHrs</v>
      </c>
      <c r="D224" s="81" t="str">
        <f>'Project Direct Metrics'!$G$15</f>
        <v>&lt;#dbvalue(2_Equipment_ISBL_Data;11;"MH";)&gt;</v>
      </c>
      <c r="E224" s="81" t="str">
        <f>'Project Direct Metrics'!$H$15</f>
        <v>&lt;#dbvalue(2_Equipment_OSBL_Data;11;"MH";)&gt;</v>
      </c>
    </row>
    <row r="225" spans="1:5">
      <c r="A225" t="s">
        <v>91</v>
      </c>
      <c r="B225" t="str">
        <f t="shared" si="38"/>
        <v>ISBL: Process Vessels MHrs</v>
      </c>
      <c r="C225" t="str">
        <f t="shared" si="39"/>
        <v>OSBL: Process Vessels MHrs</v>
      </c>
      <c r="D225" s="81" t="str">
        <f>'Project Direct Metrics'!$G$16</f>
        <v>&lt;#dbvalue(2_Equipment_ISBL_Data;12;"MH";)&gt;</v>
      </c>
      <c r="E225" s="81" t="str">
        <f>'Project Direct Metrics'!$H$16</f>
        <v>&lt;#dbvalue(2_Equipment_OSBL_Data;12;"MH";)&gt;</v>
      </c>
    </row>
    <row r="226" spans="1:5">
      <c r="A226" t="s">
        <v>87</v>
      </c>
      <c r="B226" t="str">
        <f t="shared" si="38"/>
        <v>ISBL: Pumps MHrs</v>
      </c>
      <c r="C226" t="str">
        <f t="shared" si="39"/>
        <v>OSBL: Pumps MHrs</v>
      </c>
      <c r="D226" s="81" t="str">
        <f>'Project Direct Metrics'!$G$17</f>
        <v>&lt;#dbvalue(2_Equipment_ISBL_Data;13;"MH";)&gt;</v>
      </c>
      <c r="E226" s="81" t="str">
        <f>'Project Direct Metrics'!$H$17</f>
        <v>&lt;#dbvalue(2_Equipment_OSBL_Data;13;"MH";)&gt;</v>
      </c>
    </row>
    <row r="227" spans="1:5">
      <c r="A227" t="s">
        <v>96</v>
      </c>
      <c r="B227" t="str">
        <f t="shared" si="38"/>
        <v>ISBL: Reactors, Mixers MHrs</v>
      </c>
      <c r="C227" t="str">
        <f t="shared" si="39"/>
        <v>OSBL: Reactors, Mixers MHrs</v>
      </c>
      <c r="D227" s="81" t="str">
        <f>'Project Direct Metrics'!$G$18</f>
        <v>&lt;#dbvalue(2_Equipment_ISBL_Data;14;"MH";)&gt;</v>
      </c>
      <c r="E227" s="81" t="str">
        <f>'Project Direct Metrics'!$H$18</f>
        <v>&lt;#dbvalue(2_Equipment_OSBL_Data;14;"MH";)&gt;</v>
      </c>
    </row>
    <row r="228" spans="1:5">
      <c r="A228" t="s">
        <v>93</v>
      </c>
      <c r="B228" t="str">
        <f t="shared" si="38"/>
        <v>ISBL: Reciprocating Compressors MHrs</v>
      </c>
      <c r="C228" t="str">
        <f t="shared" si="39"/>
        <v>OSBL: Reciprocating Compressors MHrs</v>
      </c>
      <c r="D228" s="81" t="str">
        <f>'Project Direct Metrics'!$G$19</f>
        <v>&lt;#dbvalue(2_Equipment_ISBL_Data;15;"MH";)&gt;</v>
      </c>
      <c r="E228" s="81" t="str">
        <f>'Project Direct Metrics'!$H$19</f>
        <v>&lt;#dbvalue(2_Equipment_OSBL_Data;15;"MH";)&gt;</v>
      </c>
    </row>
    <row r="229" spans="1:5">
      <c r="A229" t="s">
        <v>488</v>
      </c>
      <c r="B229" t="str">
        <f t="shared" si="38"/>
        <v>ISBL: Solids Separation Equip. MHrs</v>
      </c>
      <c r="C229" t="str">
        <f t="shared" si="39"/>
        <v>OSBL: Solids Separation Equip. MHrs</v>
      </c>
      <c r="D229" s="81" t="str">
        <f>'Project Direct Metrics'!$G$20</f>
        <v>&lt;#dbvalue(2_Equipment_ISBL_Data;16;"MH";)&gt;</v>
      </c>
      <c r="E229" s="81" t="str">
        <f>'Project Direct Metrics'!$H$20</f>
        <v>&lt;#dbvalue(2_Equipment_OSBL_Data;16;"MH";)&gt;</v>
      </c>
    </row>
    <row r="230" spans="1:5">
      <c r="A230" t="s">
        <v>89</v>
      </c>
      <c r="B230" t="str">
        <f t="shared" si="38"/>
        <v>ISBL: Storage Vessels MHrs</v>
      </c>
      <c r="C230" t="str">
        <f t="shared" si="39"/>
        <v>OSBL: Storage Vessels MHrs</v>
      </c>
      <c r="D230" s="81" t="str">
        <f>'Project Direct Metrics'!$G$21</f>
        <v>&lt;#dbvalue(2_Equipment_ISBL_Data;17;"MH";)&gt;</v>
      </c>
      <c r="E230" s="81" t="str">
        <f>'Project Direct Metrics'!$H$21</f>
        <v>&lt;#dbvalue(2_Equipment_OSBL_Data;17;"MH";)&gt;</v>
      </c>
    </row>
    <row r="231" spans="1:5">
      <c r="A231" t="s">
        <v>97</v>
      </c>
      <c r="B231" t="str">
        <f t="shared" si="38"/>
        <v>ISBL: Turbo Expanders MHrs</v>
      </c>
      <c r="C231" t="str">
        <f t="shared" si="39"/>
        <v>OSBL: Turbo Expanders MHrs</v>
      </c>
      <c r="D231" s="81" t="str">
        <f>'Project Direct Metrics'!$G$22</f>
        <v>&lt;#dbvalue(2_Equipment_ISBL_Data;18;"MH";)&gt;</v>
      </c>
      <c r="E231" s="81" t="str">
        <f>'Project Direct Metrics'!$H$22</f>
        <v>&lt;#dbvalue(2_Equipment_OSBL_Data;18;"MH";)&gt;</v>
      </c>
    </row>
    <row r="232" spans="1:5">
      <c r="A232" t="s">
        <v>94</v>
      </c>
      <c r="B232" t="str">
        <f t="shared" si="38"/>
        <v>ISBL: Other Equipment Items MHrs</v>
      </c>
      <c r="C232" t="str">
        <f t="shared" si="39"/>
        <v>OSBL: Other Equipment Items MHrs</v>
      </c>
      <c r="D232" s="81" t="str">
        <f>'Project Direct Metrics'!$G$23</f>
        <v>&lt;#dbvalue(2_Equipment_ISBL_Data;19;"MH";)&gt;</v>
      </c>
      <c r="E232" s="81" t="str">
        <f>'Project Direct Metrics'!$H$23</f>
        <v>&lt;#dbvalue(2_Equipment_OSBL_Data;19;"MH";)&gt;</v>
      </c>
    </row>
    <row r="233" spans="1:5">
      <c r="A233" t="s">
        <v>109</v>
      </c>
      <c r="B233" t="str">
        <f t="shared" si="38"/>
        <v>ISBL: Design Allowance MHrs</v>
      </c>
      <c r="C233" t="str">
        <f t="shared" si="39"/>
        <v>OSBL: Design Allowance MHrs</v>
      </c>
      <c r="D233" s="81" t="str">
        <f>'Project Direct Metrics'!$G$24</f>
        <v>&lt;#dbvalue(2_Equipment_ISBL_Data;20;"MH";)&gt;</v>
      </c>
      <c r="E233" s="81" t="str">
        <f>'Project Direct Metrics'!$H$24</f>
        <v>&lt;#dbvalue(2_Equipment_OSBL_Data;20;"MH";)&gt;</v>
      </c>
    </row>
    <row r="234" spans="1:5">
      <c r="A234" t="s">
        <v>110</v>
      </c>
      <c r="B234" t="str">
        <f t="shared" si="38"/>
        <v>ISBL: Warehouse Spares MHrs</v>
      </c>
      <c r="C234" t="str">
        <f t="shared" si="39"/>
        <v>OSBL: Warehouse Spares MHrs</v>
      </c>
      <c r="D234" s="81" t="str">
        <f>'Project Direct Metrics'!$G$25</f>
        <v>&lt;#dbvalue(2_Equipment_ISBL_Data;21;"MH";)&gt;</v>
      </c>
      <c r="E234" s="81" t="str">
        <f>'Project Direct Metrics'!$H$25</f>
        <v>&lt;#dbvalue(2_Equipment_OSBL_Data;21;"MH";)&gt;</v>
      </c>
    </row>
    <row r="235" spans="1:5">
      <c r="A235" t="s">
        <v>95</v>
      </c>
      <c r="B235" t="str">
        <f t="shared" si="38"/>
        <v>ISBL: Equipment Demolition MHrs</v>
      </c>
      <c r="C235" t="str">
        <f t="shared" si="39"/>
        <v>OSBL: Equipment Demolition MHrs</v>
      </c>
      <c r="D235" s="81" t="str">
        <f>'Project Direct Metrics'!$G$26</f>
        <v>&lt;#dbvalue(2_Equipment_ISBL_Data;22;"MH";)&gt;</v>
      </c>
      <c r="E235" s="81" t="str">
        <f>'Project Direct Metrics'!$H$26</f>
        <v>&lt;#dbvalue(2_Equipment_OSBL_Data;22;"MH";)&gt;</v>
      </c>
    </row>
    <row r="237" spans="1:5">
      <c r="A237" t="s">
        <v>219</v>
      </c>
      <c r="B237" t="str">
        <f>CONCATENATE("ISBL: ",A237," MHrs")</f>
        <v>ISBL: CS Pipe MHrs</v>
      </c>
      <c r="C237" t="str">
        <f>CONCATENATE("OSBL: ",A237," MHrs")</f>
        <v>OSBL: CS Pipe MHrs</v>
      </c>
      <c r="D237" s="81" t="str">
        <f>'Project Direct Metrics'!$G$30</f>
        <v>&lt;#dbvalue(3_Piping_ISBL_Data;0;"MH";)&gt;</v>
      </c>
      <c r="E237" s="81" t="str">
        <f>'Project Direct Metrics'!$H$30</f>
        <v>&lt;#dbvalue(3_Piping_OSBL_Data;0;"MH";)&gt;</v>
      </c>
    </row>
    <row r="238" spans="1:5">
      <c r="A238" t="s">
        <v>220</v>
      </c>
      <c r="B238" t="str">
        <f t="shared" ref="B238:B260" si="40">CONCATENATE("ISBL: ",A238," MHrs")</f>
        <v>ISBL: CS Valves, Fittings MHrs</v>
      </c>
      <c r="C238" t="str">
        <f t="shared" ref="C238:C260" si="41">CONCATENATE("OSBL: ",A238," MHrs")</f>
        <v>OSBL: CS Valves, Fittings MHrs</v>
      </c>
      <c r="D238" s="81" t="str">
        <f>'Project Direct Metrics'!$G$31</f>
        <v>&lt;#dbvalue(3_Piping_ISBL_Data;1;"MH";)&gt;</v>
      </c>
      <c r="E238" s="81" t="str">
        <f>'Project Direct Metrics'!$H$31</f>
        <v>&lt;#dbvalue(3_Piping_OSBL_Data;1;"MH";)&gt;</v>
      </c>
    </row>
    <row r="239" spans="1:5">
      <c r="A239" t="s">
        <v>225</v>
      </c>
      <c r="B239" t="str">
        <f t="shared" si="40"/>
        <v>ISBL: SS Pipe MHrs</v>
      </c>
      <c r="C239" t="str">
        <f t="shared" si="41"/>
        <v>OSBL: SS Pipe MHrs</v>
      </c>
      <c r="D239" s="81" t="str">
        <f>'Project Direct Metrics'!$G$32</f>
        <v>&lt;#dbvalue(3_Piping_ISBL_Data;2;"MH";)&gt;</v>
      </c>
      <c r="E239" s="81" t="str">
        <f>'Project Direct Metrics'!$H$32</f>
        <v>&lt;#dbvalue(3_Piping_OSBL_Data;2;"MH";)&gt;</v>
      </c>
    </row>
    <row r="240" spans="1:5">
      <c r="A240" t="s">
        <v>221</v>
      </c>
      <c r="B240" t="str">
        <f t="shared" si="40"/>
        <v>ISBL: SS Valves, Fittings MHrs</v>
      </c>
      <c r="C240" t="str">
        <f t="shared" si="41"/>
        <v>OSBL: SS Valves, Fittings MHrs</v>
      </c>
      <c r="D240" s="81" t="str">
        <f>'Project Direct Metrics'!$G$33</f>
        <v>&lt;#dbvalue(3_Piping_ISBL_Data;3;"MH";)&gt;</v>
      </c>
      <c r="E240" s="81" t="str">
        <f>'Project Direct Metrics'!$H$33</f>
        <v>&lt;#dbvalue(3_Piping_OSBL_Data;3;"MH";)&gt;</v>
      </c>
    </row>
    <row r="241" spans="1:5">
      <c r="A241" t="s">
        <v>226</v>
      </c>
      <c r="B241" t="str">
        <f t="shared" si="40"/>
        <v>ISBL: Non-ferrous Pipe MHrs</v>
      </c>
      <c r="C241" t="str">
        <f t="shared" si="41"/>
        <v>OSBL: Non-ferrous Pipe MHrs</v>
      </c>
      <c r="D241" s="81" t="str">
        <f>'Project Direct Metrics'!$G$34</f>
        <v>&lt;#dbvalue(3_Piping_ISBL_Data;4;"MH";)&gt;</v>
      </c>
      <c r="E241" s="81" t="str">
        <f>'Project Direct Metrics'!$H$34</f>
        <v>&lt;#dbvalue(3_Piping_OSBL_Data;4;"MH";)&gt;</v>
      </c>
    </row>
    <row r="242" spans="1:5">
      <c r="A242" t="s">
        <v>222</v>
      </c>
      <c r="B242" t="str">
        <f t="shared" si="40"/>
        <v>ISBL: Non-ferrous Valves, Fittings MHrs</v>
      </c>
      <c r="C242" t="str">
        <f t="shared" si="41"/>
        <v>OSBL: Non-ferrous Valves, Fittings MHrs</v>
      </c>
      <c r="D242" s="81" t="str">
        <f>'Project Direct Metrics'!$G$35</f>
        <v>&lt;#dbvalue(3_Piping_ISBL_Data;5;"MH";)&gt;</v>
      </c>
      <c r="E242" s="81" t="str">
        <f>'Project Direct Metrics'!$H$35</f>
        <v>&lt;#dbvalue(3_Piping_OSBL_Data;5;"MH";)&gt;</v>
      </c>
    </row>
    <row r="243" spans="1:5">
      <c r="A243" t="s">
        <v>227</v>
      </c>
      <c r="B243" t="str">
        <f t="shared" si="40"/>
        <v>ISBL: Lined Pipe MHrs</v>
      </c>
      <c r="C243" t="str">
        <f t="shared" si="41"/>
        <v>OSBL: Lined Pipe MHrs</v>
      </c>
      <c r="D243" s="81" t="str">
        <f>'Project Direct Metrics'!$G$36</f>
        <v>&lt;#dbvalue(3_Piping_ISBL_Data;6;"MH";)&gt;</v>
      </c>
      <c r="E243" s="81" t="str">
        <f>'Project Direct Metrics'!$H$36</f>
        <v>&lt;#dbvalue(3_Piping_OSBL_Data;6;"MH";)&gt;</v>
      </c>
    </row>
    <row r="244" spans="1:5">
      <c r="A244" t="s">
        <v>223</v>
      </c>
      <c r="B244" t="str">
        <f t="shared" si="40"/>
        <v>ISBL: Lined Valves, Fittings MHrs</v>
      </c>
      <c r="C244" t="str">
        <f t="shared" si="41"/>
        <v>OSBL: Lined Valves, Fittings MHrs</v>
      </c>
      <c r="D244" s="81" t="str">
        <f>'Project Direct Metrics'!$G$37</f>
        <v>&lt;#dbvalue(3_Piping_ISBL_Data;7;"MH";)&gt;</v>
      </c>
      <c r="E244" s="81" t="str">
        <f>'Project Direct Metrics'!$H$37</f>
        <v>&lt;#dbvalue(3_Piping_OSBL_Data;7;"MH";)&gt;</v>
      </c>
    </row>
    <row r="245" spans="1:5">
      <c r="A245" t="s">
        <v>228</v>
      </c>
      <c r="B245" t="str">
        <f t="shared" si="40"/>
        <v>ISBL: Non-metallic Pipe MHrs</v>
      </c>
      <c r="C245" t="str">
        <f t="shared" si="41"/>
        <v>OSBL: Non-metallic Pipe MHrs</v>
      </c>
      <c r="D245" s="81" t="str">
        <f>'Project Direct Metrics'!$G$38</f>
        <v>&lt;#dbvalue(3_Piping_ISBL_Data;8;"MH";)&gt;</v>
      </c>
      <c r="E245" s="81" t="str">
        <f>'Project Direct Metrics'!$H$38</f>
        <v>&lt;#dbvalue(3_Piping_OSBL_Data;8;"MH";)&gt;</v>
      </c>
    </row>
    <row r="246" spans="1:5">
      <c r="A246" t="s">
        <v>224</v>
      </c>
      <c r="B246" t="str">
        <f t="shared" si="40"/>
        <v>ISBL: Non-metallic Valves, Fittings MHrs</v>
      </c>
      <c r="C246" t="str">
        <f t="shared" si="41"/>
        <v>OSBL: Non-metallic Valves, Fittings MHrs</v>
      </c>
      <c r="D246" s="81" t="str">
        <f>'Project Direct Metrics'!$G$39</f>
        <v>&lt;#dbvalue(3_Piping_ISBL_Data;9;"MH";)&gt;</v>
      </c>
      <c r="E246" s="81" t="str">
        <f>'Project Direct Metrics'!$H$39</f>
        <v>&lt;#dbvalue(3_Piping_OSBL_Data;9;"MH";)&gt;</v>
      </c>
    </row>
    <row r="247" spans="1:5">
      <c r="A247" t="s">
        <v>112</v>
      </c>
      <c r="B247" t="str">
        <f t="shared" si="40"/>
        <v>ISBL: Specialty Piping Items MHrs</v>
      </c>
      <c r="C247" t="str">
        <f t="shared" si="41"/>
        <v>OSBL: Specialty Piping Items MHrs</v>
      </c>
      <c r="D247" s="81" t="str">
        <f>'Project Direct Metrics'!$G$40</f>
        <v>&lt;#dbvalue(3_Piping_ISBL_Data;10;"MH";)&gt;</v>
      </c>
      <c r="E247" s="81" t="str">
        <f>'Project Direct Metrics'!$H$40</f>
        <v>&lt;#dbvalue(3_Piping_OSBL_Data;10;"MH";)&gt;</v>
      </c>
    </row>
    <row r="248" spans="1:5">
      <c r="A248" t="s">
        <v>113</v>
      </c>
      <c r="B248" t="str">
        <f t="shared" si="40"/>
        <v>ISBL: Firewater Piping MHrs</v>
      </c>
      <c r="C248" t="str">
        <f t="shared" si="41"/>
        <v>OSBL: Firewater Piping MHrs</v>
      </c>
      <c r="D248" s="81" t="str">
        <f>'Project Direct Metrics'!$G$41</f>
        <v>&lt;#dbvalue(3_Piping_ISBL_Data;11;"MH";)&gt;</v>
      </c>
      <c r="E248" s="81" t="str">
        <f>'Project Direct Metrics'!$H$41</f>
        <v>&lt;#dbvalue(3_Piping_OSBL_Data;11;"MH";)&gt;</v>
      </c>
    </row>
    <row r="249" spans="1:5">
      <c r="A249" t="s">
        <v>114</v>
      </c>
      <c r="B249" t="str">
        <f t="shared" si="40"/>
        <v>ISBL: Ductwork, Launders MHrs</v>
      </c>
      <c r="C249" t="str">
        <f t="shared" si="41"/>
        <v>OSBL: Ductwork, Launders MHrs</v>
      </c>
      <c r="D249" s="81" t="str">
        <f>'Project Direct Metrics'!$G$42</f>
        <v>&lt;#dbvalue(3_Piping_ISBL_Data;12;"MH";)&gt;</v>
      </c>
      <c r="E249" s="81" t="str">
        <f>'Project Direct Metrics'!$H$42</f>
        <v>&lt;#dbvalue(3_Piping_OSBL_Data;12;"MH";)&gt;</v>
      </c>
    </row>
    <row r="250" spans="1:5">
      <c r="A250" t="s">
        <v>115</v>
      </c>
      <c r="B250" t="str">
        <f t="shared" si="40"/>
        <v>ISBL: Pipelines MHrs</v>
      </c>
      <c r="C250" t="str">
        <f t="shared" si="41"/>
        <v>OSBL: Pipelines MHrs</v>
      </c>
      <c r="D250" s="81" t="str">
        <f>'Project Direct Metrics'!$G$43</f>
        <v>&lt;#dbvalue(3_Piping_ISBL_Data;13;"MH";)&gt;</v>
      </c>
      <c r="E250" s="81" t="str">
        <f>'Project Direct Metrics'!$H$43</f>
        <v>&lt;#dbvalue(3_Piping_OSBL_Data;13;"MH";)&gt;</v>
      </c>
    </row>
    <row r="251" spans="1:5">
      <c r="A251" t="s">
        <v>118</v>
      </c>
      <c r="B251" t="str">
        <f t="shared" si="40"/>
        <v>ISBL: Other Piping MHrs</v>
      </c>
      <c r="C251" t="str">
        <f t="shared" si="41"/>
        <v>OSBL: Other Piping MHrs</v>
      </c>
      <c r="D251" s="81" t="str">
        <f>'Project Direct Metrics'!$G$44</f>
        <v>&lt;#dbvalue(3_Piping_ISBL_Data;14;"MH";)&gt;</v>
      </c>
      <c r="E251" s="81" t="str">
        <f>'Project Direct Metrics'!$H$44</f>
        <v>&lt;#dbvalue(3_Piping_OSBL_Data;14;"MH";)&gt;</v>
      </c>
    </row>
    <row r="252" spans="1:5">
      <c r="A252" t="s">
        <v>117</v>
      </c>
      <c r="B252" t="str">
        <f t="shared" si="40"/>
        <v>ISBL: Pipe Testing MHrs</v>
      </c>
      <c r="C252" t="str">
        <f t="shared" si="41"/>
        <v>OSBL: Pipe Testing MHrs</v>
      </c>
      <c r="D252" s="81" t="str">
        <f>'Project Direct Metrics'!$G$45</f>
        <v>&lt;#dbvalue(3_Piping_ISBL_Data;15;"MH";)&gt;</v>
      </c>
      <c r="E252" s="81" t="str">
        <f>'Project Direct Metrics'!$H$45</f>
        <v>&lt;#dbvalue(3_Piping_OSBL_Data;15;"MH";)&gt;</v>
      </c>
    </row>
    <row r="253" spans="1:5">
      <c r="A253" t="s">
        <v>116</v>
      </c>
      <c r="B253" t="str">
        <f t="shared" si="40"/>
        <v>ISBL: Pipe Demolition MHrs</v>
      </c>
      <c r="C253" t="str">
        <f t="shared" si="41"/>
        <v>OSBL: Pipe Demolition MHrs</v>
      </c>
      <c r="D253" s="81" t="str">
        <f>'Project Direct Metrics'!$G$46</f>
        <v>&lt;#dbvalue(3_Piping_ISBL_Data;16;"MH";)&gt;</v>
      </c>
      <c r="E253" s="81" t="str">
        <f>'Project Direct Metrics'!$H$46</f>
        <v>&lt;#dbvalue(3_Piping_OSBL_Data;16;"MH";)&gt;</v>
      </c>
    </row>
    <row r="254" spans="1:5">
      <c r="A254" t="s">
        <v>120</v>
      </c>
      <c r="B254" t="str">
        <f t="shared" si="40"/>
        <v>ISBL: Above Ground (AG) Piping MHrs</v>
      </c>
      <c r="C254" t="str">
        <f t="shared" si="41"/>
        <v>OSBL: Above Ground (AG) Piping MHrs</v>
      </c>
      <c r="D254" s="81" t="str">
        <f>'Project Direct Metrics'!$G$50</f>
        <v>&lt;#dbvalue(3_PipingByInstall_ISBL_Data;0;"MH";)&gt;</v>
      </c>
      <c r="E254" s="81" t="str">
        <f>'Project Direct Metrics'!$H$50</f>
        <v>&lt;#dbvalue(3_PipingByInstall_OSBL_Data;0;"MH";)&gt;</v>
      </c>
    </row>
    <row r="255" spans="1:5">
      <c r="A255" t="s">
        <v>121</v>
      </c>
      <c r="B255" t="str">
        <f t="shared" si="40"/>
        <v>ISBL: Underground (UG) Piping MHrs</v>
      </c>
      <c r="C255" t="str">
        <f t="shared" si="41"/>
        <v>OSBL: Underground (UG) Piping MHrs</v>
      </c>
      <c r="D255" s="81" t="str">
        <f>'Project Direct Metrics'!$G$51</f>
        <v>&lt;#dbvalue(3_PipingByInstall_ISBL_Data;1;"MH";)&gt;</v>
      </c>
      <c r="E255" s="81" t="str">
        <f>'Project Direct Metrics'!$H$51</f>
        <v>&lt;#dbvalue(3_PipingByInstall_OSBL_Data;1;"MH";)&gt;</v>
      </c>
    </row>
    <row r="256" spans="1:5">
      <c r="A256" t="s">
        <v>123</v>
      </c>
      <c r="B256" t="str">
        <f t="shared" si="40"/>
        <v>ISBL: Extra-small Diameter MHrs</v>
      </c>
      <c r="C256" t="str">
        <f t="shared" si="41"/>
        <v>OSBL: Extra-small Diameter MHrs</v>
      </c>
      <c r="D256" s="81" t="str">
        <f>'Project Direct Metrics'!$G$54</f>
        <v>&lt;#dbvalue(3_PipingBySize_ISBL_Data;0;"MH";)&gt;</v>
      </c>
      <c r="E256" s="81" t="str">
        <f>'Project Direct Metrics'!$H$54</f>
        <v>&lt;#dbvalue(3_PipingBySize_OSBL_Data;0;"MH";)&gt;</v>
      </c>
    </row>
    <row r="257" spans="1:5">
      <c r="A257" t="s">
        <v>124</v>
      </c>
      <c r="B257" t="str">
        <f t="shared" si="40"/>
        <v>ISBL: Small Diameter MHrs</v>
      </c>
      <c r="C257" t="str">
        <f t="shared" si="41"/>
        <v>OSBL: Small Diameter MHrs</v>
      </c>
      <c r="D257" s="81" t="str">
        <f>'Project Direct Metrics'!$G$55</f>
        <v>&lt;#dbvalue(3_PipingBySize_ISBL_Data;1;"MH";)&gt;</v>
      </c>
      <c r="E257" s="81" t="str">
        <f>'Project Direct Metrics'!$H$55</f>
        <v>&lt;#dbvalue(3_PipingBySize_OSBL_Data;1;"MH";)&gt;</v>
      </c>
    </row>
    <row r="258" spans="1:5">
      <c r="A258" t="s">
        <v>125</v>
      </c>
      <c r="B258" t="str">
        <f t="shared" si="40"/>
        <v>ISBL: Medium Diameter MHrs</v>
      </c>
      <c r="C258" t="str">
        <f t="shared" si="41"/>
        <v>OSBL: Medium Diameter MHrs</v>
      </c>
      <c r="D258" s="81" t="str">
        <f>'Project Direct Metrics'!$G$56</f>
        <v>&lt;#dbvalue(3_PipingBySize_ISBL_Data;2;"MH";)&gt;</v>
      </c>
      <c r="E258" s="81" t="str">
        <f>'Project Direct Metrics'!$H$56</f>
        <v>&lt;#dbvalue(3_PipingBySize_OSBL_Data;2;"MH";)&gt;</v>
      </c>
    </row>
    <row r="259" spans="1:5">
      <c r="A259" t="s">
        <v>126</v>
      </c>
      <c r="B259" t="str">
        <f t="shared" si="40"/>
        <v>ISBL: Large Diameter MHrs</v>
      </c>
      <c r="C259" t="str">
        <f t="shared" si="41"/>
        <v>OSBL: Large Diameter MHrs</v>
      </c>
      <c r="D259" s="81" t="str">
        <f>'Project Direct Metrics'!$G$57</f>
        <v>&lt;#dbvalue(3_PipingBySize_ISBL_Data;3;"MH";)&gt;</v>
      </c>
      <c r="E259" s="81" t="str">
        <f>'Project Direct Metrics'!$H$57</f>
        <v>&lt;#dbvalue(3_PipingBySize_OSBL_Data;3;"MH";)&gt;</v>
      </c>
    </row>
    <row r="260" spans="1:5">
      <c r="A260" t="s">
        <v>127</v>
      </c>
      <c r="B260" t="str">
        <f t="shared" si="40"/>
        <v>ISBL: Extra-large Diameter MHrs</v>
      </c>
      <c r="C260" t="str">
        <f t="shared" si="41"/>
        <v>OSBL: Extra-large Diameter MHrs</v>
      </c>
      <c r="D260" s="81" t="str">
        <f>'Project Direct Metrics'!$G$58</f>
        <v>&lt;#dbvalue(3_PipingBySize_ISBL_Data;4;"MH";)&gt;</v>
      </c>
      <c r="E260" s="81" t="str">
        <f>'Project Direct Metrics'!$H$58</f>
        <v>&lt;#dbvalue(3_PipingBySize_OSBL_Data;4;"MH";)&gt;</v>
      </c>
    </row>
    <row r="262" spans="1:5">
      <c r="A262" t="s">
        <v>129</v>
      </c>
      <c r="B262" t="str">
        <f>CONCATENATE("ISBL: ",A262," MHrs")</f>
        <v>ISBL: Earthwork MHrs</v>
      </c>
      <c r="C262" t="str">
        <f>CONCATENATE("OSBL: ",A262," MHrs")</f>
        <v>OSBL: Earthwork MHrs</v>
      </c>
      <c r="D262" s="81" t="str">
        <f>'Project Direct Metrics'!$G$61</f>
        <v>&lt;#dbvalue(4_Civil_ISBL_Data;0;"MH";)&gt;</v>
      </c>
      <c r="E262" s="81" t="str">
        <f>'Project Direct Metrics'!$H$61</f>
        <v>&lt;#dbvalue(4_Civil_OSBL_Data;0;"MH";)&gt;</v>
      </c>
    </row>
    <row r="263" spans="1:5">
      <c r="A263" t="s">
        <v>134</v>
      </c>
      <c r="B263" t="str">
        <f t="shared" ref="B263:B272" si="42">CONCATENATE("ISBL: ",A263," MHrs")</f>
        <v>ISBL: Roads, Railroads MHrs</v>
      </c>
      <c r="C263" t="str">
        <f t="shared" ref="C263:C272" si="43">CONCATENATE("OSBL: ",A263," MHrs")</f>
        <v>OSBL: Roads, Railroads MHrs</v>
      </c>
      <c r="D263" s="81" t="str">
        <f>'Project Direct Metrics'!$G$62</f>
        <v>&lt;#dbvalue(4_Civil_ISBL_Data;1;"MH";)&gt;</v>
      </c>
      <c r="E263" s="81" t="str">
        <f>'Project Direct Metrics'!$H$62</f>
        <v>&lt;#dbvalue(4_Civil_OSBL_Data;1;"MH";)&gt;</v>
      </c>
    </row>
    <row r="264" spans="1:5">
      <c r="A264" t="s">
        <v>131</v>
      </c>
      <c r="B264" t="str">
        <f t="shared" si="42"/>
        <v>ISBL: Piling MHrs</v>
      </c>
      <c r="C264" t="str">
        <f t="shared" si="43"/>
        <v>OSBL: Piling MHrs</v>
      </c>
      <c r="D264" s="81" t="str">
        <f>'Project Direct Metrics'!$G$63</f>
        <v>&lt;#dbvalue(4_Civil_ISBL_Data;2;"MH";)&gt;</v>
      </c>
      <c r="E264" s="81" t="str">
        <f>'Project Direct Metrics'!$H$63</f>
        <v>&lt;#dbvalue(4_Civil_OSBL_Data;2;"MH";)&gt;</v>
      </c>
    </row>
    <row r="265" spans="1:5">
      <c r="A265" t="s">
        <v>132</v>
      </c>
      <c r="B265" t="str">
        <f t="shared" si="42"/>
        <v>ISBL: Paving MHrs</v>
      </c>
      <c r="C265" t="str">
        <f t="shared" si="43"/>
        <v>OSBL: Paving MHrs</v>
      </c>
      <c r="D265" s="81" t="str">
        <f>'Project Direct Metrics'!$G$64</f>
        <v>&lt;#dbvalue(4_Civil_ISBL_Data;3;"MH";)&gt;</v>
      </c>
      <c r="E265" s="81" t="str">
        <f>'Project Direct Metrics'!$H$64</f>
        <v>&lt;#dbvalue(4_Civil_OSBL_Data;3;"MH";)&gt;</v>
      </c>
    </row>
    <row r="266" spans="1:5">
      <c r="A266" t="s">
        <v>10</v>
      </c>
      <c r="B266" t="str">
        <f t="shared" si="42"/>
        <v>ISBL: Concrete MHrs</v>
      </c>
      <c r="C266" t="str">
        <f t="shared" si="43"/>
        <v>OSBL: Concrete MHrs</v>
      </c>
      <c r="D266" s="81" t="str">
        <f>'Project Direct Metrics'!$G$65</f>
        <v>&lt;#dbvalue(4_Civil_ISBL_Data;4;"MH";)&gt;</v>
      </c>
      <c r="E266" s="81" t="str">
        <f>'Project Direct Metrics'!$H$65</f>
        <v>&lt;#dbvalue(4_Civil_OSBL_Data;4;"MH";)&gt;</v>
      </c>
    </row>
    <row r="267" spans="1:5">
      <c r="A267" t="s">
        <v>11</v>
      </c>
      <c r="B267" t="str">
        <f t="shared" si="42"/>
        <v>ISBL: Grout MHrs</v>
      </c>
      <c r="C267" t="str">
        <f t="shared" si="43"/>
        <v>OSBL: Grout MHrs</v>
      </c>
      <c r="D267" s="81" t="str">
        <f>'Project Direct Metrics'!$G$66</f>
        <v>&lt;#dbvalue(4_Civil_ISBL_Data;5;"MH";)&gt;</v>
      </c>
      <c r="E267" s="81" t="str">
        <f>'Project Direct Metrics'!$H$66</f>
        <v>&lt;#dbvalue(4_Civil_OSBL_Data;5;"MH";)&gt;</v>
      </c>
    </row>
    <row r="268" spans="1:5">
      <c r="A268" t="s">
        <v>387</v>
      </c>
      <c r="B268" t="str">
        <f t="shared" si="42"/>
        <v>ISBL: Rebar MHrs</v>
      </c>
      <c r="C268" t="str">
        <f t="shared" si="43"/>
        <v>OSBL: Rebar MHrs</v>
      </c>
      <c r="D268" s="81" t="str">
        <f>'Project Direct Metrics'!$G$67</f>
        <v>&lt;#dbvalue(4_Civil_ISBL_Data;6;"MH";)&gt;</v>
      </c>
      <c r="E268" s="81" t="str">
        <f>'Project Direct Metrics'!$H$67</f>
        <v>&lt;#dbvalue(4_Civil_OSBL_Data;6;"MH";)&gt;</v>
      </c>
    </row>
    <row r="269" spans="1:5">
      <c r="A269" t="s">
        <v>135</v>
      </c>
      <c r="B269" t="str">
        <f t="shared" si="42"/>
        <v>ISBL: Buildings, Architectural MHrs</v>
      </c>
      <c r="C269" t="str">
        <f t="shared" si="43"/>
        <v>OSBL: Buildings, Architectural MHrs</v>
      </c>
      <c r="D269" s="81" t="str">
        <f>'Project Direct Metrics'!$G$68</f>
        <v>&lt;#dbvalue(4_Civil_ISBL_Data;7;"MH";)&gt;</v>
      </c>
      <c r="E269" s="81" t="str">
        <f>'Project Direct Metrics'!$H$68</f>
        <v>&lt;#dbvalue(4_Civil_OSBL_Data;7;"MH";)&gt;</v>
      </c>
    </row>
    <row r="270" spans="1:5">
      <c r="A270" t="s">
        <v>130</v>
      </c>
      <c r="B270" t="str">
        <f t="shared" si="42"/>
        <v>ISBL: Other Sitework MHrs</v>
      </c>
      <c r="C270" t="str">
        <f t="shared" si="43"/>
        <v>OSBL: Other Sitework MHrs</v>
      </c>
      <c r="D270" s="81" t="str">
        <f>'Project Direct Metrics'!$G$69</f>
        <v>&lt;#dbvalue(4_Civil_ISBL_Data;8;"MH";)&gt;</v>
      </c>
      <c r="E270" s="81" t="str">
        <f>'Project Direct Metrics'!$H$69</f>
        <v>&lt;#dbvalue(4_Civil_OSBL_Data;8;"MH";)&gt;</v>
      </c>
    </row>
    <row r="271" spans="1:5">
      <c r="A271" t="s">
        <v>133</v>
      </c>
      <c r="B271" t="str">
        <f t="shared" si="42"/>
        <v>ISBL: Other Civil MHrs</v>
      </c>
      <c r="C271" t="str">
        <f t="shared" si="43"/>
        <v>OSBL: Other Civil MHrs</v>
      </c>
      <c r="D271" s="81" t="str">
        <f>'Project Direct Metrics'!$G$70</f>
        <v>&lt;#dbvalue(4_Civil_ISBL_Data;9;"MH";)&gt;</v>
      </c>
      <c r="E271" s="81" t="str">
        <f>'Project Direct Metrics'!$H$70</f>
        <v>&lt;#dbvalue(4_Civil_OSBL_Data;9;"MH";)&gt;</v>
      </c>
    </row>
    <row r="272" spans="1:5">
      <c r="A272" t="s">
        <v>136</v>
      </c>
      <c r="B272" t="str">
        <f t="shared" si="42"/>
        <v>ISBL: Civil Demolition MHrs</v>
      </c>
      <c r="C272" t="str">
        <f t="shared" si="43"/>
        <v>OSBL: Civil Demolition MHrs</v>
      </c>
      <c r="D272" s="81" t="str">
        <f>'Project Direct Metrics'!$G$71</f>
        <v>&lt;#dbvalue(4_Civil_ISBL_Data;10;"MH";)&gt;</v>
      </c>
      <c r="E272" s="81" t="str">
        <f>'Project Direct Metrics'!$H$71</f>
        <v>&lt;#dbvalue(4_Civil_OSBL_Data;10;"MH";)&gt;</v>
      </c>
    </row>
    <row r="274" spans="1:5">
      <c r="A274" t="s">
        <v>611</v>
      </c>
      <c r="B274" t="str">
        <f>CONCATENATE("ISBL: ",A274," MHrs")</f>
        <v>ISBL: Extra Light Steel MHrs</v>
      </c>
      <c r="C274" t="str">
        <f>CONCATENATE("OSBL: ",A274," MHrs")</f>
        <v>OSBL: Extra Light Steel MHrs</v>
      </c>
      <c r="D274" s="81" t="str">
        <f>'Project Direct Metrics'!$G$75</f>
        <v>&lt;#dbvalue(5_Steel_ISBL_Data;0;"MH";)&gt;</v>
      </c>
      <c r="E274" s="81" t="str">
        <f>'Project Direct Metrics'!$H$75</f>
        <v>&lt;#dbvalue(5_Steel_OSBL_Data;0;"MH";)&gt;</v>
      </c>
    </row>
    <row r="275" spans="1:5">
      <c r="A275" t="s">
        <v>612</v>
      </c>
      <c r="B275" t="str">
        <f t="shared" ref="B275:B281" si="44">CONCATENATE("ISBL: ",A275," MHrs")</f>
        <v>ISBL: Light Steel MHrs</v>
      </c>
      <c r="C275" t="str">
        <f t="shared" ref="C275:C281" si="45">CONCATENATE("OSBL: ",A275," MHrs")</f>
        <v>OSBL: Light Steel MHrs</v>
      </c>
      <c r="D275" s="81" t="str">
        <f>'Project Direct Metrics'!$G$76</f>
        <v>&lt;#dbvalue(5_Steel_ISBL_Data;1;"MH";)&gt;</v>
      </c>
      <c r="E275" s="81" t="str">
        <f>'Project Direct Metrics'!$H$76</f>
        <v>&lt;#dbvalue(5_Steel_OSBL_Data;1;"MH";)&gt;</v>
      </c>
    </row>
    <row r="276" spans="1:5">
      <c r="A276" t="s">
        <v>613</v>
      </c>
      <c r="B276" t="str">
        <f t="shared" si="44"/>
        <v>ISBL: Medium Steel MHrs</v>
      </c>
      <c r="C276" t="str">
        <f t="shared" si="45"/>
        <v>OSBL: Medium Steel MHrs</v>
      </c>
      <c r="D276" s="81" t="str">
        <f>'Project Direct Metrics'!$G$77</f>
        <v>&lt;#dbvalue(5_Steel_ISBL_Data;2;"MH";)&gt;</v>
      </c>
      <c r="E276" s="81" t="str">
        <f>'Project Direct Metrics'!$H$77</f>
        <v>&lt;#dbvalue(5_Steel_OSBL_Data;2;"MH";)&gt;</v>
      </c>
    </row>
    <row r="277" spans="1:5">
      <c r="A277" t="s">
        <v>614</v>
      </c>
      <c r="B277" t="str">
        <f t="shared" si="44"/>
        <v>ISBL: Heavy Steel MHrs</v>
      </c>
      <c r="C277" t="str">
        <f t="shared" si="45"/>
        <v>OSBL: Heavy Steel MHrs</v>
      </c>
      <c r="D277" s="81" t="str">
        <f>'Project Direct Metrics'!$G$78</f>
        <v>&lt;#dbvalue(5_Steel_ISBL_Data;3;"MH";)&gt;</v>
      </c>
      <c r="E277" s="81" t="str">
        <f>'Project Direct Metrics'!$H$78</f>
        <v>&lt;#dbvalue(5_Steel_OSBL_Data;3;"MH";)&gt;</v>
      </c>
    </row>
    <row r="278" spans="1:5">
      <c r="A278" t="s">
        <v>615</v>
      </c>
      <c r="B278" t="str">
        <f t="shared" si="44"/>
        <v>ISBL: Extra Heavy Steel MHrs</v>
      </c>
      <c r="C278" t="str">
        <f t="shared" si="45"/>
        <v>OSBL: Extra Heavy Steel MHrs</v>
      </c>
      <c r="D278" s="81" t="str">
        <f>'Project Direct Metrics'!$G$79</f>
        <v>&lt;#dbvalue(5_Steel_ISBL_Data;4;"MH";)&gt;</v>
      </c>
      <c r="E278" s="81" t="str">
        <f>'Project Direct Metrics'!$H$79</f>
        <v>&lt;#dbvalue(5_Steel_OSBL_Data;4;"MH";)&gt;</v>
      </c>
    </row>
    <row r="279" spans="1:5">
      <c r="A279" t="s">
        <v>172</v>
      </c>
      <c r="B279" t="str">
        <f t="shared" si="44"/>
        <v>ISBL: Offshore Steel MHrs</v>
      </c>
      <c r="C279" t="str">
        <f t="shared" si="45"/>
        <v>OSBL: Offshore Steel MHrs</v>
      </c>
      <c r="D279" s="81" t="str">
        <f>'Project Direct Metrics'!$G$80</f>
        <v>&lt;#dbvalue(5_Steel_ISBL_Data;5;"MH";)&gt;</v>
      </c>
      <c r="E279" s="81" t="str">
        <f>'Project Direct Metrics'!$H$80</f>
        <v>&lt;#dbvalue(5_Steel_OSBL_Data;5;"MH";)&gt;</v>
      </c>
    </row>
    <row r="280" spans="1:5">
      <c r="A280" t="s">
        <v>143</v>
      </c>
      <c r="B280" t="str">
        <f t="shared" si="44"/>
        <v>ISBL: Other Steel Items MHrs</v>
      </c>
      <c r="C280" t="str">
        <f t="shared" si="45"/>
        <v>OSBL: Other Steel Items MHrs</v>
      </c>
      <c r="D280" s="81" t="str">
        <f>'Project Direct Metrics'!$G$81</f>
        <v>&lt;#dbvalue(5_Steel_ISBL_Data;6;"MH";)&gt;</v>
      </c>
      <c r="E280" s="81" t="str">
        <f>'Project Direct Metrics'!$H$81</f>
        <v>&lt;#dbvalue(5_Steel_OSBL_Data;6;"MH";)&gt;</v>
      </c>
    </row>
    <row r="281" spans="1:5">
      <c r="A281" t="s">
        <v>144</v>
      </c>
      <c r="B281" t="str">
        <f t="shared" si="44"/>
        <v>ISBL: Steel Demolition MHrs</v>
      </c>
      <c r="C281" t="str">
        <f t="shared" si="45"/>
        <v>OSBL: Steel Demolition MHrs</v>
      </c>
      <c r="D281" s="81" t="str">
        <f>'Project Direct Metrics'!$G$82</f>
        <v>&lt;#dbvalue(5_Steel_ISBL_Data;7;"MH";)&gt;</v>
      </c>
      <c r="E281" s="81" t="str">
        <f>'Project Direct Metrics'!$H$82</f>
        <v>&lt;#dbvalue(5_Steel_OSBL_Data;7;"MH";)&gt;</v>
      </c>
    </row>
    <row r="283" spans="1:5">
      <c r="A283" t="s">
        <v>175</v>
      </c>
      <c r="B283" t="str">
        <f t="shared" ref="B283" si="46">CONCATENATE("ISBL: ",A283," MHrs")</f>
        <v>ISBL: Sensors MHrs</v>
      </c>
      <c r="C283" t="str">
        <f>CONCATENATE("OSBL: ",A283," MHrs")</f>
        <v>OSBL: Sensors MHrs</v>
      </c>
      <c r="D283" s="81" t="str">
        <f>'Project Direct Metrics'!$G$86</f>
        <v>&lt;#dbvalue(6_Instrumentation_ISBL_Data;0;"MH";)&gt;</v>
      </c>
      <c r="E283" s="81" t="str">
        <f>'Project Direct Metrics'!$H$86</f>
        <v>&lt;#dbvalue(6_Instrumentation_OSBL_Data;0;"MH";)&gt;</v>
      </c>
    </row>
    <row r="284" spans="1:5">
      <c r="A284" t="s">
        <v>176</v>
      </c>
      <c r="B284" t="str">
        <f t="shared" ref="B284:B292" si="47">CONCATENATE("ISBL: ",A284," MHrs")</f>
        <v>ISBL: Control Valves MHrs</v>
      </c>
      <c r="C284" t="str">
        <f t="shared" ref="C284:C292" si="48">CONCATENATE("OSBL: ",A284," MHrs")</f>
        <v>OSBL: Control Valves MHrs</v>
      </c>
      <c r="D284" s="81" t="str">
        <f>'Project Direct Metrics'!$G$87</f>
        <v>&lt;#dbvalue(6_Instrumentation_ISBL_Data;1;"MH";)&gt;</v>
      </c>
      <c r="E284" s="81" t="str">
        <f>'Project Direct Metrics'!$H$87</f>
        <v>&lt;#dbvalue(6_Instrumentation_OSBL_Data;1;"MH";)&gt;</v>
      </c>
    </row>
    <row r="285" spans="1:5">
      <c r="A285" t="s">
        <v>183</v>
      </c>
      <c r="B285" t="str">
        <f t="shared" si="47"/>
        <v>ISBL: Wiring, Cable, Data Highway, Fiber Optic MHrs</v>
      </c>
      <c r="C285" t="str">
        <f t="shared" si="48"/>
        <v>OSBL: Wiring, Cable, Data Highway, Fiber Optic MHrs</v>
      </c>
      <c r="D285" s="81" t="str">
        <f>'Project Direct Metrics'!$G$88</f>
        <v>&lt;#dbvalue(6_Instrumentation_ISBL_Data;2;"MH";)&gt;</v>
      </c>
      <c r="E285" s="81" t="str">
        <f>'Project Direct Metrics'!$H$88</f>
        <v>&lt;#dbvalue(6_Instrumentation_OSBL_Data;2;"MH";)&gt;</v>
      </c>
    </row>
    <row r="286" spans="1:5">
      <c r="A286" t="s">
        <v>420</v>
      </c>
      <c r="B286" t="str">
        <f t="shared" si="47"/>
        <v>ISBL: Junction Boxes, Cabinets Etc. MHrs</v>
      </c>
      <c r="C286" t="str">
        <f t="shared" si="48"/>
        <v>OSBL: Junction Boxes, Cabinets Etc. MHrs</v>
      </c>
      <c r="D286" s="81" t="str">
        <f>'Project Direct Metrics'!$G$89</f>
        <v>&lt;#dbvalue(6_Instrumentation_ISBL_Data;3;"MH";)&gt;</v>
      </c>
      <c r="E286" s="81" t="str">
        <f>'Project Direct Metrics'!$H$89</f>
        <v>&lt;#dbvalue(6_Instrumentation_OSBL_Data;3;"MH";)&gt;</v>
      </c>
    </row>
    <row r="287" spans="1:5">
      <c r="A287" t="s">
        <v>626</v>
      </c>
      <c r="B287" t="str">
        <f t="shared" si="47"/>
        <v>ISBL: Instru. Conduit, Fittings MHrs</v>
      </c>
      <c r="C287" t="str">
        <f t="shared" si="48"/>
        <v>OSBL: Instru. Conduit, Fittings MHrs</v>
      </c>
      <c r="D287" s="81" t="str">
        <f>'Project Direct Metrics'!$G$90</f>
        <v>&lt;#dbvalue(6_Instrumentation_ISBL_Data;4;"MH";)&gt;</v>
      </c>
      <c r="E287" s="81" t="str">
        <f>'Project Direct Metrics'!$H$90</f>
        <v>&lt;#dbvalue(6_Instrumentation_OSBL_Data;4;"MH";)&gt;</v>
      </c>
    </row>
    <row r="288" spans="1:5">
      <c r="A288" t="s">
        <v>627</v>
      </c>
      <c r="B288" t="str">
        <f t="shared" si="47"/>
        <v>ISBL: Instru. Cable Tray, Supports MHrs</v>
      </c>
      <c r="C288" t="str">
        <f t="shared" si="48"/>
        <v>OSBL: Instru. Cable Tray, Supports MHrs</v>
      </c>
      <c r="D288" s="81" t="str">
        <f>'Project Direct Metrics'!$G$91</f>
        <v>&lt;#dbvalue(6_Instrumentation_ISBL_Data;5;"MH";)&gt;</v>
      </c>
      <c r="E288" s="81" t="str">
        <f>'Project Direct Metrics'!$H$91</f>
        <v>&lt;#dbvalue(6_Instrumentation_OSBL_Data;5;"MH";)&gt;</v>
      </c>
    </row>
    <row r="289" spans="1:5">
      <c r="A289" t="s">
        <v>184</v>
      </c>
      <c r="B289" t="str">
        <f t="shared" si="47"/>
        <v>ISBL: Computer Control MHrs</v>
      </c>
      <c r="C289" t="str">
        <f t="shared" si="48"/>
        <v>OSBL: Computer Control MHrs</v>
      </c>
      <c r="D289" s="81" t="str">
        <f>'Project Direct Metrics'!$G$92</f>
        <v>&lt;#dbvalue(6_Instrumentation_ISBL_Data;6;"MH";)&gt;</v>
      </c>
      <c r="E289" s="81" t="str">
        <f>'Project Direct Metrics'!$H$92</f>
        <v>&lt;#dbvalue(6_Instrumentation_OSBL_Data;6;"MH";)&gt;</v>
      </c>
    </row>
    <row r="290" spans="1:5">
      <c r="A290" t="s">
        <v>179</v>
      </c>
      <c r="B290" t="str">
        <f t="shared" si="47"/>
        <v>ISBL: Instrument Testing MHrs</v>
      </c>
      <c r="C290" t="str">
        <f t="shared" si="48"/>
        <v>OSBL: Instrument Testing MHrs</v>
      </c>
      <c r="D290" s="81" t="str">
        <f>'Project Direct Metrics'!$G$93</f>
        <v>&lt;#dbvalue(6_Instrumentation_ISBL_Data;7;"MH";)&gt;</v>
      </c>
      <c r="E290" s="81" t="str">
        <f>'Project Direct Metrics'!$H$93</f>
        <v>&lt;#dbvalue(6_Instrumentation_OSBL_Data;7;"MH";)&gt;</v>
      </c>
    </row>
    <row r="291" spans="1:5">
      <c r="A291" t="s">
        <v>174</v>
      </c>
      <c r="B291" t="str">
        <f t="shared" si="47"/>
        <v>ISBL: Other Instrumentation Items MHrs</v>
      </c>
      <c r="C291" t="str">
        <f t="shared" si="48"/>
        <v>OSBL: Other Instrumentation Items MHrs</v>
      </c>
      <c r="D291" s="81" t="str">
        <f>'Project Direct Metrics'!$G$94</f>
        <v>&lt;#dbvalue(6_Instrumentation_ISBL_Data;8;"MH";)&gt;</v>
      </c>
      <c r="E291" s="81" t="str">
        <f>'Project Direct Metrics'!$H$94</f>
        <v>&lt;#dbvalue(6_Instrumentation_OSBL_Data;8;"MH";)&gt;</v>
      </c>
    </row>
    <row r="292" spans="1:5">
      <c r="A292" t="s">
        <v>173</v>
      </c>
      <c r="B292" t="str">
        <f t="shared" si="47"/>
        <v>ISBL: Instrumentation Demolition MHrs</v>
      </c>
      <c r="C292" t="str">
        <f t="shared" si="48"/>
        <v>OSBL: Instrumentation Demolition MHrs</v>
      </c>
      <c r="D292" s="81" t="str">
        <f>'Project Direct Metrics'!$G$95</f>
        <v>&lt;#dbvalue(6_Instrumentation_ISBL_Data;9;"MH";)&gt;</v>
      </c>
      <c r="E292" s="81" t="str">
        <f>'Project Direct Metrics'!$H$95</f>
        <v>&lt;#dbvalue(6_Instrumentation_OSBL_Data;9;"MH";)&gt;</v>
      </c>
    </row>
    <row r="294" spans="1:5">
      <c r="A294" t="s">
        <v>648</v>
      </c>
      <c r="B294" t="str">
        <f>CONCATENATE("ISBL: ",A294," MHrs")</f>
        <v>ISBL: HV Electrical Cable MHrs</v>
      </c>
      <c r="C294" t="str">
        <f>CONCATENATE("OSBL: ",A294," MHrs")</f>
        <v>OSBL: HV Electrical Cable MHrs</v>
      </c>
      <c r="D294" s="81" t="str">
        <f>'Project Direct Metrics'!$G$99</f>
        <v>&lt;#dbvalue(7_Electrical_ISBL_Data;0;"MH";)&gt;</v>
      </c>
      <c r="E294" s="81" t="str">
        <f>'Project Direct Metrics'!$H$99</f>
        <v>&lt;#dbvalue(7_Electrical_OSBL_Data;0;"MH";)&gt;</v>
      </c>
    </row>
    <row r="295" spans="1:5">
      <c r="A295" t="s">
        <v>649</v>
      </c>
      <c r="B295" t="str">
        <f t="shared" ref="B295:B308" si="49">CONCATENATE("ISBL: ",A295," MHrs")</f>
        <v>ISBL: MV Electrical Cable MHrs</v>
      </c>
      <c r="C295" t="str">
        <f t="shared" ref="C295:C308" si="50">CONCATENATE("OSBL: ",A295," MHrs")</f>
        <v>OSBL: MV Electrical Cable MHrs</v>
      </c>
      <c r="D295" s="81" t="str">
        <f>'Project Direct Metrics'!$G$100</f>
        <v>&lt;#dbvalue(7_Electrical_ISBL_Data;1;"MH";)&gt;</v>
      </c>
      <c r="E295" s="81" t="str">
        <f>'Project Direct Metrics'!$H$100</f>
        <v>&lt;#dbvalue(7_Electrical_OSBL_Data;1;"MH";)&gt;</v>
      </c>
    </row>
    <row r="296" spans="1:5">
      <c r="A296" t="s">
        <v>650</v>
      </c>
      <c r="B296" t="str">
        <f t="shared" si="49"/>
        <v>ISBL: LV Electrical Cable MHrs</v>
      </c>
      <c r="C296" t="str">
        <f t="shared" si="50"/>
        <v>OSBL: LV Electrical Cable MHrs</v>
      </c>
      <c r="D296" s="81" t="str">
        <f>'Project Direct Metrics'!$G$101</f>
        <v>&lt;#dbvalue(7_Electrical_ISBL_Data;2;"MH";)&gt;</v>
      </c>
      <c r="E296" s="81" t="str">
        <f>'Project Direct Metrics'!$H$101</f>
        <v>&lt;#dbvalue(7_Electrical_OSBL_Data;2;"MH";)&gt;</v>
      </c>
    </row>
    <row r="297" spans="1:5">
      <c r="A297" t="s">
        <v>167</v>
      </c>
      <c r="B297" t="str">
        <f t="shared" si="49"/>
        <v>ISBL: Control Cable MHrs</v>
      </c>
      <c r="C297" t="str">
        <f t="shared" si="50"/>
        <v>OSBL: Control Cable MHrs</v>
      </c>
      <c r="D297" s="81" t="str">
        <f>'Project Direct Metrics'!$G$102</f>
        <v>&lt;#dbvalue(7_Electrical_ISBL_Data;3;"MH";)&gt;</v>
      </c>
      <c r="E297" s="81" t="str">
        <f>'Project Direct Metrics'!$H$102</f>
        <v>&lt;#dbvalue(7_Electrical_OSBL_Data;3;"MH";)&gt;</v>
      </c>
    </row>
    <row r="298" spans="1:5">
      <c r="A298" t="s">
        <v>168</v>
      </c>
      <c r="B298" t="str">
        <f t="shared" si="49"/>
        <v>ISBL: Lighting Cable MHrs</v>
      </c>
      <c r="C298" t="str">
        <f t="shared" si="50"/>
        <v>OSBL: Lighting Cable MHrs</v>
      </c>
      <c r="D298" s="81" t="str">
        <f>'Project Direct Metrics'!$G$103</f>
        <v>&lt;#dbvalue(7_Electrical_ISBL_Data;4;"MH";)&gt;</v>
      </c>
      <c r="E298" s="81" t="str">
        <f>'Project Direct Metrics'!$H$103</f>
        <v>&lt;#dbvalue(7_Electrical_OSBL_Data;4;"MH";)&gt;</v>
      </c>
    </row>
    <row r="299" spans="1:5">
      <c r="A299" t="s">
        <v>652</v>
      </c>
      <c r="B299" t="str">
        <f t="shared" si="49"/>
        <v>ISBL: Elec. Conduit, Fittings MHrs</v>
      </c>
      <c r="C299" t="str">
        <f t="shared" si="50"/>
        <v>OSBL: Elec. Conduit, Fittings MHrs</v>
      </c>
      <c r="D299" s="81" t="str">
        <f>'Project Direct Metrics'!$G$104</f>
        <v>&lt;#dbvalue(7_Electrical_ISBL_Data;5;"MH";)&gt;</v>
      </c>
      <c r="E299" s="81" t="str">
        <f>'Project Direct Metrics'!$H$104</f>
        <v>&lt;#dbvalue(7_Electrical_OSBL_Data;5;"MH";)&gt;</v>
      </c>
    </row>
    <row r="300" spans="1:5">
      <c r="A300" t="s">
        <v>653</v>
      </c>
      <c r="B300" t="str">
        <f t="shared" si="49"/>
        <v>ISBL: Elec. Cable Tray, Supports MHrs</v>
      </c>
      <c r="C300" t="str">
        <f t="shared" si="50"/>
        <v>OSBL: Elec. Cable Tray, Supports MHrs</v>
      </c>
      <c r="D300" s="81" t="str">
        <f>'Project Direct Metrics'!$G$105</f>
        <v>&lt;#dbvalue(7_Electrical_ISBL_Data;6;"MH";)&gt;</v>
      </c>
      <c r="E300" s="81" t="str">
        <f>'Project Direct Metrics'!$H$105</f>
        <v>&lt;#dbvalue(7_Electrical_OSBL_Data;6;"MH";)&gt;</v>
      </c>
    </row>
    <row r="301" spans="1:5">
      <c r="A301" t="s">
        <v>180</v>
      </c>
      <c r="B301" t="str">
        <f t="shared" si="49"/>
        <v>ISBL: Transformers, Switchgear MHrs</v>
      </c>
      <c r="C301" t="str">
        <f t="shared" si="50"/>
        <v>OSBL: Transformers, Switchgear MHrs</v>
      </c>
      <c r="D301" s="81" t="str">
        <f>'Project Direct Metrics'!$G$106</f>
        <v>&lt;#dbvalue(7_Electrical_ISBL_Data;7;"MH";)&gt;</v>
      </c>
      <c r="E301" s="81" t="str">
        <f>'Project Direct Metrics'!$H$106</f>
        <v>&lt;#dbvalue(7_Electrical_OSBL_Data;7;"MH";)&gt;</v>
      </c>
    </row>
    <row r="302" spans="1:5">
      <c r="A302" t="s">
        <v>181</v>
      </c>
      <c r="B302" t="str">
        <f t="shared" si="49"/>
        <v>ISBL: Motor Control Center MHrs</v>
      </c>
      <c r="C302" t="str">
        <f t="shared" si="50"/>
        <v>OSBL: Motor Control Center MHrs</v>
      </c>
      <c r="D302" s="81" t="str">
        <f>'Project Direct Metrics'!$G$107</f>
        <v>&lt;#dbvalue(7_Electrical_ISBL_Data;8;"MH";)&gt;</v>
      </c>
      <c r="E302" s="81" t="str">
        <f>'Project Direct Metrics'!$H$107</f>
        <v>&lt;#dbvalue(7_Electrical_OSBL_Data;8;"MH";)&gt;</v>
      </c>
    </row>
    <row r="303" spans="1:5">
      <c r="A303" t="s">
        <v>651</v>
      </c>
      <c r="B303" t="str">
        <f t="shared" si="49"/>
        <v>ISBL: Other Electrical Equip. MHrs</v>
      </c>
      <c r="C303" t="str">
        <f t="shared" si="50"/>
        <v>OSBL: Other Electrical Equip. MHrs</v>
      </c>
      <c r="D303" s="81" t="str">
        <f>'Project Direct Metrics'!$G$108</f>
        <v>&lt;#dbvalue(7_Electrical_ISBL_Data;9;"MH";)&gt;</v>
      </c>
      <c r="E303" s="81" t="str">
        <f>'Project Direct Metrics'!$H$108</f>
        <v>&lt;#dbvalue(7_Electrical_OSBL_Data;9;"MH";)&gt;</v>
      </c>
    </row>
    <row r="304" spans="1:5">
      <c r="A304" t="s">
        <v>163</v>
      </c>
      <c r="B304" t="str">
        <f t="shared" si="49"/>
        <v>ISBL: Other Electrical Items MHrs</v>
      </c>
      <c r="C304" t="str">
        <f t="shared" si="50"/>
        <v>OSBL: Other Electrical Items MHrs</v>
      </c>
      <c r="D304" s="81" t="str">
        <f>'Project Direct Metrics'!$G$109</f>
        <v>&lt;#dbvalue(7_Electrical_ISBL_Data;10;"MH";)&gt;</v>
      </c>
      <c r="E304" s="81" t="str">
        <f>'Project Direct Metrics'!$H$109</f>
        <v>&lt;#dbvalue(7_Electrical_OSBL_Data;10;"MH";)&gt;</v>
      </c>
    </row>
    <row r="305" spans="1:5">
      <c r="A305" t="s">
        <v>232</v>
      </c>
      <c r="B305" t="str">
        <f t="shared" si="49"/>
        <v>ISBL: Electrical Testing MHrs</v>
      </c>
      <c r="C305" t="str">
        <f t="shared" si="50"/>
        <v>OSBL: Electrical Testing MHrs</v>
      </c>
      <c r="D305" s="81" t="str">
        <f>'Project Direct Metrics'!$G$110</f>
        <v>&lt;#dbvalue(7_Electrical_ISBL_Data;11;"MH";)&gt;</v>
      </c>
      <c r="E305" s="81" t="str">
        <f>'Project Direct Metrics'!$H$110</f>
        <v>&lt;#dbvalue(7_Electrical_OSBL_Data;11;"MH";)&gt;</v>
      </c>
    </row>
    <row r="306" spans="1:5">
      <c r="A306" t="s">
        <v>162</v>
      </c>
      <c r="B306" t="str">
        <f t="shared" si="49"/>
        <v>ISBL: Electrical Demolition MHrs</v>
      </c>
      <c r="C306" t="str">
        <f t="shared" si="50"/>
        <v>OSBL: Electrical Demolition MHrs</v>
      </c>
      <c r="D306" s="81" t="str">
        <f>'Project Direct Metrics'!$G$111</f>
        <v>&lt;#dbvalue(7_Electrical_ISBL_Data;12;"MH";)&gt;</v>
      </c>
      <c r="E306" s="81" t="str">
        <f>'Project Direct Metrics'!$H$111</f>
        <v>&lt;#dbvalue(7_Electrical_OSBL_Data;12;"MH";)&gt;</v>
      </c>
    </row>
    <row r="307" spans="1:5">
      <c r="A307" t="s">
        <v>169</v>
      </c>
      <c r="B307" t="str">
        <f t="shared" si="49"/>
        <v>ISBL: Above Ground Electrical MHrs</v>
      </c>
      <c r="C307" t="str">
        <f t="shared" si="50"/>
        <v>OSBL: Above Ground Electrical MHrs</v>
      </c>
      <c r="D307" s="81" t="str">
        <f>'Project Direct Metrics'!$G$115</f>
        <v>&lt;#dbvalue(7_ElectricalByInstall_ISBL_Data;0;"MH";)&gt;</v>
      </c>
      <c r="E307" s="81" t="str">
        <f>'Project Direct Metrics'!$H$115</f>
        <v>&lt;#dbvalue(7_ElectricalByInstall_OSBL_Data;0;"MH";)&gt;</v>
      </c>
    </row>
    <row r="308" spans="1:5">
      <c r="A308" t="s">
        <v>170</v>
      </c>
      <c r="B308" t="str">
        <f t="shared" si="49"/>
        <v>ISBL: Below Ground Electrical MHrs</v>
      </c>
      <c r="C308" t="str">
        <f t="shared" si="50"/>
        <v>OSBL: Below Ground Electrical MHrs</v>
      </c>
      <c r="D308" s="81" t="str">
        <f>'Project Direct Metrics'!$G$116</f>
        <v>&lt;#dbvalue(7_ElectricalByInstall_ISBL_Data;1;"MH";)&gt;</v>
      </c>
      <c r="E308" s="81" t="str">
        <f>'Project Direct Metrics'!$H$116</f>
        <v>&lt;#dbvalue(7_ElectricalByInstall_OSBL_Data;1;"MH";)&gt;</v>
      </c>
    </row>
    <row r="310" spans="1:5">
      <c r="A310" t="s">
        <v>148</v>
      </c>
      <c r="B310" t="str">
        <f>CONCATENATE("ISBL: ",A310," MHrs")</f>
        <v>ISBL: Equipment Insulation MHrs</v>
      </c>
      <c r="C310" t="str">
        <f>CONCATENATE("OSBL: ",A310," MHrs")</f>
        <v>OSBL: Equipment Insulation MHrs</v>
      </c>
      <c r="D310" s="81" t="str">
        <f>'Project Direct Metrics'!$H$119</f>
        <v>&lt;#dbvalue(8_Insulation_OSBL_Data;0;"MH";)&gt;</v>
      </c>
      <c r="E310" s="81" t="str">
        <f>'Project Direct Metrics'!$I$119</f>
        <v>&lt;#dbvalue(8_Insulation_ISBL_Data;0;"Labor";)&gt;</v>
      </c>
    </row>
    <row r="311" spans="1:5">
      <c r="A311" t="s">
        <v>149</v>
      </c>
      <c r="B311" t="str">
        <f t="shared" ref="B311:B315" si="51">CONCATENATE("ISBL: ",A311," MHrs")</f>
        <v>ISBL: Pipe Insulation MHrs</v>
      </c>
      <c r="C311" t="str">
        <f t="shared" ref="C311:C315" si="52">CONCATENATE("OSBL: ",A311," MHrs")</f>
        <v>OSBL: Pipe Insulation MHrs</v>
      </c>
      <c r="D311" s="81" t="str">
        <f>'Project Direct Metrics'!$H$120</f>
        <v>&lt;#dbvalue(8_Insulation_OSBL_Data;1;"MH";)&gt;</v>
      </c>
      <c r="E311" s="81" t="str">
        <f>'Project Direct Metrics'!$I$120</f>
        <v>&lt;#dbvalue(8_Insulation_ISBL_Data;1;"Labor";)&gt;</v>
      </c>
    </row>
    <row r="312" spans="1:5">
      <c r="A312" t="s">
        <v>150</v>
      </c>
      <c r="B312" t="str">
        <f t="shared" si="51"/>
        <v>ISBL: Equipment Fireproofing MHrs</v>
      </c>
      <c r="C312" t="str">
        <f t="shared" si="52"/>
        <v>OSBL: Equipment Fireproofing MHrs</v>
      </c>
      <c r="D312" s="81" t="str">
        <f>'Project Direct Metrics'!$H$121</f>
        <v>&lt;#dbvalue(8_Insulation_OSBL_Data;2;"MH";)&gt;</v>
      </c>
      <c r="E312" s="81" t="str">
        <f>'Project Direct Metrics'!$I$121</f>
        <v>&lt;#dbvalue(8_Insulation_ISBL_Data;2;"Labor";)&gt;</v>
      </c>
    </row>
    <row r="313" spans="1:5">
      <c r="A313" t="s">
        <v>151</v>
      </c>
      <c r="B313" t="str">
        <f t="shared" si="51"/>
        <v>ISBL: Steel Fireproofing MHrs</v>
      </c>
      <c r="C313" t="str">
        <f t="shared" si="52"/>
        <v>OSBL: Steel Fireproofing MHrs</v>
      </c>
      <c r="D313" s="81" t="str">
        <f>'Project Direct Metrics'!$H$122</f>
        <v>&lt;#dbvalue(8_Insulation_OSBL_Data;3;"MH";)&gt;</v>
      </c>
      <c r="E313" s="81" t="str">
        <f>'Project Direct Metrics'!$I$122</f>
        <v>&lt;#dbvalue(8_Insulation_ISBL_Data;3;"Labor";)&gt;</v>
      </c>
    </row>
    <row r="314" spans="1:5">
      <c r="A314" t="s">
        <v>152</v>
      </c>
      <c r="B314" t="str">
        <f t="shared" si="51"/>
        <v>ISBL: Other Insulation, Fireproofing MHrs</v>
      </c>
      <c r="C314" t="str">
        <f t="shared" si="52"/>
        <v>OSBL: Other Insulation, Fireproofing MHrs</v>
      </c>
      <c r="D314" s="81" t="str">
        <f>'Project Direct Metrics'!$H$123</f>
        <v>&lt;#dbvalue(8_Insulation_OSBL_Data;4;"MH";)&gt;</v>
      </c>
      <c r="E314" s="81" t="str">
        <f>'Project Direct Metrics'!$I$123</f>
        <v>&lt;#dbvalue(8_Insulation_ISBL_Data;4;"Labor";)&gt;</v>
      </c>
    </row>
    <row r="315" spans="1:5">
      <c r="A315" t="s">
        <v>153</v>
      </c>
      <c r="B315" t="str">
        <f t="shared" si="51"/>
        <v>ISBL: Insulation, Fireproofing Demolition MHrs</v>
      </c>
      <c r="C315" t="str">
        <f t="shared" si="52"/>
        <v>OSBL: Insulation, Fireproofing Demolition MHrs</v>
      </c>
      <c r="D315" s="81" t="str">
        <f>'Project Direct Metrics'!$H$124</f>
        <v>&lt;#dbvalue(8_Insulation_OSBL_Data;5;"MH";)&gt;</v>
      </c>
      <c r="E315" s="81" t="str">
        <f>'Project Direct Metrics'!$I$124</f>
        <v>&lt;#dbvalue(8_Insulation_ISBL_Data;5;"Labor";)&gt;</v>
      </c>
    </row>
    <row r="317" spans="1:5">
      <c r="A317" t="s">
        <v>155</v>
      </c>
      <c r="B317" t="str">
        <f>CONCATENATE("ISBL: ",A317," MHrs")</f>
        <v>ISBL: Equipment Paint MHrs</v>
      </c>
      <c r="C317" t="str">
        <f>CONCATENATE("OSBL: ",A317," MHrs")</f>
        <v>OSBL: Equipment Paint MHrs</v>
      </c>
      <c r="D317" s="81" t="str">
        <f>'Project Direct Metrics'!$G$128</f>
        <v>&lt;#dbvalue(9_Paint_ISBL_Data;0;"MH";)&gt;</v>
      </c>
      <c r="E317" s="81" t="str">
        <f>'Project Direct Metrics'!$H$128</f>
        <v>&lt;#dbvalue(9_Paint_OSBL_Data;0;"MH";)&gt;</v>
      </c>
    </row>
    <row r="318" spans="1:5">
      <c r="A318" t="s">
        <v>156</v>
      </c>
      <c r="B318" t="str">
        <f t="shared" ref="B318:B323" si="53">CONCATENATE("ISBL: ",A318," MHrs")</f>
        <v>ISBL: Pipe Paint MHrs</v>
      </c>
      <c r="C318" t="str">
        <f t="shared" ref="C318:C323" si="54">CONCATENATE("OSBL: ",A318," MHrs")</f>
        <v>OSBL: Pipe Paint MHrs</v>
      </c>
      <c r="D318" s="81" t="str">
        <f>'Project Direct Metrics'!$G$129</f>
        <v>&lt;#dbvalue(9_Paint_ISBL_Data;1;"MH";)&gt;</v>
      </c>
      <c r="E318" s="81" t="str">
        <f>'Project Direct Metrics'!$H$129</f>
        <v>&lt;#dbvalue(9_Paint_OSBL_Data;1;"MH";)&gt;</v>
      </c>
    </row>
    <row r="319" spans="1:5">
      <c r="A319" t="s">
        <v>157</v>
      </c>
      <c r="B319" t="str">
        <f t="shared" si="53"/>
        <v>ISBL: Steel Paint MHrs</v>
      </c>
      <c r="C319" t="str">
        <f t="shared" si="54"/>
        <v>OSBL: Steel Paint MHrs</v>
      </c>
      <c r="D319" s="81" t="str">
        <f>'Project Direct Metrics'!$G$130</f>
        <v>&lt;#dbvalue(9_Paint_ISBL_Data;2;"MH";)&gt;</v>
      </c>
      <c r="E319" s="81" t="str">
        <f>'Project Direct Metrics'!$H$130</f>
        <v>&lt;#dbvalue(9_Paint_OSBL_Data;2;"MH";)&gt;</v>
      </c>
    </row>
    <row r="320" spans="1:5">
      <c r="A320" t="s">
        <v>158</v>
      </c>
      <c r="B320" t="str">
        <f t="shared" si="53"/>
        <v>ISBL: Surface Preparation MHrs</v>
      </c>
      <c r="C320" t="str">
        <f t="shared" si="54"/>
        <v>OSBL: Surface Preparation MHrs</v>
      </c>
      <c r="D320" s="81" t="str">
        <f>'Project Direct Metrics'!$G$131</f>
        <v>&lt;#dbvalue(9_Paint_ISBL_Data;3;"MH";)&gt;</v>
      </c>
      <c r="E320" s="81" t="str">
        <f>'Project Direct Metrics'!$H$131</f>
        <v>&lt;#dbvalue(9_Paint_OSBL_Data;3;"MH";)&gt;</v>
      </c>
    </row>
    <row r="321" spans="1:5">
      <c r="A321" t="s">
        <v>159</v>
      </c>
      <c r="B321" t="str">
        <f t="shared" si="53"/>
        <v>ISBL: Module Paint MHrs</v>
      </c>
      <c r="C321" t="str">
        <f t="shared" si="54"/>
        <v>OSBL: Module Paint MHrs</v>
      </c>
      <c r="D321" s="81" t="str">
        <f>'Project Direct Metrics'!$G$132</f>
        <v>&lt;#dbvalue(9_Paint_ISBL_Data;4;"MH";)&gt;</v>
      </c>
      <c r="E321" s="81" t="str">
        <f>'Project Direct Metrics'!$H$132</f>
        <v>&lt;#dbvalue(9_Paint_OSBL_Data;4;"MH";)&gt;</v>
      </c>
    </row>
    <row r="322" spans="1:5">
      <c r="A322" t="s">
        <v>160</v>
      </c>
      <c r="B322" t="str">
        <f t="shared" si="53"/>
        <v>ISBL: Other Paint MHrs</v>
      </c>
      <c r="C322" t="str">
        <f t="shared" si="54"/>
        <v>OSBL: Other Paint MHrs</v>
      </c>
      <c r="D322" s="81" t="str">
        <f>'Project Direct Metrics'!$G$133</f>
        <v>&lt;#dbvalue(9_Paint_ISBL_Data;5;"MH";)&gt;</v>
      </c>
      <c r="E322" s="81" t="str">
        <f>'Project Direct Metrics'!$H$133</f>
        <v>&lt;#dbvalue(9_Paint_OSBL_Data;5;"MH";)&gt;</v>
      </c>
    </row>
    <row r="323" spans="1:5">
      <c r="A323" t="s">
        <v>161</v>
      </c>
      <c r="B323" t="str">
        <f t="shared" si="53"/>
        <v>ISBL: Paint Demolition MHrs</v>
      </c>
      <c r="C323" t="str">
        <f t="shared" si="54"/>
        <v>OSBL: Paint Demolition MHrs</v>
      </c>
      <c r="D323" s="81" t="str">
        <f>'Project Direct Metrics'!$G$134</f>
        <v>&lt;#dbvalue(9_Paint_ISBL_Data;6;"MH";)&gt;</v>
      </c>
      <c r="E323" s="81" t="str">
        <f>'Project Direct Metrics'!$H$134</f>
        <v>&lt;#dbvalue(9_Paint_OSBL_Data;6;"MH";)&gt;</v>
      </c>
    </row>
    <row r="325" spans="1:5">
      <c r="A325" t="s">
        <v>485</v>
      </c>
      <c r="B325" t="str">
        <f>CONCATENATE("ISBL: ",A325," Labor Cost")</f>
        <v>ISBL: Boiler Plant Equip. Labor Cost</v>
      </c>
      <c r="C325" t="str">
        <f>CONCATENATE("OSBL: ",A325," Labor Cost")</f>
        <v>OSBL: Boiler Plant Equip. Labor Cost</v>
      </c>
      <c r="D325" s="81" t="str">
        <f>'Project Direct Metrics'!$I$4</f>
        <v>&lt;#dbvalue(2_Equipment_ISBL_Data;0;"Labor";)&gt;</v>
      </c>
      <c r="E325" s="81" t="str">
        <f>'Project Direct Metrics'!$J$4</f>
        <v>&lt;#dbvalue(2_Equipment_OSBL_Data;0;"Labor";)&gt;</v>
      </c>
    </row>
    <row r="326" spans="1:5">
      <c r="A326" t="s">
        <v>92</v>
      </c>
      <c r="B326" t="str">
        <f t="shared" ref="B326:B347" si="55">CONCATENATE("ISBL: ",A326," Labor Cost")</f>
        <v>ISBL: Centrifugal Compressors Labor Cost</v>
      </c>
      <c r="C326" t="str">
        <f t="shared" ref="C326:C347" si="56">CONCATENATE("OSBL: ",A326," Labor Cost")</f>
        <v>OSBL: Centrifugal Compressors Labor Cost</v>
      </c>
      <c r="D326" s="81" t="str">
        <f>'Project Direct Metrics'!$I$5</f>
        <v>&lt;#dbvalue(2_Equipment_ISBL_Data;1;"Labor";)&gt;</v>
      </c>
      <c r="E326" s="81" t="str">
        <f>'Project Direct Metrics'!$J$5</f>
        <v>&lt;#dbvalue(2_Equipment_OSBL_Data;1;"Labor";)&gt;</v>
      </c>
    </row>
    <row r="327" spans="1:5">
      <c r="A327" t="s">
        <v>100</v>
      </c>
      <c r="B327" t="str">
        <f t="shared" si="55"/>
        <v>ISBL: Crushers, Mills Labor Cost</v>
      </c>
      <c r="C327" t="str">
        <f t="shared" si="56"/>
        <v>OSBL: Crushers, Mills Labor Cost</v>
      </c>
      <c r="D327" s="81" t="str">
        <f>'Project Direct Metrics'!$I$6</f>
        <v>&lt;#dbvalue(2_Equipment_ISBL_Data;2;"Labor";)&gt;</v>
      </c>
      <c r="E327" s="81" t="str">
        <f>'Project Direct Metrics'!$J$6</f>
        <v>&lt;#dbvalue(2_Equipment_OSBL_Data;2;"Labor";)&gt;</v>
      </c>
    </row>
    <row r="328" spans="1:5">
      <c r="A328" t="s">
        <v>99</v>
      </c>
      <c r="B328" t="str">
        <f t="shared" si="55"/>
        <v>ISBL: Drivers Labor Cost</v>
      </c>
      <c r="C328" t="str">
        <f t="shared" si="56"/>
        <v>OSBL: Drivers Labor Cost</v>
      </c>
      <c r="D328" s="81" t="str">
        <f>'Project Direct Metrics'!$I$7</f>
        <v>&lt;#dbvalue(2_Equipment_ISBL_Data;3;"Labor";)&gt;</v>
      </c>
      <c r="E328" s="81" t="str">
        <f>'Project Direct Metrics'!$J$7</f>
        <v>&lt;#dbvalue(2_Equipment_OSBL_Data;3;"Labor";)&gt;</v>
      </c>
    </row>
    <row r="329" spans="1:5">
      <c r="A329" t="s">
        <v>98</v>
      </c>
      <c r="B329" t="str">
        <f t="shared" si="55"/>
        <v>ISBL: Fans, Blowers Labor Cost</v>
      </c>
      <c r="C329" t="str">
        <f t="shared" si="56"/>
        <v>OSBL: Fans, Blowers Labor Cost</v>
      </c>
      <c r="D329" s="81" t="str">
        <f>'Project Direct Metrics'!$I$8</f>
        <v>&lt;#dbvalue(2_Equipment_ISBL_Data;4;"Labor";)&gt;</v>
      </c>
      <c r="E329" s="81" t="str">
        <f>'Project Direct Metrics'!$J$8</f>
        <v>&lt;#dbvalue(2_Equipment_OSBL_Data;4;"Labor";)&gt;</v>
      </c>
    </row>
    <row r="330" spans="1:5">
      <c r="A330" t="s">
        <v>90</v>
      </c>
      <c r="B330" t="str">
        <f t="shared" si="55"/>
        <v>ISBL: Flares Labor Cost</v>
      </c>
      <c r="C330" t="str">
        <f t="shared" si="56"/>
        <v>OSBL: Flares Labor Cost</v>
      </c>
      <c r="D330" s="81" t="str">
        <f>'Project Direct Metrics'!$I$9</f>
        <v>&lt;#dbvalue(2_Equipment_ISBL_Data;5;"Labor";)&gt;</v>
      </c>
      <c r="E330" s="81" t="str">
        <f>'Project Direct Metrics'!$J$9</f>
        <v>&lt;#dbvalue(2_Equipment_OSBL_Data;5;"Labor";)&gt;</v>
      </c>
    </row>
    <row r="331" spans="1:5">
      <c r="A331" t="s">
        <v>486</v>
      </c>
      <c r="B331" t="str">
        <f t="shared" si="55"/>
        <v>ISBL: Fluid Separation Equip. Labor Cost</v>
      </c>
      <c r="C331" t="str">
        <f t="shared" si="56"/>
        <v>OSBL: Fluid Separation Equip. Labor Cost</v>
      </c>
      <c r="D331" s="81" t="str">
        <f>'Project Direct Metrics'!$I$10</f>
        <v>&lt;#dbvalue(2_Equipment_ISBL_Data;6;"Labor";)&gt;</v>
      </c>
      <c r="E331" s="81" t="str">
        <f>'Project Direct Metrics'!$J$10</f>
        <v>&lt;#dbvalue(2_Equipment_OSBL_Data;6;"Labor";)&gt;</v>
      </c>
    </row>
    <row r="332" spans="1:5">
      <c r="A332" t="s">
        <v>106</v>
      </c>
      <c r="B332" t="str">
        <f t="shared" si="55"/>
        <v>ISBL: Furnaces, Heaters Labor Cost</v>
      </c>
      <c r="C332" t="str">
        <f t="shared" si="56"/>
        <v>OSBL: Furnaces, Heaters Labor Cost</v>
      </c>
      <c r="D332" s="81" t="str">
        <f>'Project Direct Metrics'!$I$11</f>
        <v>&lt;#dbvalue(2_Equipment_ISBL_Data;7;"Labor";)&gt;</v>
      </c>
      <c r="E332" s="81" t="str">
        <f>'Project Direct Metrics'!$J$11</f>
        <v>&lt;#dbvalue(2_Equipment_OSBL_Data;7;"Labor";)&gt;</v>
      </c>
    </row>
    <row r="333" spans="1:5">
      <c r="A333" t="s">
        <v>104</v>
      </c>
      <c r="B333" t="str">
        <f t="shared" si="55"/>
        <v>ISBL: Generators Labor Cost</v>
      </c>
      <c r="C333" t="str">
        <f t="shared" si="56"/>
        <v>OSBL: Generators Labor Cost</v>
      </c>
      <c r="D333" s="81" t="str">
        <f>'Project Direct Metrics'!$I$12</f>
        <v>&lt;#dbvalue(2_Equipment_ISBL_Data;8;"Labor";)&gt;</v>
      </c>
      <c r="E333" s="81" t="str">
        <f>'Project Direct Metrics'!$J$12</f>
        <v>&lt;#dbvalue(2_Equipment_OSBL_Data;8;"Labor";)&gt;</v>
      </c>
    </row>
    <row r="334" spans="1:5">
      <c r="A334" t="s">
        <v>88</v>
      </c>
      <c r="B334" t="str">
        <f t="shared" si="55"/>
        <v>ISBL: Heat Exchangers Labor Cost</v>
      </c>
      <c r="C334" t="str">
        <f t="shared" si="56"/>
        <v>OSBL: Heat Exchangers Labor Cost</v>
      </c>
      <c r="D334" s="81" t="str">
        <f>'Project Direct Metrics'!$I$13</f>
        <v>&lt;#dbvalue(2_Equipment_ISBL_Data;9;"Labor";)&gt;</v>
      </c>
      <c r="E334" s="81" t="str">
        <f>'Project Direct Metrics'!$J$13</f>
        <v>&lt;#dbvalue(2_Equipment_OSBL_Data;9;"Labor";)&gt;</v>
      </c>
    </row>
    <row r="335" spans="1:5">
      <c r="A335" t="s">
        <v>487</v>
      </c>
      <c r="B335" t="str">
        <f t="shared" si="55"/>
        <v>ISBL: Material Handling Equip. Labor Cost</v>
      </c>
      <c r="C335" t="str">
        <f t="shared" si="56"/>
        <v>OSBL: Material Handling Equip. Labor Cost</v>
      </c>
      <c r="D335" s="81" t="str">
        <f>'Project Direct Metrics'!$I$14</f>
        <v>&lt;#dbvalue(2_Equipment_ISBL_Data;10;"Labor";)&gt;</v>
      </c>
      <c r="E335" s="81" t="str">
        <f>'Project Direct Metrics'!$J$14</f>
        <v>&lt;#dbvalue(2_Equipment_OSBL_Data;10;"Labor";)&gt;</v>
      </c>
    </row>
    <row r="336" spans="1:5">
      <c r="A336" t="s">
        <v>107</v>
      </c>
      <c r="B336" t="str">
        <f t="shared" si="55"/>
        <v>ISBL: Package Units Labor Cost</v>
      </c>
      <c r="C336" t="str">
        <f t="shared" si="56"/>
        <v>OSBL: Package Units Labor Cost</v>
      </c>
      <c r="D336" s="81" t="str">
        <f>'Project Direct Metrics'!$I$15</f>
        <v>&lt;#dbvalue(2_Equipment_ISBL_Data;11;"Labor";)&gt;</v>
      </c>
      <c r="E336" s="81" t="str">
        <f>'Project Direct Metrics'!$J$15</f>
        <v>&lt;#dbvalue(2_Equipment_OSBL_Data;11;"Labor";)&gt;</v>
      </c>
    </row>
    <row r="337" spans="1:5">
      <c r="A337" t="s">
        <v>91</v>
      </c>
      <c r="B337" t="str">
        <f t="shared" si="55"/>
        <v>ISBL: Process Vessels Labor Cost</v>
      </c>
      <c r="C337" t="str">
        <f t="shared" si="56"/>
        <v>OSBL: Process Vessels Labor Cost</v>
      </c>
      <c r="D337" s="81" t="str">
        <f>'Project Direct Metrics'!$I$16</f>
        <v>&lt;#dbvalue(2_Equipment_ISBL_Data;12;"Labor";)&gt;</v>
      </c>
      <c r="E337" s="81" t="str">
        <f>'Project Direct Metrics'!$J$16</f>
        <v>&lt;#dbvalue(2_Equipment_OSBL_Data;12;"Labor";)&gt;</v>
      </c>
    </row>
    <row r="338" spans="1:5">
      <c r="A338" t="s">
        <v>87</v>
      </c>
      <c r="B338" t="str">
        <f t="shared" si="55"/>
        <v>ISBL: Pumps Labor Cost</v>
      </c>
      <c r="C338" t="str">
        <f t="shared" si="56"/>
        <v>OSBL: Pumps Labor Cost</v>
      </c>
      <c r="D338" s="81" t="str">
        <f>'Project Direct Metrics'!$I$17</f>
        <v>&lt;#dbvalue(2_Equipment_ISBL_Data;13;"Labor";)&gt;</v>
      </c>
      <c r="E338" s="81" t="str">
        <f>'Project Direct Metrics'!$J$17</f>
        <v>&lt;#dbvalue(2_Equipment_OSBL_Data;13;"Labor";)&gt;</v>
      </c>
    </row>
    <row r="339" spans="1:5">
      <c r="A339" t="s">
        <v>96</v>
      </c>
      <c r="B339" t="str">
        <f t="shared" si="55"/>
        <v>ISBL: Reactors, Mixers Labor Cost</v>
      </c>
      <c r="C339" t="str">
        <f t="shared" si="56"/>
        <v>OSBL: Reactors, Mixers Labor Cost</v>
      </c>
      <c r="D339" s="81" t="str">
        <f>'Project Direct Metrics'!$I$18</f>
        <v>&lt;#dbvalue(2_Equipment_ISBL_Data;14;"Labor";)&gt;</v>
      </c>
      <c r="E339" s="81" t="str">
        <f>'Project Direct Metrics'!$J$18</f>
        <v>&lt;#dbvalue(2_Equipment_OSBL_Data;14;"Labor";)&gt;</v>
      </c>
    </row>
    <row r="340" spans="1:5">
      <c r="A340" t="s">
        <v>93</v>
      </c>
      <c r="B340" t="str">
        <f t="shared" si="55"/>
        <v>ISBL: Reciprocating Compressors Labor Cost</v>
      </c>
      <c r="C340" t="str">
        <f t="shared" si="56"/>
        <v>OSBL: Reciprocating Compressors Labor Cost</v>
      </c>
      <c r="D340" s="81" t="str">
        <f>'Project Direct Metrics'!$I$19</f>
        <v>&lt;#dbvalue(2_Equipment_ISBL_Data;15;"Labor";)&gt;</v>
      </c>
      <c r="E340" s="81" t="str">
        <f>'Project Direct Metrics'!$J$19</f>
        <v>&lt;#dbvalue(2_Equipment_OSBL_Data;15;"Labor";)&gt;</v>
      </c>
    </row>
    <row r="341" spans="1:5">
      <c r="A341" t="s">
        <v>488</v>
      </c>
      <c r="B341" t="str">
        <f t="shared" si="55"/>
        <v>ISBL: Solids Separation Equip. Labor Cost</v>
      </c>
      <c r="C341" t="str">
        <f t="shared" si="56"/>
        <v>OSBL: Solids Separation Equip. Labor Cost</v>
      </c>
      <c r="D341" s="81" t="str">
        <f>'Project Direct Metrics'!$I$20</f>
        <v>&lt;#dbvalue(2_Equipment_ISBL_Data;16;"Labor";)&gt;</v>
      </c>
      <c r="E341" s="81" t="str">
        <f>'Project Direct Metrics'!$J$20</f>
        <v>&lt;#dbvalue(2_Equipment_OSBL_Data;16;"Labor";)&gt;</v>
      </c>
    </row>
    <row r="342" spans="1:5">
      <c r="A342" t="s">
        <v>89</v>
      </c>
      <c r="B342" t="str">
        <f t="shared" si="55"/>
        <v>ISBL: Storage Vessels Labor Cost</v>
      </c>
      <c r="C342" t="str">
        <f t="shared" si="56"/>
        <v>OSBL: Storage Vessels Labor Cost</v>
      </c>
      <c r="D342" s="81" t="str">
        <f>'Project Direct Metrics'!$I$21</f>
        <v>&lt;#dbvalue(2_Equipment_ISBL_Data;17;"Labor";)&gt;</v>
      </c>
      <c r="E342" s="81" t="str">
        <f>'Project Direct Metrics'!$J$21</f>
        <v>&lt;#dbvalue(2_Equipment_OSBL_Data;17;"Labor";)&gt;</v>
      </c>
    </row>
    <row r="343" spans="1:5">
      <c r="A343" t="s">
        <v>97</v>
      </c>
      <c r="B343" t="str">
        <f t="shared" si="55"/>
        <v>ISBL: Turbo Expanders Labor Cost</v>
      </c>
      <c r="C343" t="str">
        <f t="shared" si="56"/>
        <v>OSBL: Turbo Expanders Labor Cost</v>
      </c>
      <c r="D343" s="81" t="str">
        <f>'Project Direct Metrics'!$I$22</f>
        <v>&lt;#dbvalue(2_Equipment_ISBL_Data;18;"Labor";)&gt;</v>
      </c>
      <c r="E343" s="81" t="str">
        <f>'Project Direct Metrics'!$J$22</f>
        <v>&lt;#dbvalue(2_Equipment_OSBL_Data;18;"Labor";)&gt;</v>
      </c>
    </row>
    <row r="344" spans="1:5">
      <c r="A344" t="s">
        <v>94</v>
      </c>
      <c r="B344" t="str">
        <f t="shared" si="55"/>
        <v>ISBL: Other Equipment Items Labor Cost</v>
      </c>
      <c r="C344" t="str">
        <f t="shared" si="56"/>
        <v>OSBL: Other Equipment Items Labor Cost</v>
      </c>
      <c r="D344" s="81" t="str">
        <f>'Project Direct Metrics'!$I$23</f>
        <v>&lt;#dbvalue(2_Equipment_ISBL_Data;19;"Labor";)&gt;</v>
      </c>
      <c r="E344" s="81" t="str">
        <f>'Project Direct Metrics'!$J$23</f>
        <v>&lt;#dbvalue(2_Equipment_OSBL_Data;19;"Labor";)&gt;</v>
      </c>
    </row>
    <row r="345" spans="1:5">
      <c r="A345" t="s">
        <v>109</v>
      </c>
      <c r="B345" t="str">
        <f t="shared" si="55"/>
        <v>ISBL: Design Allowance Labor Cost</v>
      </c>
      <c r="C345" t="str">
        <f t="shared" si="56"/>
        <v>OSBL: Design Allowance Labor Cost</v>
      </c>
      <c r="D345" s="81" t="str">
        <f>'Project Direct Metrics'!$I$24</f>
        <v>&lt;#dbvalue(2_Equipment_ISBL_Data;20;"Labor";)&gt;</v>
      </c>
      <c r="E345" s="81" t="str">
        <f>'Project Direct Metrics'!$J$24</f>
        <v>&lt;#dbvalue(2_Equipment_OSBL_Data;20;"Labor";)&gt;</v>
      </c>
    </row>
    <row r="346" spans="1:5">
      <c r="A346" t="s">
        <v>110</v>
      </c>
      <c r="B346" t="str">
        <f t="shared" si="55"/>
        <v>ISBL: Warehouse Spares Labor Cost</v>
      </c>
      <c r="C346" t="str">
        <f t="shared" si="56"/>
        <v>OSBL: Warehouse Spares Labor Cost</v>
      </c>
      <c r="D346" s="81" t="str">
        <f>'Project Direct Metrics'!$I$25</f>
        <v>&lt;#dbvalue(2_Equipment_ISBL_Data;21;"Labor";)&gt;</v>
      </c>
      <c r="E346" s="81" t="str">
        <f>'Project Direct Metrics'!$J$25</f>
        <v>&lt;#dbvalue(2_Equipment_OSBL_Data;21;"Labor";)&gt;</v>
      </c>
    </row>
    <row r="347" spans="1:5">
      <c r="A347" t="s">
        <v>95</v>
      </c>
      <c r="B347" t="str">
        <f t="shared" si="55"/>
        <v>ISBL: Equipment Demolition Labor Cost</v>
      </c>
      <c r="C347" t="str">
        <f t="shared" si="56"/>
        <v>OSBL: Equipment Demolition Labor Cost</v>
      </c>
      <c r="D347" s="81" t="str">
        <f>'Project Direct Metrics'!$I$26</f>
        <v>&lt;#dbvalue(2_Equipment_ISBL_Data;22;"Labor";)&gt;</v>
      </c>
      <c r="E347" s="81" t="str">
        <f>'Project Direct Metrics'!$J$26</f>
        <v>&lt;#dbvalue(2_Equipment_OSBL_Data;22;"Labor";)&gt;</v>
      </c>
    </row>
    <row r="349" spans="1:5">
      <c r="A349" t="s">
        <v>219</v>
      </c>
      <c r="B349" t="str">
        <f t="shared" ref="B349:B372" si="57">CONCATENATE("ISBL: ",A349," Labor Cost")</f>
        <v>ISBL: CS Pipe Labor Cost</v>
      </c>
      <c r="C349" t="str">
        <f t="shared" ref="C349:C372" si="58">CONCATENATE("OSBL: ",A349," Labor Cost")</f>
        <v>OSBL: CS Pipe Labor Cost</v>
      </c>
      <c r="D349" s="81" t="str">
        <f>'Project Direct Metrics'!$I$30</f>
        <v>&lt;#dbvalue(3_Piping_ISBL_Data;0;"Labor";)&gt;</v>
      </c>
      <c r="E349" s="81" t="str">
        <f>'Project Direct Metrics'!$J$30</f>
        <v>&lt;#dbvalue(3_Piping_OSBL_Data;0;"Labor";)&gt;</v>
      </c>
    </row>
    <row r="350" spans="1:5">
      <c r="A350" t="s">
        <v>220</v>
      </c>
      <c r="B350" t="str">
        <f t="shared" si="57"/>
        <v>ISBL: CS Valves, Fittings Labor Cost</v>
      </c>
      <c r="C350" t="str">
        <f t="shared" si="58"/>
        <v>OSBL: CS Valves, Fittings Labor Cost</v>
      </c>
      <c r="D350" s="81" t="str">
        <f>'Project Direct Metrics'!$I$31</f>
        <v>&lt;#dbvalue(3_Piping_ISBL_Data;1;"Labor";)&gt;</v>
      </c>
      <c r="E350" s="81" t="str">
        <f>'Project Direct Metrics'!$J$31</f>
        <v>&lt;#dbvalue(3_Piping_OSBL_Data;1;"Labor";)&gt;</v>
      </c>
    </row>
    <row r="351" spans="1:5">
      <c r="A351" t="s">
        <v>225</v>
      </c>
      <c r="B351" t="str">
        <f t="shared" si="57"/>
        <v>ISBL: SS Pipe Labor Cost</v>
      </c>
      <c r="C351" t="str">
        <f t="shared" si="58"/>
        <v>OSBL: SS Pipe Labor Cost</v>
      </c>
      <c r="D351" s="81" t="str">
        <f>'Project Direct Metrics'!$I$32</f>
        <v>&lt;#dbvalue(3_Piping_ISBL_Data;2;"Labor";)&gt;</v>
      </c>
      <c r="E351" s="81" t="str">
        <f>'Project Direct Metrics'!$J$32</f>
        <v>&lt;#dbvalue(3_Piping_OSBL_Data;2;"Labor";)&gt;</v>
      </c>
    </row>
    <row r="352" spans="1:5">
      <c r="A352" t="s">
        <v>221</v>
      </c>
      <c r="B352" t="str">
        <f t="shared" si="57"/>
        <v>ISBL: SS Valves, Fittings Labor Cost</v>
      </c>
      <c r="C352" t="str">
        <f t="shared" si="58"/>
        <v>OSBL: SS Valves, Fittings Labor Cost</v>
      </c>
      <c r="D352" s="81" t="str">
        <f>'Project Direct Metrics'!$I$33</f>
        <v>&lt;#dbvalue(3_Piping_ISBL_Data;3;"Labor";)&gt;</v>
      </c>
      <c r="E352" s="81" t="str">
        <f>'Project Direct Metrics'!$J$33</f>
        <v>&lt;#dbvalue(3_Piping_OSBL_Data;3;"Labor";)&gt;</v>
      </c>
    </row>
    <row r="353" spans="1:5">
      <c r="A353" t="s">
        <v>226</v>
      </c>
      <c r="B353" t="str">
        <f t="shared" si="57"/>
        <v>ISBL: Non-ferrous Pipe Labor Cost</v>
      </c>
      <c r="C353" t="str">
        <f t="shared" si="58"/>
        <v>OSBL: Non-ferrous Pipe Labor Cost</v>
      </c>
      <c r="D353" s="81" t="str">
        <f>'Project Direct Metrics'!$I$34</f>
        <v>&lt;#dbvalue(3_Piping_ISBL_Data;4;"Labor";)&gt;</v>
      </c>
      <c r="E353" s="81" t="str">
        <f>'Project Direct Metrics'!$J$34</f>
        <v>&lt;#dbvalue(3_Piping_OSBL_Data;4;"Labor";)&gt;</v>
      </c>
    </row>
    <row r="354" spans="1:5">
      <c r="A354" t="s">
        <v>222</v>
      </c>
      <c r="B354" t="str">
        <f t="shared" si="57"/>
        <v>ISBL: Non-ferrous Valves, Fittings Labor Cost</v>
      </c>
      <c r="C354" t="str">
        <f t="shared" si="58"/>
        <v>OSBL: Non-ferrous Valves, Fittings Labor Cost</v>
      </c>
      <c r="D354" s="81" t="str">
        <f>'Project Direct Metrics'!$I$35</f>
        <v>&lt;#dbvalue(3_Piping_ISBL_Data;5;"Labor";)&gt;</v>
      </c>
      <c r="E354" s="81" t="str">
        <f>'Project Direct Metrics'!$J$35</f>
        <v>&lt;#dbvalue(3_Piping_OSBL_Data;5;"Labor";)&gt;</v>
      </c>
    </row>
    <row r="355" spans="1:5">
      <c r="A355" t="s">
        <v>227</v>
      </c>
      <c r="B355" t="str">
        <f t="shared" si="57"/>
        <v>ISBL: Lined Pipe Labor Cost</v>
      </c>
      <c r="C355" t="str">
        <f t="shared" si="58"/>
        <v>OSBL: Lined Pipe Labor Cost</v>
      </c>
      <c r="D355" s="81" t="str">
        <f>'Project Direct Metrics'!$I$36</f>
        <v>&lt;#dbvalue(3_Piping_ISBL_Data;6;"Labor";)&gt;</v>
      </c>
      <c r="E355" s="81" t="str">
        <f>'Project Direct Metrics'!$J$36</f>
        <v>&lt;#dbvalue(3_Piping_OSBL_Data;6;"Labor";)&gt;</v>
      </c>
    </row>
    <row r="356" spans="1:5">
      <c r="A356" t="s">
        <v>223</v>
      </c>
      <c r="B356" t="str">
        <f t="shared" si="57"/>
        <v>ISBL: Lined Valves, Fittings Labor Cost</v>
      </c>
      <c r="C356" t="str">
        <f t="shared" si="58"/>
        <v>OSBL: Lined Valves, Fittings Labor Cost</v>
      </c>
      <c r="D356" s="81" t="str">
        <f>'Project Direct Metrics'!$I$37</f>
        <v>&lt;#dbvalue(3_Piping_ISBL_Data;7;"Labor";)&gt;</v>
      </c>
      <c r="E356" s="81" t="str">
        <f>'Project Direct Metrics'!$J$37</f>
        <v>&lt;#dbvalue(3_Piping_OSBL_Data;7;"Labor";)&gt;</v>
      </c>
    </row>
    <row r="357" spans="1:5">
      <c r="A357" t="s">
        <v>228</v>
      </c>
      <c r="B357" t="str">
        <f t="shared" si="57"/>
        <v>ISBL: Non-metallic Pipe Labor Cost</v>
      </c>
      <c r="C357" t="str">
        <f t="shared" si="58"/>
        <v>OSBL: Non-metallic Pipe Labor Cost</v>
      </c>
      <c r="D357" s="81" t="str">
        <f>'Project Direct Metrics'!$I$38</f>
        <v>&lt;#dbvalue(3_Piping_ISBL_Data;8;"Labor";)&gt;</v>
      </c>
      <c r="E357" s="81" t="str">
        <f>'Project Direct Metrics'!$J$38</f>
        <v>&lt;#dbvalue(3_Piping_OSBL_Data;8;"Labor";)&gt;</v>
      </c>
    </row>
    <row r="358" spans="1:5">
      <c r="A358" t="s">
        <v>224</v>
      </c>
      <c r="B358" t="str">
        <f t="shared" si="57"/>
        <v>ISBL: Non-metallic Valves, Fittings Labor Cost</v>
      </c>
      <c r="C358" t="str">
        <f t="shared" si="58"/>
        <v>OSBL: Non-metallic Valves, Fittings Labor Cost</v>
      </c>
      <c r="D358" s="81" t="str">
        <f>'Project Direct Metrics'!$I$39</f>
        <v>&lt;#dbvalue(3_Piping_ISBL_Data;9;"Labor";)&gt;</v>
      </c>
      <c r="E358" s="81" t="str">
        <f>'Project Direct Metrics'!$J$39</f>
        <v>&lt;#dbvalue(3_Piping_OSBL_Data;9;"Labor";)&gt;</v>
      </c>
    </row>
    <row r="359" spans="1:5">
      <c r="A359" t="s">
        <v>112</v>
      </c>
      <c r="B359" t="str">
        <f t="shared" si="57"/>
        <v>ISBL: Specialty Piping Items Labor Cost</v>
      </c>
      <c r="C359" t="str">
        <f t="shared" si="58"/>
        <v>OSBL: Specialty Piping Items Labor Cost</v>
      </c>
      <c r="D359" s="81" t="str">
        <f>'Project Direct Metrics'!$I$40</f>
        <v>&lt;#dbvalue(3_Piping_ISBL_Data;10;"Labor";)&gt;</v>
      </c>
      <c r="E359" s="81" t="str">
        <f>'Project Direct Metrics'!$J$40</f>
        <v>&lt;#dbvalue(3_Piping_OSBL_Data;10;"Labor";)&gt;</v>
      </c>
    </row>
    <row r="360" spans="1:5">
      <c r="A360" t="s">
        <v>113</v>
      </c>
      <c r="B360" t="str">
        <f t="shared" si="57"/>
        <v>ISBL: Firewater Piping Labor Cost</v>
      </c>
      <c r="C360" t="str">
        <f t="shared" si="58"/>
        <v>OSBL: Firewater Piping Labor Cost</v>
      </c>
      <c r="D360" s="81" t="str">
        <f>'Project Direct Metrics'!$I$41</f>
        <v>&lt;#dbvalue(3_Piping_ISBL_Data;11;"Labor";)&gt;</v>
      </c>
      <c r="E360" s="81" t="str">
        <f>'Project Direct Metrics'!$J$41</f>
        <v>&lt;#dbvalue(3_Piping_OSBL_Data;11;"Labor";)&gt;</v>
      </c>
    </row>
    <row r="361" spans="1:5">
      <c r="A361" t="s">
        <v>114</v>
      </c>
      <c r="B361" t="str">
        <f t="shared" si="57"/>
        <v>ISBL: Ductwork, Launders Labor Cost</v>
      </c>
      <c r="C361" t="str">
        <f t="shared" si="58"/>
        <v>OSBL: Ductwork, Launders Labor Cost</v>
      </c>
      <c r="D361" s="81" t="str">
        <f>'Project Direct Metrics'!$I$42</f>
        <v>&lt;#dbvalue(3_Piping_ISBL_Data;12;"Labor";)&gt;</v>
      </c>
      <c r="E361" s="81" t="str">
        <f>'Project Direct Metrics'!$J$42</f>
        <v>&lt;#dbvalue(3_Piping_OSBL_Data;12;"Labor";)&gt;</v>
      </c>
    </row>
    <row r="362" spans="1:5">
      <c r="A362" t="s">
        <v>115</v>
      </c>
      <c r="B362" t="str">
        <f t="shared" si="57"/>
        <v>ISBL: Pipelines Labor Cost</v>
      </c>
      <c r="C362" t="str">
        <f t="shared" si="58"/>
        <v>OSBL: Pipelines Labor Cost</v>
      </c>
      <c r="D362" s="81" t="str">
        <f>'Project Direct Metrics'!$I$43</f>
        <v>&lt;#dbvalue(3_Piping_ISBL_Data;13;"Labor";)&gt;</v>
      </c>
      <c r="E362" s="81" t="str">
        <f>'Project Direct Metrics'!$J$43</f>
        <v>&lt;#dbvalue(3_Piping_OSBL_Data;13;"Labor";)&gt;</v>
      </c>
    </row>
    <row r="363" spans="1:5">
      <c r="A363" t="s">
        <v>118</v>
      </c>
      <c r="B363" t="str">
        <f t="shared" si="57"/>
        <v>ISBL: Other Piping Labor Cost</v>
      </c>
      <c r="C363" t="str">
        <f t="shared" si="58"/>
        <v>OSBL: Other Piping Labor Cost</v>
      </c>
      <c r="D363" s="81" t="str">
        <f>'Project Direct Metrics'!$I$44</f>
        <v>&lt;#dbvalue(3_Piping_ISBL_Data;14;"Labor";)&gt;</v>
      </c>
      <c r="E363" s="81" t="str">
        <f>'Project Direct Metrics'!$J$44</f>
        <v>&lt;#dbvalue(3_Piping_OSBL_Data;14;"Labor";)&gt;</v>
      </c>
    </row>
    <row r="364" spans="1:5">
      <c r="A364" t="s">
        <v>117</v>
      </c>
      <c r="B364" t="str">
        <f t="shared" si="57"/>
        <v>ISBL: Pipe Testing Labor Cost</v>
      </c>
      <c r="C364" t="str">
        <f t="shared" si="58"/>
        <v>OSBL: Pipe Testing Labor Cost</v>
      </c>
      <c r="D364" s="81" t="str">
        <f>'Project Direct Metrics'!$I$45</f>
        <v>&lt;#dbvalue(3_Piping_ISBL_Data;15;"Labor";)&gt;</v>
      </c>
      <c r="E364" s="81" t="str">
        <f>'Project Direct Metrics'!$J$45</f>
        <v>&lt;#dbvalue(3_Piping_OSBL_Data;15;"Labor";)&gt;</v>
      </c>
    </row>
    <row r="365" spans="1:5">
      <c r="A365" t="s">
        <v>116</v>
      </c>
      <c r="B365" t="str">
        <f t="shared" si="57"/>
        <v>ISBL: Pipe Demolition Labor Cost</v>
      </c>
      <c r="C365" t="str">
        <f t="shared" si="58"/>
        <v>OSBL: Pipe Demolition Labor Cost</v>
      </c>
      <c r="D365" s="81" t="str">
        <f>'Project Direct Metrics'!$I$46</f>
        <v>&lt;#dbvalue(3_Piping_ISBL_Data;16;"Labor";)&gt;</v>
      </c>
      <c r="E365" s="81" t="str">
        <f>'Project Direct Metrics'!$J$46</f>
        <v>&lt;#dbvalue(3_Piping_OSBL_Data;16;"Labor";)&gt;</v>
      </c>
    </row>
    <row r="366" spans="1:5">
      <c r="A366" t="s">
        <v>120</v>
      </c>
      <c r="B366" t="str">
        <f t="shared" si="57"/>
        <v>ISBL: Above Ground (AG) Piping Labor Cost</v>
      </c>
      <c r="C366" t="str">
        <f t="shared" si="58"/>
        <v>OSBL: Above Ground (AG) Piping Labor Cost</v>
      </c>
      <c r="D366" s="81" t="str">
        <f>'Project Direct Metrics'!$I$50</f>
        <v>&lt;#dbvalue(3_PipingByInstall_ISBL_Data;0;"Labor";)&gt;</v>
      </c>
      <c r="E366" s="81" t="str">
        <f>'Project Direct Metrics'!$J$50</f>
        <v>&lt;#dbvalue(3_PipingByInstall_OSBL_Data;0;"Labor";)&gt;</v>
      </c>
    </row>
    <row r="367" spans="1:5">
      <c r="A367" t="s">
        <v>121</v>
      </c>
      <c r="B367" t="str">
        <f t="shared" si="57"/>
        <v>ISBL: Underground (UG) Piping Labor Cost</v>
      </c>
      <c r="C367" t="str">
        <f t="shared" si="58"/>
        <v>OSBL: Underground (UG) Piping Labor Cost</v>
      </c>
      <c r="D367" s="81" t="str">
        <f>'Project Direct Metrics'!$I$51</f>
        <v>&lt;#dbvalue(3_PipingByInstall_ISBL_Data;1;"Labor";)&gt;</v>
      </c>
      <c r="E367" s="81" t="str">
        <f>'Project Direct Metrics'!$J$51</f>
        <v>&lt;#dbvalue(3_PipingByInstall_OSBL_Data;1;"Labor";)&gt;</v>
      </c>
    </row>
    <row r="368" spans="1:5">
      <c r="A368" t="s">
        <v>123</v>
      </c>
      <c r="B368" t="str">
        <f t="shared" si="57"/>
        <v>ISBL: Extra-small Diameter Labor Cost</v>
      </c>
      <c r="C368" t="str">
        <f t="shared" si="58"/>
        <v>OSBL: Extra-small Diameter Labor Cost</v>
      </c>
      <c r="D368" s="81" t="str">
        <f>'Project Direct Metrics'!$I$54</f>
        <v>&lt;#dbvalue(3_PipingBySize_ISBL_Data;0;"Labor";)&gt;</v>
      </c>
      <c r="E368" s="81" t="str">
        <f>'Project Direct Metrics'!$J$54</f>
        <v>&lt;#dbvalue(3_PipingBySize_OSBL_Data;0;"Labor";)&gt;</v>
      </c>
    </row>
    <row r="369" spans="1:5">
      <c r="A369" t="s">
        <v>124</v>
      </c>
      <c r="B369" t="str">
        <f t="shared" si="57"/>
        <v>ISBL: Small Diameter Labor Cost</v>
      </c>
      <c r="C369" t="str">
        <f t="shared" si="58"/>
        <v>OSBL: Small Diameter Labor Cost</v>
      </c>
      <c r="D369" s="81" t="str">
        <f>'Project Direct Metrics'!$I$55</f>
        <v>&lt;#dbvalue(3_PipingBySize_ISBL_Data;1;"Labor";)&gt;</v>
      </c>
      <c r="E369" s="81" t="str">
        <f>'Project Direct Metrics'!$J$55</f>
        <v>&lt;#dbvalue(3_PipingBySize_OSBL_Data;1;"Labor";)&gt;</v>
      </c>
    </row>
    <row r="370" spans="1:5">
      <c r="A370" t="s">
        <v>125</v>
      </c>
      <c r="B370" t="str">
        <f t="shared" si="57"/>
        <v>ISBL: Medium Diameter Labor Cost</v>
      </c>
      <c r="C370" t="str">
        <f t="shared" si="58"/>
        <v>OSBL: Medium Diameter Labor Cost</v>
      </c>
      <c r="D370" s="81" t="str">
        <f>'Project Direct Metrics'!$I$56</f>
        <v>&lt;#dbvalue(3_PipingBySize_ISBL_Data;2;"Labor";)&gt;</v>
      </c>
      <c r="E370" s="81" t="str">
        <f>'Project Direct Metrics'!$J$56</f>
        <v>&lt;#dbvalue(3_PipingBySize_OSBL_Data;2;"Labor";)&gt;</v>
      </c>
    </row>
    <row r="371" spans="1:5">
      <c r="A371" t="s">
        <v>126</v>
      </c>
      <c r="B371" t="str">
        <f t="shared" si="57"/>
        <v>ISBL: Large Diameter Labor Cost</v>
      </c>
      <c r="C371" t="str">
        <f t="shared" si="58"/>
        <v>OSBL: Large Diameter Labor Cost</v>
      </c>
      <c r="D371" s="81" t="str">
        <f>'Project Direct Metrics'!$I$57</f>
        <v>&lt;#dbvalue(3_PipingBySize_ISBL_Data;3;"Labor";)&gt;</v>
      </c>
      <c r="E371" s="81" t="str">
        <f>'Project Direct Metrics'!$J$57</f>
        <v>&lt;#dbvalue(3_PipingBySize_OSBL_Data;3;"Labor";)&gt;</v>
      </c>
    </row>
    <row r="372" spans="1:5">
      <c r="A372" t="s">
        <v>127</v>
      </c>
      <c r="B372" t="str">
        <f t="shared" si="57"/>
        <v>ISBL: Extra-large Diameter Labor Cost</v>
      </c>
      <c r="C372" t="str">
        <f t="shared" si="58"/>
        <v>OSBL: Extra-large Diameter Labor Cost</v>
      </c>
      <c r="D372" s="81" t="str">
        <f>'Project Direct Metrics'!$I$58</f>
        <v>&lt;#dbvalue(3_PipingBySize_ISBL_Data;4;"Labor";)&gt;</v>
      </c>
      <c r="E372" s="81" t="str">
        <f>'Project Direct Metrics'!$J$58</f>
        <v>&lt;#dbvalue(3_PipingBySize_OSBL_Data;4;"Labor";)&gt;</v>
      </c>
    </row>
    <row r="374" spans="1:5">
      <c r="A374" t="s">
        <v>129</v>
      </c>
      <c r="B374" t="str">
        <f t="shared" ref="B374:B384" si="59">CONCATENATE("ISBL: ",A374," Labor Cost")</f>
        <v>ISBL: Earthwork Labor Cost</v>
      </c>
      <c r="C374" t="str">
        <f t="shared" ref="C374:C384" si="60">CONCATENATE("OSBL: ",A374," Labor Cost")</f>
        <v>OSBL: Earthwork Labor Cost</v>
      </c>
      <c r="D374" s="81" t="str">
        <f>'Project Direct Metrics'!$I$61</f>
        <v>&lt;#dbvalue(4_Civil_ISBL_Data;0;"Labor";)&gt;</v>
      </c>
      <c r="E374" s="81" t="str">
        <f>'Project Direct Metrics'!$J$61</f>
        <v>&lt;#dbvalue(4_Civil_OSBL_Data;0;"Labor";)&gt;</v>
      </c>
    </row>
    <row r="375" spans="1:5">
      <c r="A375" t="s">
        <v>134</v>
      </c>
      <c r="B375" t="str">
        <f t="shared" si="59"/>
        <v>ISBL: Roads, Railroads Labor Cost</v>
      </c>
      <c r="C375" t="str">
        <f t="shared" si="60"/>
        <v>OSBL: Roads, Railroads Labor Cost</v>
      </c>
      <c r="D375" s="81" t="str">
        <f>'Project Direct Metrics'!$I$62</f>
        <v>&lt;#dbvalue(4_Civil_ISBL_Data;1;"Labor";)&gt;</v>
      </c>
      <c r="E375" s="81" t="str">
        <f>'Project Direct Metrics'!$J$62</f>
        <v>&lt;#dbvalue(4_Civil_OSBL_Data;1;"Labor";)&gt;</v>
      </c>
    </row>
    <row r="376" spans="1:5">
      <c r="A376" t="s">
        <v>131</v>
      </c>
      <c r="B376" t="str">
        <f t="shared" si="59"/>
        <v>ISBL: Piling Labor Cost</v>
      </c>
      <c r="C376" t="str">
        <f t="shared" si="60"/>
        <v>OSBL: Piling Labor Cost</v>
      </c>
      <c r="D376" s="81" t="str">
        <f>'Project Direct Metrics'!$I$63</f>
        <v>&lt;#dbvalue(4_Civil_ISBL_Data;2;"Labor";)&gt;</v>
      </c>
      <c r="E376" s="81" t="str">
        <f>'Project Direct Metrics'!$J$63</f>
        <v>&lt;#dbvalue(4_Civil_OSBL_Data;2;"Labor";)&gt;</v>
      </c>
    </row>
    <row r="377" spans="1:5">
      <c r="A377" t="s">
        <v>132</v>
      </c>
      <c r="B377" t="str">
        <f t="shared" si="59"/>
        <v>ISBL: Paving Labor Cost</v>
      </c>
      <c r="C377" t="str">
        <f t="shared" si="60"/>
        <v>OSBL: Paving Labor Cost</v>
      </c>
      <c r="D377" s="81" t="str">
        <f>'Project Direct Metrics'!$I$64</f>
        <v>&lt;#dbvalue(4_Civil_ISBL_Data;3;"Labor";)&gt;</v>
      </c>
      <c r="E377" s="81" t="str">
        <f>'Project Direct Metrics'!$J$64</f>
        <v>&lt;#dbvalue(4_Civil_OSBL_Data;3;"Labor";)&gt;</v>
      </c>
    </row>
    <row r="378" spans="1:5">
      <c r="A378" t="s">
        <v>10</v>
      </c>
      <c r="B378" t="str">
        <f t="shared" si="59"/>
        <v>ISBL: Concrete Labor Cost</v>
      </c>
      <c r="C378" t="str">
        <f t="shared" si="60"/>
        <v>OSBL: Concrete Labor Cost</v>
      </c>
      <c r="D378" s="81" t="str">
        <f>'Project Direct Metrics'!$I$65</f>
        <v>&lt;#dbvalue(4_Civil_ISBL_Data;4;"Labor";)&gt;</v>
      </c>
      <c r="E378" s="81" t="str">
        <f>'Project Direct Metrics'!$J$65</f>
        <v>&lt;#dbvalue(4_Civil_OSBL_Data;4;"Labor";)&gt;</v>
      </c>
    </row>
    <row r="379" spans="1:5">
      <c r="A379" t="s">
        <v>11</v>
      </c>
      <c r="B379" t="str">
        <f t="shared" si="59"/>
        <v>ISBL: Grout Labor Cost</v>
      </c>
      <c r="C379" t="str">
        <f t="shared" si="60"/>
        <v>OSBL: Grout Labor Cost</v>
      </c>
      <c r="D379" s="81" t="str">
        <f>'Project Direct Metrics'!$I$66</f>
        <v>&lt;#dbvalue(4_Civil_ISBL_Data;5;"Labor";)&gt;</v>
      </c>
      <c r="E379" s="81" t="str">
        <f>'Project Direct Metrics'!$J$66</f>
        <v>&lt;#dbvalue(4_Civil_OSBL_Data;5;"Labor";)&gt;</v>
      </c>
    </row>
    <row r="380" spans="1:5">
      <c r="A380" t="s">
        <v>387</v>
      </c>
      <c r="B380" t="str">
        <f t="shared" si="59"/>
        <v>ISBL: Rebar Labor Cost</v>
      </c>
      <c r="C380" t="str">
        <f t="shared" si="60"/>
        <v>OSBL: Rebar Labor Cost</v>
      </c>
      <c r="D380" s="81" t="str">
        <f>'Project Direct Metrics'!$I$67</f>
        <v>&lt;#dbvalue(4_Civil_ISBL_Data;6;"Labor";)&gt;</v>
      </c>
      <c r="E380" s="81" t="str">
        <f>'Project Direct Metrics'!$J$67</f>
        <v>&lt;#dbvalue(4_Civil_OSBL_Data;6;"Labor";)&gt;</v>
      </c>
    </row>
    <row r="381" spans="1:5">
      <c r="A381" t="s">
        <v>135</v>
      </c>
      <c r="B381" t="str">
        <f t="shared" si="59"/>
        <v>ISBL: Buildings, Architectural Labor Cost</v>
      </c>
      <c r="C381" t="str">
        <f t="shared" si="60"/>
        <v>OSBL: Buildings, Architectural Labor Cost</v>
      </c>
      <c r="D381" s="81" t="str">
        <f>'Project Direct Metrics'!$I$68</f>
        <v>&lt;#dbvalue(4_Civil_ISBL_Data;7;"Labor";)&gt;</v>
      </c>
      <c r="E381" s="81" t="str">
        <f>'Project Direct Metrics'!$J$68</f>
        <v>&lt;#dbvalue(4_Civil_OSBL_Data;7;"Labor";)&gt;</v>
      </c>
    </row>
    <row r="382" spans="1:5">
      <c r="A382" t="s">
        <v>130</v>
      </c>
      <c r="B382" t="str">
        <f t="shared" si="59"/>
        <v>ISBL: Other Sitework Labor Cost</v>
      </c>
      <c r="C382" t="str">
        <f t="shared" si="60"/>
        <v>OSBL: Other Sitework Labor Cost</v>
      </c>
      <c r="D382" s="81" t="str">
        <f>'Project Direct Metrics'!$I$69</f>
        <v>&lt;#dbvalue(4_Civil_ISBL_Data;8;"Labor";)&gt;</v>
      </c>
      <c r="E382" s="81" t="str">
        <f>'Project Direct Metrics'!$J$69</f>
        <v>&lt;#dbvalue(4_Civil_OSBL_Data;8;"Labor";)&gt;</v>
      </c>
    </row>
    <row r="383" spans="1:5">
      <c r="A383" t="s">
        <v>133</v>
      </c>
      <c r="B383" t="str">
        <f t="shared" si="59"/>
        <v>ISBL: Other Civil Labor Cost</v>
      </c>
      <c r="C383" t="str">
        <f t="shared" si="60"/>
        <v>OSBL: Other Civil Labor Cost</v>
      </c>
      <c r="D383" s="81" t="str">
        <f>'Project Direct Metrics'!$I$70</f>
        <v>&lt;#dbvalue(4_Civil_ISBL_Data;9;"Labor";)&gt;</v>
      </c>
      <c r="E383" s="81" t="str">
        <f>'Project Direct Metrics'!$J$70</f>
        <v>&lt;#dbvalue(4_Civil_OSBL_Data;9;"Labor";)&gt;</v>
      </c>
    </row>
    <row r="384" spans="1:5">
      <c r="A384" t="s">
        <v>136</v>
      </c>
      <c r="B384" t="str">
        <f t="shared" si="59"/>
        <v>ISBL: Civil Demolition Labor Cost</v>
      </c>
      <c r="C384" t="str">
        <f t="shared" si="60"/>
        <v>OSBL: Civil Demolition Labor Cost</v>
      </c>
      <c r="D384" s="81" t="str">
        <f>'Project Direct Metrics'!$I$71</f>
        <v>&lt;#dbvalue(4_Civil_ISBL_Data;10;"Labor";)&gt;</v>
      </c>
      <c r="E384" s="81" t="str">
        <f>'Project Direct Metrics'!$J$71</f>
        <v>&lt;#dbvalue(4_Civil_OSBL_Data;10;"Labor";)&gt;</v>
      </c>
    </row>
    <row r="386" spans="1:5">
      <c r="A386" t="s">
        <v>611</v>
      </c>
      <c r="B386" t="str">
        <f t="shared" ref="B386:B393" si="61">CONCATENATE("ISBL: ",A386," Labor Cost")</f>
        <v>ISBL: Extra Light Steel Labor Cost</v>
      </c>
      <c r="C386" t="str">
        <f t="shared" ref="C386:C393" si="62">CONCATENATE("OSBL: ",A386," Labor Cost")</f>
        <v>OSBL: Extra Light Steel Labor Cost</v>
      </c>
      <c r="D386" s="81" t="str">
        <f>'Project Direct Metrics'!$I$75</f>
        <v>&lt;#dbvalue(5_Steel_ISBL_Data;0;"Labor";)&gt;</v>
      </c>
      <c r="E386" s="81" t="str">
        <f>'Project Direct Metrics'!$J$75</f>
        <v>&lt;#dbvalue(5_Steel_OSBL_Data;0;"Labor";)&gt;</v>
      </c>
    </row>
    <row r="387" spans="1:5">
      <c r="A387" t="s">
        <v>612</v>
      </c>
      <c r="B387" t="str">
        <f t="shared" si="61"/>
        <v>ISBL: Light Steel Labor Cost</v>
      </c>
      <c r="C387" t="str">
        <f t="shared" si="62"/>
        <v>OSBL: Light Steel Labor Cost</v>
      </c>
      <c r="D387" s="81" t="str">
        <f>'Project Direct Metrics'!$I$76</f>
        <v>&lt;#dbvalue(5_Steel_ISBL_Data;1;"Labor";)&gt;</v>
      </c>
      <c r="E387" s="81" t="str">
        <f>'Project Direct Metrics'!$J$76</f>
        <v>&lt;#dbvalue(5_Steel_OSBL_Data;1;"Labor";)&gt;</v>
      </c>
    </row>
    <row r="388" spans="1:5">
      <c r="A388" t="s">
        <v>613</v>
      </c>
      <c r="B388" t="str">
        <f t="shared" si="61"/>
        <v>ISBL: Medium Steel Labor Cost</v>
      </c>
      <c r="C388" t="str">
        <f t="shared" si="62"/>
        <v>OSBL: Medium Steel Labor Cost</v>
      </c>
      <c r="D388" s="81" t="str">
        <f>'Project Direct Metrics'!$I$77</f>
        <v>&lt;#dbvalue(5_Steel_ISBL_Data;2;"Labor";)&gt;</v>
      </c>
      <c r="E388" s="81" t="str">
        <f>'Project Direct Metrics'!$J$77</f>
        <v>&lt;#dbvalue(5_Steel_OSBL_Data;2;"Labor";)&gt;</v>
      </c>
    </row>
    <row r="389" spans="1:5">
      <c r="A389" t="s">
        <v>614</v>
      </c>
      <c r="B389" t="str">
        <f t="shared" si="61"/>
        <v>ISBL: Heavy Steel Labor Cost</v>
      </c>
      <c r="C389" t="str">
        <f t="shared" si="62"/>
        <v>OSBL: Heavy Steel Labor Cost</v>
      </c>
      <c r="D389" s="81" t="str">
        <f>'Project Direct Metrics'!$I$78</f>
        <v>&lt;#dbvalue(5_Steel_ISBL_Data;3;"Labor";)&gt;</v>
      </c>
      <c r="E389" s="81" t="str">
        <f>'Project Direct Metrics'!$J$78</f>
        <v>&lt;#dbvalue(5_Steel_OSBL_Data;3;"Labor";)&gt;</v>
      </c>
    </row>
    <row r="390" spans="1:5">
      <c r="A390" t="s">
        <v>615</v>
      </c>
      <c r="B390" t="str">
        <f t="shared" si="61"/>
        <v>ISBL: Extra Heavy Steel Labor Cost</v>
      </c>
      <c r="C390" t="str">
        <f t="shared" si="62"/>
        <v>OSBL: Extra Heavy Steel Labor Cost</v>
      </c>
      <c r="D390" s="81" t="str">
        <f>'Project Direct Metrics'!$I$79</f>
        <v>&lt;#dbvalue(5_Steel_ISBL_Data;4;"Labor";)&gt;</v>
      </c>
      <c r="E390" s="81" t="str">
        <f>'Project Direct Metrics'!$J$79</f>
        <v>&lt;#dbvalue(5_Steel_OSBL_Data;4;"Labor";)&gt;</v>
      </c>
    </row>
    <row r="391" spans="1:5">
      <c r="A391" t="s">
        <v>172</v>
      </c>
      <c r="B391" t="str">
        <f t="shared" si="61"/>
        <v>ISBL: Offshore Steel Labor Cost</v>
      </c>
      <c r="C391" t="str">
        <f t="shared" si="62"/>
        <v>OSBL: Offshore Steel Labor Cost</v>
      </c>
      <c r="D391" s="81" t="str">
        <f>'Project Direct Metrics'!$I$80</f>
        <v>&lt;#dbvalue(5_Steel_ISBL_Data;5;"Labor";)&gt;</v>
      </c>
      <c r="E391" s="81" t="str">
        <f>'Project Direct Metrics'!$J$80</f>
        <v>&lt;#dbvalue(5_Steel_OSBL_Data;5;"Labor";)&gt;</v>
      </c>
    </row>
    <row r="392" spans="1:5">
      <c r="A392" t="s">
        <v>143</v>
      </c>
      <c r="B392" t="str">
        <f t="shared" si="61"/>
        <v>ISBL: Other Steel Items Labor Cost</v>
      </c>
      <c r="C392" t="str">
        <f t="shared" si="62"/>
        <v>OSBL: Other Steel Items Labor Cost</v>
      </c>
      <c r="D392" s="81" t="str">
        <f>'Project Direct Metrics'!$I$81</f>
        <v>&lt;#dbvalue(5_Steel_ISBL_Data;6;"Labor";)&gt;</v>
      </c>
      <c r="E392" s="81" t="str">
        <f>'Project Direct Metrics'!$J$81</f>
        <v>&lt;#dbvalue(5_Steel_OSBL_Data;6;"Labor";)&gt;</v>
      </c>
    </row>
    <row r="393" spans="1:5">
      <c r="A393" t="s">
        <v>144</v>
      </c>
      <c r="B393" t="str">
        <f t="shared" si="61"/>
        <v>ISBL: Steel Demolition Labor Cost</v>
      </c>
      <c r="C393" t="str">
        <f t="shared" si="62"/>
        <v>OSBL: Steel Demolition Labor Cost</v>
      </c>
      <c r="D393" s="81" t="str">
        <f>'Project Direct Metrics'!$I$82</f>
        <v>&lt;#dbvalue(5_Steel_ISBL_Data;7;"Labor";)&gt;</v>
      </c>
      <c r="E393" s="81" t="str">
        <f>'Project Direct Metrics'!$J$82</f>
        <v>&lt;#dbvalue(5_Steel_OSBL_Data;7;"Labor";)&gt;</v>
      </c>
    </row>
    <row r="395" spans="1:5">
      <c r="A395" t="s">
        <v>175</v>
      </c>
      <c r="B395" t="str">
        <f t="shared" ref="B395:B404" si="63">CONCATENATE("ISBL: ",A395," Labor Cost")</f>
        <v>ISBL: Sensors Labor Cost</v>
      </c>
      <c r="C395" t="str">
        <f t="shared" ref="C395:C404" si="64">CONCATENATE("OSBL: ",A395," Labor Cost")</f>
        <v>OSBL: Sensors Labor Cost</v>
      </c>
      <c r="D395" s="81" t="str">
        <f>'Project Direct Metrics'!$I$86</f>
        <v>&lt;#dbvalue(6_Instrumentation_ISBL_Data;0;"Labor";)&gt;</v>
      </c>
      <c r="E395" s="81" t="str">
        <f>'Project Direct Metrics'!$J$86</f>
        <v>&lt;#dbvalue(6_Instrumentation_OSBL_Data;0;"Labor";)&gt;</v>
      </c>
    </row>
    <row r="396" spans="1:5">
      <c r="A396" t="s">
        <v>176</v>
      </c>
      <c r="B396" t="str">
        <f t="shared" si="63"/>
        <v>ISBL: Control Valves Labor Cost</v>
      </c>
      <c r="C396" t="str">
        <f t="shared" si="64"/>
        <v>OSBL: Control Valves Labor Cost</v>
      </c>
      <c r="D396" s="81" t="str">
        <f>'Project Direct Metrics'!$I$87</f>
        <v>&lt;#dbvalue(6_Instrumentation_ISBL_Data;1;"Labor";)&gt;</v>
      </c>
      <c r="E396" s="81" t="str">
        <f>'Project Direct Metrics'!$J$87</f>
        <v>&lt;#dbvalue(6_Instrumentation_OSBL_Data;1;"Labor";)&gt;</v>
      </c>
    </row>
    <row r="397" spans="1:5">
      <c r="A397" t="s">
        <v>183</v>
      </c>
      <c r="B397" t="str">
        <f t="shared" si="63"/>
        <v>ISBL: Wiring, Cable, Data Highway, Fiber Optic Labor Cost</v>
      </c>
      <c r="C397" t="str">
        <f t="shared" si="64"/>
        <v>OSBL: Wiring, Cable, Data Highway, Fiber Optic Labor Cost</v>
      </c>
      <c r="D397" s="81" t="str">
        <f>'Project Direct Metrics'!$I$88</f>
        <v>&lt;#dbvalue(6_Instrumentation_ISBL_Data;2;"Labor";)&gt;</v>
      </c>
      <c r="E397" s="81" t="str">
        <f>'Project Direct Metrics'!$J$88</f>
        <v>&lt;#dbvalue(6_Instrumentation_OSBL_Data;2;"Labor";)&gt;</v>
      </c>
    </row>
    <row r="398" spans="1:5">
      <c r="A398" t="s">
        <v>420</v>
      </c>
      <c r="B398" t="str">
        <f t="shared" si="63"/>
        <v>ISBL: Junction Boxes, Cabinets Etc. Labor Cost</v>
      </c>
      <c r="C398" t="str">
        <f t="shared" si="64"/>
        <v>OSBL: Junction Boxes, Cabinets Etc. Labor Cost</v>
      </c>
      <c r="D398" s="81" t="str">
        <f>'Project Direct Metrics'!$I$89</f>
        <v>&lt;#dbvalue(6_Instrumentation_ISBL_Data;3;"Labor";)&gt;</v>
      </c>
      <c r="E398" s="81" t="str">
        <f>'Project Direct Metrics'!$J$89</f>
        <v>&lt;#dbvalue(6_Instrumentation_OSBL_Data;3;"Labor";)&gt;</v>
      </c>
    </row>
    <row r="399" spans="1:5">
      <c r="A399" t="s">
        <v>626</v>
      </c>
      <c r="B399" t="str">
        <f t="shared" si="63"/>
        <v>ISBL: Instru. Conduit, Fittings Labor Cost</v>
      </c>
      <c r="C399" t="str">
        <f t="shared" si="64"/>
        <v>OSBL: Instru. Conduit, Fittings Labor Cost</v>
      </c>
      <c r="D399" s="81" t="str">
        <f>'Project Direct Metrics'!$I$90</f>
        <v>&lt;#dbvalue(6_Instrumentation_ISBL_Data;4;"Labor";)&gt;</v>
      </c>
      <c r="E399" s="81" t="str">
        <f>'Project Direct Metrics'!$J$90</f>
        <v>&lt;#dbvalue(6_Instrumentation_OSBL_Data;4;"Labor";)&gt;</v>
      </c>
    </row>
    <row r="400" spans="1:5">
      <c r="A400" t="s">
        <v>627</v>
      </c>
      <c r="B400" t="str">
        <f t="shared" si="63"/>
        <v>ISBL: Instru. Cable Tray, Supports Labor Cost</v>
      </c>
      <c r="C400" t="str">
        <f t="shared" si="64"/>
        <v>OSBL: Instru. Cable Tray, Supports Labor Cost</v>
      </c>
      <c r="D400" s="81" t="str">
        <f>'Project Direct Metrics'!$I$91</f>
        <v>&lt;#dbvalue(6_Instrumentation_ISBL_Data;5;"Labor";)&gt;</v>
      </c>
      <c r="E400" s="81" t="str">
        <f>'Project Direct Metrics'!$J$91</f>
        <v>&lt;#dbvalue(6_Instrumentation_OSBL_Data;5;"Labor";)&gt;</v>
      </c>
    </row>
    <row r="401" spans="1:5">
      <c r="A401" t="s">
        <v>184</v>
      </c>
      <c r="B401" t="str">
        <f t="shared" si="63"/>
        <v>ISBL: Computer Control Labor Cost</v>
      </c>
      <c r="C401" t="str">
        <f t="shared" si="64"/>
        <v>OSBL: Computer Control Labor Cost</v>
      </c>
      <c r="D401" s="81" t="str">
        <f>'Project Direct Metrics'!$I$92</f>
        <v>&lt;#dbvalue(6_Instrumentation_ISBL_Data;6;"Labor";)&gt;</v>
      </c>
      <c r="E401" s="81" t="str">
        <f>'Project Direct Metrics'!$J$92</f>
        <v>&lt;#dbvalue(6_Instrumentation_OSBL_Data;6;"Labor";)&gt;</v>
      </c>
    </row>
    <row r="402" spans="1:5">
      <c r="A402" t="s">
        <v>179</v>
      </c>
      <c r="B402" t="str">
        <f t="shared" si="63"/>
        <v>ISBL: Instrument Testing Labor Cost</v>
      </c>
      <c r="C402" t="str">
        <f t="shared" si="64"/>
        <v>OSBL: Instrument Testing Labor Cost</v>
      </c>
      <c r="D402" s="81" t="str">
        <f>'Project Direct Metrics'!$I$93</f>
        <v>&lt;#dbvalue(6_Instrumentation_ISBL_Data;7;"Labor";)&gt;</v>
      </c>
      <c r="E402" s="81" t="str">
        <f>'Project Direct Metrics'!$J$93</f>
        <v>&lt;#dbvalue(6_Instrumentation_OSBL_Data;7;"Labor";)&gt;</v>
      </c>
    </row>
    <row r="403" spans="1:5">
      <c r="A403" t="s">
        <v>174</v>
      </c>
      <c r="B403" t="str">
        <f t="shared" si="63"/>
        <v>ISBL: Other Instrumentation Items Labor Cost</v>
      </c>
      <c r="C403" t="str">
        <f t="shared" si="64"/>
        <v>OSBL: Other Instrumentation Items Labor Cost</v>
      </c>
      <c r="D403" s="81" t="str">
        <f>'Project Direct Metrics'!$I$94</f>
        <v>&lt;#dbvalue(6_Instrumentation_ISBL_Data;8;"Labor";)&gt;</v>
      </c>
      <c r="E403" s="81" t="str">
        <f>'Project Direct Metrics'!$J$94</f>
        <v>&lt;#dbvalue(6_Instrumentation_OSBL_Data;8;"Labor";)&gt;</v>
      </c>
    </row>
    <row r="404" spans="1:5">
      <c r="A404" t="s">
        <v>173</v>
      </c>
      <c r="B404" t="str">
        <f t="shared" si="63"/>
        <v>ISBL: Instrumentation Demolition Labor Cost</v>
      </c>
      <c r="C404" t="str">
        <f t="shared" si="64"/>
        <v>OSBL: Instrumentation Demolition Labor Cost</v>
      </c>
      <c r="D404" s="81" t="str">
        <f>'Project Direct Metrics'!$I$95</f>
        <v>&lt;#dbvalue(6_Instrumentation_ISBL_Data;9;"Labor";)&gt;</v>
      </c>
      <c r="E404" s="81" t="str">
        <f>'Project Direct Metrics'!$J$95</f>
        <v>&lt;#dbvalue(6_Instrumentation_OSBL_Data;9;"Labor";)&gt;</v>
      </c>
    </row>
    <row r="406" spans="1:5">
      <c r="A406" t="s">
        <v>648</v>
      </c>
      <c r="B406" t="str">
        <f t="shared" ref="B406:B420" si="65">CONCATENATE("ISBL: ",A406," Labor Cost")</f>
        <v>ISBL: HV Electrical Cable Labor Cost</v>
      </c>
      <c r="C406" t="str">
        <f t="shared" ref="C406:C420" si="66">CONCATENATE("OSBL: ",A406," Labor Cost")</f>
        <v>OSBL: HV Electrical Cable Labor Cost</v>
      </c>
      <c r="D406" s="81" t="str">
        <f>'Project Direct Metrics'!$I$99</f>
        <v>&lt;#dbvalue(7_Electrical_ISBL_Data;0;"Labor";)&gt;</v>
      </c>
      <c r="E406" s="81" t="str">
        <f>'Project Direct Metrics'!$J$99</f>
        <v>&lt;#dbvalue(7_Electrical_OSBL_Data;0;"Labor";)&gt;</v>
      </c>
    </row>
    <row r="407" spans="1:5">
      <c r="A407" t="s">
        <v>649</v>
      </c>
      <c r="B407" t="str">
        <f t="shared" si="65"/>
        <v>ISBL: MV Electrical Cable Labor Cost</v>
      </c>
      <c r="C407" t="str">
        <f t="shared" si="66"/>
        <v>OSBL: MV Electrical Cable Labor Cost</v>
      </c>
      <c r="D407" s="81" t="str">
        <f>'Project Direct Metrics'!$I$100</f>
        <v>&lt;#dbvalue(7_Electrical_ISBL_Data;1;"Labor";)&gt;</v>
      </c>
      <c r="E407" s="81" t="str">
        <f>'Project Direct Metrics'!$J$100</f>
        <v>&lt;#dbvalue(7_Electrical_OSBL_Data;1;"Labor";)&gt;</v>
      </c>
    </row>
    <row r="408" spans="1:5">
      <c r="A408" t="s">
        <v>650</v>
      </c>
      <c r="B408" t="str">
        <f t="shared" si="65"/>
        <v>ISBL: LV Electrical Cable Labor Cost</v>
      </c>
      <c r="C408" t="str">
        <f t="shared" si="66"/>
        <v>OSBL: LV Electrical Cable Labor Cost</v>
      </c>
      <c r="D408" s="81" t="str">
        <f>'Project Direct Metrics'!$I$101</f>
        <v>&lt;#dbvalue(7_Electrical_ISBL_Data;2;"Labor";)&gt;</v>
      </c>
      <c r="E408" s="81" t="str">
        <f>'Project Direct Metrics'!$J$101</f>
        <v>&lt;#dbvalue(7_Electrical_OSBL_Data;2;"Labor";)&gt;</v>
      </c>
    </row>
    <row r="409" spans="1:5">
      <c r="A409" t="s">
        <v>167</v>
      </c>
      <c r="B409" t="str">
        <f t="shared" si="65"/>
        <v>ISBL: Control Cable Labor Cost</v>
      </c>
      <c r="C409" t="str">
        <f t="shared" si="66"/>
        <v>OSBL: Control Cable Labor Cost</v>
      </c>
      <c r="D409" s="81" t="str">
        <f>'Project Direct Metrics'!$I$102</f>
        <v>&lt;#dbvalue(7_Electrical_ISBL_Data;3;"Labor";)&gt;</v>
      </c>
      <c r="E409" s="81" t="str">
        <f>'Project Direct Metrics'!$J$102</f>
        <v>&lt;#dbvalue(7_Electrical_OSBL_Data;3;"Labor";)&gt;</v>
      </c>
    </row>
    <row r="410" spans="1:5">
      <c r="A410" t="s">
        <v>168</v>
      </c>
      <c r="B410" t="str">
        <f t="shared" si="65"/>
        <v>ISBL: Lighting Cable Labor Cost</v>
      </c>
      <c r="C410" t="str">
        <f t="shared" si="66"/>
        <v>OSBL: Lighting Cable Labor Cost</v>
      </c>
      <c r="D410" s="81" t="str">
        <f>'Project Direct Metrics'!$I$103</f>
        <v>&lt;#dbvalue(7_Electrical_ISBL_Data;4;"Labor";)&gt;</v>
      </c>
      <c r="E410" s="81" t="str">
        <f>'Project Direct Metrics'!$J$103</f>
        <v>&lt;#dbvalue(7_Electrical_OSBL_Data;4;"Labor";)&gt;</v>
      </c>
    </row>
    <row r="411" spans="1:5">
      <c r="A411" t="s">
        <v>652</v>
      </c>
      <c r="B411" t="str">
        <f t="shared" si="65"/>
        <v>ISBL: Elec. Conduit, Fittings Labor Cost</v>
      </c>
      <c r="C411" t="str">
        <f t="shared" si="66"/>
        <v>OSBL: Elec. Conduit, Fittings Labor Cost</v>
      </c>
      <c r="D411" s="81" t="str">
        <f>'Project Direct Metrics'!$I$104</f>
        <v>&lt;#dbvalue(7_Electrical_ISBL_Data;5;"Labor";)&gt;</v>
      </c>
      <c r="E411" s="81" t="str">
        <f>'Project Direct Metrics'!$J$104</f>
        <v>&lt;#dbvalue(7_Electrical_OSBL_Data;5;"Labor";)&gt;</v>
      </c>
    </row>
    <row r="412" spans="1:5">
      <c r="A412" t="s">
        <v>653</v>
      </c>
      <c r="B412" t="str">
        <f t="shared" si="65"/>
        <v>ISBL: Elec. Cable Tray, Supports Labor Cost</v>
      </c>
      <c r="C412" t="str">
        <f t="shared" si="66"/>
        <v>OSBL: Elec. Cable Tray, Supports Labor Cost</v>
      </c>
      <c r="D412" s="81" t="str">
        <f>'Project Direct Metrics'!$I$105</f>
        <v>&lt;#dbvalue(7_Electrical_ISBL_Data;6;"Labor";)&gt;</v>
      </c>
      <c r="E412" s="81" t="str">
        <f>'Project Direct Metrics'!$J$105</f>
        <v>&lt;#dbvalue(7_Electrical_OSBL_Data;6;"Labor";)&gt;</v>
      </c>
    </row>
    <row r="413" spans="1:5">
      <c r="A413" t="s">
        <v>180</v>
      </c>
      <c r="B413" t="str">
        <f t="shared" si="65"/>
        <v>ISBL: Transformers, Switchgear Labor Cost</v>
      </c>
      <c r="C413" t="str">
        <f t="shared" si="66"/>
        <v>OSBL: Transformers, Switchgear Labor Cost</v>
      </c>
      <c r="D413" s="81" t="str">
        <f>'Project Direct Metrics'!$I$106</f>
        <v>&lt;#dbvalue(7_Electrical_ISBL_Data;7;"Labor";)&gt;</v>
      </c>
      <c r="E413" s="81" t="str">
        <f>'Project Direct Metrics'!$J$106</f>
        <v>&lt;#dbvalue(7_Electrical_OSBL_Data;7;"Labor";)&gt;</v>
      </c>
    </row>
    <row r="414" spans="1:5">
      <c r="A414" t="s">
        <v>181</v>
      </c>
      <c r="B414" t="str">
        <f t="shared" si="65"/>
        <v>ISBL: Motor Control Center Labor Cost</v>
      </c>
      <c r="C414" t="str">
        <f t="shared" si="66"/>
        <v>OSBL: Motor Control Center Labor Cost</v>
      </c>
      <c r="D414" s="81" t="str">
        <f>'Project Direct Metrics'!$I$107</f>
        <v>&lt;#dbvalue(7_Electrical_ISBL_Data;8;"Labor";)&gt;</v>
      </c>
      <c r="E414" s="81" t="str">
        <f>'Project Direct Metrics'!$J$107</f>
        <v>&lt;#dbvalue(7_Electrical_OSBL_Data;8;"Labor";)&gt;</v>
      </c>
    </row>
    <row r="415" spans="1:5">
      <c r="A415" t="s">
        <v>651</v>
      </c>
      <c r="B415" t="str">
        <f t="shared" si="65"/>
        <v>ISBL: Other Electrical Equip. Labor Cost</v>
      </c>
      <c r="C415" t="str">
        <f t="shared" si="66"/>
        <v>OSBL: Other Electrical Equip. Labor Cost</v>
      </c>
      <c r="D415" s="81" t="str">
        <f>'Project Direct Metrics'!$I$108</f>
        <v>&lt;#dbvalue(7_Electrical_ISBL_Data;9;"Labor";)&gt;</v>
      </c>
      <c r="E415" s="81" t="str">
        <f>'Project Direct Metrics'!$J$108</f>
        <v>&lt;#dbvalue(7_Electrical_OSBL_Data;9;"Labor";)&gt;</v>
      </c>
    </row>
    <row r="416" spans="1:5">
      <c r="A416" t="s">
        <v>163</v>
      </c>
      <c r="B416" t="str">
        <f t="shared" si="65"/>
        <v>ISBL: Other Electrical Items Labor Cost</v>
      </c>
      <c r="C416" t="str">
        <f t="shared" si="66"/>
        <v>OSBL: Other Electrical Items Labor Cost</v>
      </c>
      <c r="D416" s="81" t="str">
        <f>'Project Direct Metrics'!$I$109</f>
        <v>&lt;#dbvalue(7_Electrical_ISBL_Data;10;"Labor";)&gt;</v>
      </c>
      <c r="E416" s="81" t="str">
        <f>'Project Direct Metrics'!$J$109</f>
        <v>&lt;#dbvalue(7_Electrical_OSBL_Data;10;"Labor";)&gt;</v>
      </c>
    </row>
    <row r="417" spans="1:5">
      <c r="A417" t="s">
        <v>232</v>
      </c>
      <c r="B417" t="str">
        <f t="shared" si="65"/>
        <v>ISBL: Electrical Testing Labor Cost</v>
      </c>
      <c r="C417" t="str">
        <f t="shared" si="66"/>
        <v>OSBL: Electrical Testing Labor Cost</v>
      </c>
      <c r="D417" s="81" t="str">
        <f>'Project Direct Metrics'!$I$110</f>
        <v>&lt;#dbvalue(7_Electrical_ISBL_Data;11;"Labor";)&gt;</v>
      </c>
      <c r="E417" s="81" t="str">
        <f>'Project Direct Metrics'!$J$110</f>
        <v>&lt;#dbvalue(7_Electrical_OSBL_Data;11;"Labor";)&gt;</v>
      </c>
    </row>
    <row r="418" spans="1:5">
      <c r="A418" t="s">
        <v>162</v>
      </c>
      <c r="B418" t="str">
        <f t="shared" si="65"/>
        <v>ISBL: Electrical Demolition Labor Cost</v>
      </c>
      <c r="C418" t="str">
        <f t="shared" si="66"/>
        <v>OSBL: Electrical Demolition Labor Cost</v>
      </c>
      <c r="D418" s="81" t="str">
        <f>'Project Direct Metrics'!$I$111</f>
        <v>&lt;#dbvalue(7_Electrical_ISBL_Data;12;"Labor";)&gt;</v>
      </c>
      <c r="E418" s="81" t="str">
        <f>'Project Direct Metrics'!$J$111</f>
        <v>&lt;#dbvalue(7_Electrical_OSBL_Data;12;"Labor";)&gt;</v>
      </c>
    </row>
    <row r="419" spans="1:5">
      <c r="A419" t="s">
        <v>169</v>
      </c>
      <c r="B419" t="str">
        <f t="shared" si="65"/>
        <v>ISBL: Above Ground Electrical Labor Cost</v>
      </c>
      <c r="C419" t="str">
        <f t="shared" si="66"/>
        <v>OSBL: Above Ground Electrical Labor Cost</v>
      </c>
      <c r="D419" s="81" t="str">
        <f>'Project Direct Metrics'!$I$115</f>
        <v>&lt;#dbvalue(7_ElectricalByInstall_ISBL_Data;0;"Labor";)&gt;</v>
      </c>
      <c r="E419" s="81" t="str">
        <f>'Project Direct Metrics'!$J$115</f>
        <v>&lt;#dbvalue(7_ElectricalByInstall_OSBL_Data;0;"Labor";)&gt;</v>
      </c>
    </row>
    <row r="420" spans="1:5">
      <c r="A420" t="s">
        <v>170</v>
      </c>
      <c r="B420" t="str">
        <f t="shared" si="65"/>
        <v>ISBL: Below Ground Electrical Labor Cost</v>
      </c>
      <c r="C420" t="str">
        <f t="shared" si="66"/>
        <v>OSBL: Below Ground Electrical Labor Cost</v>
      </c>
      <c r="D420" s="81" t="str">
        <f>'Project Direct Metrics'!$I$116</f>
        <v>&lt;#dbvalue(7_ElectricalByInstall_ISBL_Data;1;"Labor";)&gt;</v>
      </c>
      <c r="E420" s="81" t="str">
        <f>'Project Direct Metrics'!$J$116</f>
        <v>&lt;#dbvalue(7_ElectricalByInstall_OSBL_Data;1;"Labor";)&gt;</v>
      </c>
    </row>
    <row r="422" spans="1:5">
      <c r="A422" t="s">
        <v>148</v>
      </c>
      <c r="B422" t="str">
        <f t="shared" ref="B422:B427" si="67">CONCATENATE("ISBL: ",A422," Labor Cost")</f>
        <v>ISBL: Equipment Insulation Labor Cost</v>
      </c>
      <c r="C422" t="str">
        <f t="shared" ref="C422:C427" si="68">CONCATENATE("OSBL: ",A422," Labor Cost")</f>
        <v>OSBL: Equipment Insulation Labor Cost</v>
      </c>
      <c r="D422" s="81" t="str">
        <f>'Project Direct Metrics'!$I$119</f>
        <v>&lt;#dbvalue(8_Insulation_ISBL_Data;0;"Labor";)&gt;</v>
      </c>
      <c r="E422" s="81" t="str">
        <f>'Project Direct Metrics'!$J$119</f>
        <v>&lt;#dbvalue(8_Insulation_OSBL_Data;0;"Labor";)&gt;</v>
      </c>
    </row>
    <row r="423" spans="1:5">
      <c r="A423" t="s">
        <v>149</v>
      </c>
      <c r="B423" t="str">
        <f t="shared" si="67"/>
        <v>ISBL: Pipe Insulation Labor Cost</v>
      </c>
      <c r="C423" t="str">
        <f t="shared" si="68"/>
        <v>OSBL: Pipe Insulation Labor Cost</v>
      </c>
      <c r="D423" s="81" t="str">
        <f>'Project Direct Metrics'!$I$120</f>
        <v>&lt;#dbvalue(8_Insulation_ISBL_Data;1;"Labor";)&gt;</v>
      </c>
      <c r="E423" s="81" t="str">
        <f>'Project Direct Metrics'!$J$120</f>
        <v>&lt;#dbvalue(8_Insulation_OSBL_Data;1;"Labor";)&gt;</v>
      </c>
    </row>
    <row r="424" spans="1:5">
      <c r="A424" t="s">
        <v>150</v>
      </c>
      <c r="B424" t="str">
        <f t="shared" si="67"/>
        <v>ISBL: Equipment Fireproofing Labor Cost</v>
      </c>
      <c r="C424" t="str">
        <f t="shared" si="68"/>
        <v>OSBL: Equipment Fireproofing Labor Cost</v>
      </c>
      <c r="D424" s="81" t="str">
        <f>'Project Direct Metrics'!$I$121</f>
        <v>&lt;#dbvalue(8_Insulation_ISBL_Data;2;"Labor";)&gt;</v>
      </c>
      <c r="E424" s="81" t="str">
        <f>'Project Direct Metrics'!$J$121</f>
        <v>&lt;#dbvalue(8_Insulation_OSBL_Data;2;"Labor";)&gt;</v>
      </c>
    </row>
    <row r="425" spans="1:5">
      <c r="A425" t="s">
        <v>151</v>
      </c>
      <c r="B425" t="str">
        <f t="shared" si="67"/>
        <v>ISBL: Steel Fireproofing Labor Cost</v>
      </c>
      <c r="C425" t="str">
        <f t="shared" si="68"/>
        <v>OSBL: Steel Fireproofing Labor Cost</v>
      </c>
      <c r="D425" s="81" t="str">
        <f>'Project Direct Metrics'!$I$122</f>
        <v>&lt;#dbvalue(8_Insulation_ISBL_Data;3;"Labor";)&gt;</v>
      </c>
      <c r="E425" s="81" t="str">
        <f>'Project Direct Metrics'!$J$122</f>
        <v>&lt;#dbvalue(8_Insulation_OSBL_Data;3;"Labor";)&gt;</v>
      </c>
    </row>
    <row r="426" spans="1:5">
      <c r="A426" t="s">
        <v>152</v>
      </c>
      <c r="B426" t="str">
        <f t="shared" si="67"/>
        <v>ISBL: Other Insulation, Fireproofing Labor Cost</v>
      </c>
      <c r="C426" t="str">
        <f t="shared" si="68"/>
        <v>OSBL: Other Insulation, Fireproofing Labor Cost</v>
      </c>
      <c r="D426" s="81" t="str">
        <f>'Project Direct Metrics'!$I$123</f>
        <v>&lt;#dbvalue(8_Insulation_ISBL_Data;4;"Labor";)&gt;</v>
      </c>
      <c r="E426" s="81" t="str">
        <f>'Project Direct Metrics'!$J$123</f>
        <v>&lt;#dbvalue(8_Insulation_OSBL_Data;4;"Labor";)&gt;</v>
      </c>
    </row>
    <row r="427" spans="1:5">
      <c r="A427" t="s">
        <v>153</v>
      </c>
      <c r="B427" t="str">
        <f t="shared" si="67"/>
        <v>ISBL: Insulation, Fireproofing Demolition Labor Cost</v>
      </c>
      <c r="C427" t="str">
        <f t="shared" si="68"/>
        <v>OSBL: Insulation, Fireproofing Demolition Labor Cost</v>
      </c>
      <c r="D427" s="81" t="str">
        <f>'Project Direct Metrics'!$I$124</f>
        <v>&lt;#dbvalue(8_Insulation_ISBL_Data;5;"Labor";)&gt;</v>
      </c>
      <c r="E427" s="81" t="str">
        <f>'Project Direct Metrics'!$J$124</f>
        <v>&lt;#dbvalue(8_Insulation_OSBL_Data;5;"Labor";)&gt;</v>
      </c>
    </row>
    <row r="429" spans="1:5">
      <c r="A429" t="s">
        <v>155</v>
      </c>
      <c r="B429" t="str">
        <f t="shared" ref="B429:B435" si="69">CONCATENATE("ISBL: ",A429," Labor Cost")</f>
        <v>ISBL: Equipment Paint Labor Cost</v>
      </c>
      <c r="C429" t="str">
        <f t="shared" ref="C429:C435" si="70">CONCATENATE("OSBL: ",A429," Labor Cost")</f>
        <v>OSBL: Equipment Paint Labor Cost</v>
      </c>
      <c r="D429" s="81" t="str">
        <f>'Project Direct Metrics'!$I$128</f>
        <v>&lt;#dbvalue(9_Paint_ISBL_Data;0;"Labor";)&gt;</v>
      </c>
      <c r="E429" s="81" t="str">
        <f>'Project Direct Metrics'!$J$128</f>
        <v>&lt;#dbvalue(9_Paint_OSBL_Data;0;"Labor";)&gt;</v>
      </c>
    </row>
    <row r="430" spans="1:5">
      <c r="A430" t="s">
        <v>156</v>
      </c>
      <c r="B430" t="str">
        <f t="shared" si="69"/>
        <v>ISBL: Pipe Paint Labor Cost</v>
      </c>
      <c r="C430" t="str">
        <f t="shared" si="70"/>
        <v>OSBL: Pipe Paint Labor Cost</v>
      </c>
      <c r="D430" s="81" t="str">
        <f>'Project Direct Metrics'!$I$129</f>
        <v>&lt;#dbvalue(9_Paint_ISBL_Data;1;"Labor";)&gt;</v>
      </c>
      <c r="E430" s="81" t="str">
        <f>'Project Direct Metrics'!$J$129</f>
        <v>&lt;#dbvalue(9_Paint_OSBL_Data;1;"Labor";)&gt;</v>
      </c>
    </row>
    <row r="431" spans="1:5">
      <c r="A431" t="s">
        <v>157</v>
      </c>
      <c r="B431" t="str">
        <f t="shared" si="69"/>
        <v>ISBL: Steel Paint Labor Cost</v>
      </c>
      <c r="C431" t="str">
        <f t="shared" si="70"/>
        <v>OSBL: Steel Paint Labor Cost</v>
      </c>
      <c r="D431" s="81" t="str">
        <f>'Project Direct Metrics'!$I$130</f>
        <v>&lt;#dbvalue(9_Paint_ISBL_Data;2;"Labor";)&gt;</v>
      </c>
      <c r="E431" s="81" t="str">
        <f>'Project Direct Metrics'!$J$130</f>
        <v>&lt;#dbvalue(9_Paint_OSBL_Data;2;"Labor";)&gt;</v>
      </c>
    </row>
    <row r="432" spans="1:5">
      <c r="A432" t="s">
        <v>158</v>
      </c>
      <c r="B432" t="str">
        <f t="shared" si="69"/>
        <v>ISBL: Surface Preparation Labor Cost</v>
      </c>
      <c r="C432" t="str">
        <f t="shared" si="70"/>
        <v>OSBL: Surface Preparation Labor Cost</v>
      </c>
      <c r="D432" s="81" t="str">
        <f>'Project Direct Metrics'!$I$131</f>
        <v>&lt;#dbvalue(9_Paint_ISBL_Data;3;"Labor";)&gt;</v>
      </c>
      <c r="E432" s="81" t="str">
        <f>'Project Direct Metrics'!$J$131</f>
        <v>&lt;#dbvalue(9_Paint_OSBL_Data;3;"Labor";)&gt;</v>
      </c>
    </row>
    <row r="433" spans="1:5">
      <c r="A433" t="s">
        <v>159</v>
      </c>
      <c r="B433" t="str">
        <f t="shared" si="69"/>
        <v>ISBL: Module Paint Labor Cost</v>
      </c>
      <c r="C433" t="str">
        <f t="shared" si="70"/>
        <v>OSBL: Module Paint Labor Cost</v>
      </c>
      <c r="D433" s="81" t="str">
        <f>'Project Direct Metrics'!$I$132</f>
        <v>&lt;#dbvalue(9_Paint_ISBL_Data;4;"Labor";)&gt;</v>
      </c>
      <c r="E433" s="81" t="str">
        <f>'Project Direct Metrics'!$J$132</f>
        <v>&lt;#dbvalue(9_Paint_OSBL_Data;4;"Labor";)&gt;</v>
      </c>
    </row>
    <row r="434" spans="1:5">
      <c r="A434" t="s">
        <v>160</v>
      </c>
      <c r="B434" t="str">
        <f t="shared" si="69"/>
        <v>ISBL: Other Paint Labor Cost</v>
      </c>
      <c r="C434" t="str">
        <f t="shared" si="70"/>
        <v>OSBL: Other Paint Labor Cost</v>
      </c>
      <c r="D434" s="81" t="str">
        <f>'Project Direct Metrics'!$I$133</f>
        <v>&lt;#dbvalue(9_Paint_ISBL_Data;5;"Labor";)&gt;</v>
      </c>
      <c r="E434" s="81" t="str">
        <f>'Project Direct Metrics'!$J$133</f>
        <v>&lt;#dbvalue(9_Paint_OSBL_Data;5;"Labor";)&gt;</v>
      </c>
    </row>
    <row r="435" spans="1:5">
      <c r="A435" t="s">
        <v>161</v>
      </c>
      <c r="B435" t="str">
        <f t="shared" si="69"/>
        <v>ISBL: Paint Demolition Labor Cost</v>
      </c>
      <c r="C435" t="str">
        <f t="shared" si="70"/>
        <v>OSBL: Paint Demolition Labor Cost</v>
      </c>
      <c r="D435" s="81" t="str">
        <f>'Project Direct Metrics'!$I$134</f>
        <v>&lt;#dbvalue(9_Paint_ISBL_Data;6;"Labor";)&gt;</v>
      </c>
      <c r="E435" s="81" t="str">
        <f>'Project Direct Metrics'!$J$134</f>
        <v>&lt;#dbvalue(9_Paint_OSBL_Data;6;"Labor";)&gt;</v>
      </c>
    </row>
    <row r="437" spans="1:5">
      <c r="A437" t="s">
        <v>236</v>
      </c>
      <c r="B437" t="str">
        <f>CONCATENATE("Indirects: ",A437," MHrs")</f>
        <v>Indirects: Fringe Benefits MHrs</v>
      </c>
      <c r="C437" t="str">
        <f>CONCATENATE("Indirects: ",A437," Cost")</f>
        <v>Indirects: Fringe Benefits Cost</v>
      </c>
      <c r="D437" s="81" t="s">
        <v>2202</v>
      </c>
      <c r="E437" s="81" t="s">
        <v>2216</v>
      </c>
    </row>
    <row r="438" spans="1:5">
      <c r="A438" t="s">
        <v>237</v>
      </c>
      <c r="B438" t="str">
        <f t="shared" ref="B438:B478" si="71">CONCATENATE("Indirects: ",A438," MHrs")</f>
        <v>Indirects: Burdens MHrs</v>
      </c>
      <c r="C438" t="str">
        <f t="shared" ref="C438:C478" si="72">CONCATENATE("Indirects: ",A438," Cost")</f>
        <v>Indirects: Burdens Cost</v>
      </c>
      <c r="D438" s="81" t="s">
        <v>2203</v>
      </c>
      <c r="E438" s="81" t="s">
        <v>2217</v>
      </c>
    </row>
    <row r="439" spans="1:5">
      <c r="A439" t="s">
        <v>238</v>
      </c>
      <c r="B439" t="str">
        <f t="shared" si="71"/>
        <v>Indirects: Consumables, Small Tools MHrs</v>
      </c>
      <c r="C439" t="str">
        <f t="shared" si="72"/>
        <v>Indirects: Consumables, Small Tools Cost</v>
      </c>
      <c r="D439" s="81" t="s">
        <v>2204</v>
      </c>
      <c r="E439" s="81" t="s">
        <v>2218</v>
      </c>
    </row>
    <row r="440" spans="1:5">
      <c r="A440" t="s">
        <v>1127</v>
      </c>
      <c r="B440" t="str">
        <f t="shared" si="71"/>
        <v>Indirects: Miscellaneous, Insurance, Etc. MHrs</v>
      </c>
      <c r="C440" t="str">
        <f t="shared" si="72"/>
        <v>Indirects: Miscellaneous, Insurance, Etc. Cost</v>
      </c>
      <c r="D440" s="81" t="s">
        <v>2205</v>
      </c>
      <c r="E440" s="81" t="s">
        <v>2219</v>
      </c>
    </row>
    <row r="441" spans="1:5">
      <c r="A441" t="s">
        <v>239</v>
      </c>
      <c r="B441" t="str">
        <f t="shared" si="71"/>
        <v>Indirects: Scaffolding MHrs</v>
      </c>
      <c r="C441" t="str">
        <f t="shared" si="72"/>
        <v>Indirects: Scaffolding Cost</v>
      </c>
      <c r="D441" s="81" t="s">
        <v>2206</v>
      </c>
      <c r="E441" s="81" t="s">
        <v>2220</v>
      </c>
    </row>
    <row r="442" spans="1:5">
      <c r="A442" t="s">
        <v>240</v>
      </c>
      <c r="B442" t="str">
        <f t="shared" si="71"/>
        <v>Indirects: Equipment Rental MHrs</v>
      </c>
      <c r="C442" t="str">
        <f t="shared" si="72"/>
        <v>Indirects: Equipment Rental Cost</v>
      </c>
      <c r="D442" s="81" t="s">
        <v>2207</v>
      </c>
      <c r="E442" s="81" t="s">
        <v>2221</v>
      </c>
    </row>
    <row r="443" spans="1:5">
      <c r="A443" t="s">
        <v>243</v>
      </c>
      <c r="B443" t="str">
        <f t="shared" si="71"/>
        <v>Indirects: Vendor Reps MHrs</v>
      </c>
      <c r="C443" t="str">
        <f t="shared" si="72"/>
        <v>Indirects: Vendor Reps Cost</v>
      </c>
      <c r="D443" s="81" t="s">
        <v>2208</v>
      </c>
      <c r="E443" s="81" t="s">
        <v>2222</v>
      </c>
    </row>
    <row r="444" spans="1:5">
      <c r="A444" t="s">
        <v>241</v>
      </c>
      <c r="B444" t="str">
        <f t="shared" si="71"/>
        <v>Indirects: Field Services MHrs</v>
      </c>
      <c r="C444" t="str">
        <f t="shared" si="72"/>
        <v>Indirects: Field Services Cost</v>
      </c>
      <c r="D444" s="81" t="s">
        <v>2209</v>
      </c>
      <c r="E444" s="81" t="s">
        <v>2223</v>
      </c>
    </row>
    <row r="445" spans="1:5">
      <c r="A445" t="s">
        <v>242</v>
      </c>
      <c r="B445" t="str">
        <f t="shared" si="71"/>
        <v>Indirects: Temp Const, Utilities MHrs</v>
      </c>
      <c r="C445" t="str">
        <f t="shared" si="72"/>
        <v>Indirects: Temp Const, Utilities Cost</v>
      </c>
      <c r="D445" s="81" t="s">
        <v>2210</v>
      </c>
      <c r="E445" s="81" t="s">
        <v>2224</v>
      </c>
    </row>
    <row r="446" spans="1:5">
      <c r="A446" t="s">
        <v>1128</v>
      </c>
      <c r="B446" t="str">
        <f t="shared" si="71"/>
        <v>Indirects: Mobilization/Demobilization MHrs</v>
      </c>
      <c r="C446" t="str">
        <f t="shared" si="72"/>
        <v>Indirects: Mobilization/Demobilization Cost</v>
      </c>
      <c r="D446" s="81" t="s">
        <v>2211</v>
      </c>
      <c r="E446" s="81" t="s">
        <v>2225</v>
      </c>
    </row>
    <row r="447" spans="1:5">
      <c r="A447" t="s">
        <v>1129</v>
      </c>
      <c r="B447" t="str">
        <f t="shared" si="71"/>
        <v>Indirects: Camp, Catering MHrs</v>
      </c>
      <c r="C447" t="str">
        <f t="shared" si="72"/>
        <v>Indirects: Camp, Catering Cost</v>
      </c>
      <c r="D447" s="81" t="s">
        <v>2212</v>
      </c>
      <c r="E447" s="81" t="s">
        <v>2226</v>
      </c>
    </row>
    <row r="448" spans="1:5">
      <c r="A448" t="s">
        <v>244</v>
      </c>
      <c r="B448" t="str">
        <f t="shared" si="71"/>
        <v>Indirects: Travel MHrs</v>
      </c>
      <c r="C448" t="str">
        <f t="shared" si="72"/>
        <v>Indirects: Travel Cost</v>
      </c>
      <c r="D448" s="81" t="s">
        <v>2213</v>
      </c>
      <c r="E448" s="81" t="s">
        <v>2227</v>
      </c>
    </row>
    <row r="449" spans="1:5">
      <c r="A449" t="s">
        <v>245</v>
      </c>
      <c r="B449" t="str">
        <f t="shared" si="71"/>
        <v>Indirects: Overtime Premium MHrs</v>
      </c>
      <c r="C449" t="str">
        <f t="shared" si="72"/>
        <v>Indirects: Overtime Premium Cost</v>
      </c>
      <c r="D449" s="81" t="s">
        <v>2214</v>
      </c>
      <c r="E449" s="81" t="s">
        <v>2228</v>
      </c>
    </row>
    <row r="450" spans="1:5">
      <c r="A450" s="90" t="s">
        <v>1130</v>
      </c>
      <c r="B450" s="90" t="str">
        <f t="shared" si="71"/>
        <v>Indirects: Lump Sum Construction Indirect MHrs</v>
      </c>
      <c r="C450" s="90" t="str">
        <f t="shared" si="72"/>
        <v>Indirects: Lump Sum Construction Indirect Cost</v>
      </c>
      <c r="D450" s="91" t="s">
        <v>2215</v>
      </c>
      <c r="E450" s="91" t="s">
        <v>2229</v>
      </c>
    </row>
    <row r="451" spans="1:5">
      <c r="A451" t="s">
        <v>247</v>
      </c>
      <c r="B451" t="str">
        <f t="shared" si="71"/>
        <v>Indirects: Field Const Supv MHrs</v>
      </c>
      <c r="C451" t="str">
        <f t="shared" si="72"/>
        <v>Indirects: Field Const Supv Cost</v>
      </c>
      <c r="D451" s="81" t="str">
        <f>'Project Indirect Metrics'!$B$8</f>
        <v>&lt;#dbvalue(0_FieldOfficeIndirects;0;"MH";)&gt;</v>
      </c>
      <c r="E451" s="81" t="str">
        <f>'Project Indirect Metrics'!$C$8</f>
        <v>&lt;#dbvalue(0_FieldOfficeIndirects;0;"Cost";)&gt;</v>
      </c>
    </row>
    <row r="452" spans="1:5">
      <c r="A452" s="90" t="s">
        <v>248</v>
      </c>
      <c r="B452" s="90" t="str">
        <f t="shared" si="71"/>
        <v>Indirects: Start-up, Commissioning MHrs</v>
      </c>
      <c r="C452" s="90" t="str">
        <f t="shared" si="72"/>
        <v>Indirects: Start-up, Commissioning Cost</v>
      </c>
      <c r="D452" s="91" t="str">
        <f>'Project Indirect Metrics'!$B$9</f>
        <v>&lt;#dbvalue(0_FieldOfficeIndirects;1;"MH";)&gt;</v>
      </c>
      <c r="E452" s="91" t="str">
        <f>'Project Indirect Metrics'!$C$9</f>
        <v>&lt;#dbvalue(0_FieldOfficeIndirects;1;"Cost";)&gt;</v>
      </c>
    </row>
    <row r="453" spans="1:5">
      <c r="A453" t="s">
        <v>250</v>
      </c>
      <c r="B453" t="str">
        <f t="shared" si="71"/>
        <v>Indirects: Lump Sum Engineering MHrs</v>
      </c>
      <c r="C453" t="str">
        <f t="shared" si="72"/>
        <v>Indirects: Lump Sum Engineering Cost</v>
      </c>
      <c r="D453" s="81" t="str">
        <f>'Project Indirect Metrics'!$B$13</f>
        <v>&lt;#dbvalue(0_EngineeringAndProcurement;0;"MH";)&gt;</v>
      </c>
      <c r="E453" s="81" t="str">
        <f>'Project Indirect Metrics'!$C$13</f>
        <v>&lt;#dbvalue(0_EngineeringAndProcurement;0;"Cost";)&gt;</v>
      </c>
    </row>
    <row r="454" spans="1:5">
      <c r="A454" t="s">
        <v>251</v>
      </c>
      <c r="B454" t="str">
        <f t="shared" si="71"/>
        <v>Indirects: Basic Engineering MHrs</v>
      </c>
      <c r="C454" t="str">
        <f t="shared" si="72"/>
        <v>Indirects: Basic Engineering Cost</v>
      </c>
      <c r="D454" s="81" t="str">
        <f>'Project Indirect Metrics'!$B$14</f>
        <v>&lt;#dbvalue(0_EngineeringAndProcurement;1;"MH";)&gt;</v>
      </c>
      <c r="E454" s="81" t="str">
        <f>'Project Indirect Metrics'!$C$14</f>
        <v>&lt;#dbvalue(0_EngineeringAndProcurement;1;"Cost";)&gt;</v>
      </c>
    </row>
    <row r="455" spans="1:5">
      <c r="A455" t="s">
        <v>252</v>
      </c>
      <c r="B455" t="str">
        <f t="shared" si="71"/>
        <v>Indirects: Detail Engineering MHrs</v>
      </c>
      <c r="C455" t="str">
        <f t="shared" si="72"/>
        <v>Indirects: Detail Engineering Cost</v>
      </c>
      <c r="D455" s="81" t="str">
        <f>'Project Indirect Metrics'!$B$15</f>
        <v>&lt;#dbvalue(0_EngineeringAndProcurement;2;"MH";)&gt;</v>
      </c>
      <c r="E455" s="81" t="str">
        <f>'Project Indirect Metrics'!$C$15</f>
        <v>&lt;#dbvalue(0_EngineeringAndProcurement;2;"Cost";)&gt;</v>
      </c>
    </row>
    <row r="456" spans="1:5">
      <c r="A456" t="s">
        <v>253</v>
      </c>
      <c r="B456" t="str">
        <f t="shared" si="71"/>
        <v>Indirects: Material Procurement MHrs</v>
      </c>
      <c r="C456" t="str">
        <f t="shared" si="72"/>
        <v>Indirects: Material Procurement Cost</v>
      </c>
      <c r="D456" s="81" t="str">
        <f>'Project Indirect Metrics'!$B$16</f>
        <v>&lt;#dbvalue(0_EngineeringAndProcurement;3;"MH";)&gt;</v>
      </c>
      <c r="E456" s="81" t="str">
        <f>'Project Indirect Metrics'!$C$16</f>
        <v>&lt;#dbvalue(0_EngineeringAndProcurement;3;"Cost";)&gt;</v>
      </c>
    </row>
    <row r="457" spans="1:5">
      <c r="A457" t="s">
        <v>254</v>
      </c>
      <c r="B457" t="str">
        <f t="shared" si="71"/>
        <v>Indirects: Subcontract Procurement MHrs</v>
      </c>
      <c r="C457" t="str">
        <f t="shared" si="72"/>
        <v>Indirects: Subcontract Procurement Cost</v>
      </c>
      <c r="D457" s="81" t="str">
        <f>'Project Indirect Metrics'!$B$17</f>
        <v>&lt;#dbvalue(0_EngineeringAndProcurement;4;"MH";)&gt;</v>
      </c>
      <c r="E457" s="81" t="str">
        <f>'Project Indirect Metrics'!$C$17</f>
        <v>&lt;#dbvalue(0_EngineeringAndProcurement;4;"Cost";)&gt;</v>
      </c>
    </row>
    <row r="458" spans="1:5">
      <c r="A458" s="90" t="s">
        <v>255</v>
      </c>
      <c r="B458" s="90" t="str">
        <f t="shared" si="71"/>
        <v>Indirects: Engineering Management MHrs</v>
      </c>
      <c r="C458" s="90" t="str">
        <f t="shared" si="72"/>
        <v>Indirects: Engineering Management Cost</v>
      </c>
      <c r="D458" s="91" t="str">
        <f>'Project Indirect Metrics'!$B$18</f>
        <v>&lt;#dbvalue(0_EngineeringAndProcurement;5;"MH";)&gt;</v>
      </c>
      <c r="E458" s="91" t="str">
        <f>'Project Indirect Metrics'!$C$18</f>
        <v>&lt;#dbvalue(0_EngineeringAndProcurement;5;"Cost";)&gt;</v>
      </c>
    </row>
    <row r="459" spans="1:5">
      <c r="A459" t="s">
        <v>257</v>
      </c>
      <c r="B459" t="str">
        <f t="shared" si="71"/>
        <v>Indirects: Lump Sum Freight MHrs</v>
      </c>
      <c r="C459" t="str">
        <f t="shared" si="72"/>
        <v>Indirects: Lump Sum Freight Cost</v>
      </c>
      <c r="D459" s="81" t="str">
        <f>'Project Indirect Metrics'!$B$22</f>
        <v>&lt;#dbvalue(0_FreightIndirects;0;"MH";)&gt;</v>
      </c>
      <c r="E459" s="81" t="str">
        <f>'Project Indirect Metrics'!$C$22</f>
        <v>&lt;#dbvalue(0_FreightIndirects;0;"Cost";)&gt;</v>
      </c>
    </row>
    <row r="460" spans="1:5">
      <c r="A460" t="s">
        <v>258</v>
      </c>
      <c r="B460" t="str">
        <f t="shared" si="71"/>
        <v>Indirects: Domestic Freight MHrs</v>
      </c>
      <c r="C460" t="str">
        <f t="shared" si="72"/>
        <v>Indirects: Domestic Freight Cost</v>
      </c>
      <c r="D460" s="81" t="str">
        <f>'Project Indirect Metrics'!$B$23</f>
        <v>&lt;#dbvalue(0_FreightIndirects;1;"MH";)&gt;</v>
      </c>
      <c r="E460" s="81" t="str">
        <f>'Project Indirect Metrics'!$C$23</f>
        <v>&lt;#dbvalue(0_FreightIndirects;1;"Cost";)&gt;</v>
      </c>
    </row>
    <row r="461" spans="1:5">
      <c r="A461" t="s">
        <v>259</v>
      </c>
      <c r="B461" t="str">
        <f t="shared" si="71"/>
        <v>Indirects: Ocean Freight MHrs</v>
      </c>
      <c r="C461" t="str">
        <f t="shared" si="72"/>
        <v>Indirects: Ocean Freight Cost</v>
      </c>
      <c r="D461" s="81" t="str">
        <f>'Project Indirect Metrics'!$B$24</f>
        <v>&lt;#dbvalue(0_FreightIndirects;2;"MH";)&gt;</v>
      </c>
      <c r="E461" s="81" t="str">
        <f>'Project Indirect Metrics'!$C$24</f>
        <v>&lt;#dbvalue(0_FreightIndirects;2;"Cost";)&gt;</v>
      </c>
    </row>
    <row r="462" spans="1:5">
      <c r="A462" t="s">
        <v>260</v>
      </c>
      <c r="B462" t="str">
        <f t="shared" si="71"/>
        <v>Indirects: Air Freight MHrs</v>
      </c>
      <c r="C462" t="str">
        <f t="shared" si="72"/>
        <v>Indirects: Air Freight Cost</v>
      </c>
      <c r="D462" s="81" t="str">
        <f>'Project Indirect Metrics'!$B$25</f>
        <v>&lt;#dbvalue(0_FreightIndirects;3;"MH";)&gt;</v>
      </c>
      <c r="E462" s="81" t="str">
        <f>'Project Indirect Metrics'!$C$25</f>
        <v>&lt;#dbvalue(0_FreightIndirects;3;"Cost";)&gt;</v>
      </c>
    </row>
    <row r="463" spans="1:5">
      <c r="A463" t="s">
        <v>261</v>
      </c>
      <c r="B463" t="str">
        <f t="shared" si="71"/>
        <v>Indirects: Module Freight MHrs</v>
      </c>
      <c r="C463" t="str">
        <f t="shared" si="72"/>
        <v>Indirects: Module Freight Cost</v>
      </c>
      <c r="D463" s="81" t="str">
        <f>'Project Indirect Metrics'!$B$26</f>
        <v>&lt;#dbvalue(0_FreightIndirects;4;"MH";)&gt;</v>
      </c>
      <c r="E463" s="81" t="str">
        <f>'Project Indirect Metrics'!$C$26</f>
        <v>&lt;#dbvalue(0_FreightIndirects;4;"Cost";)&gt;</v>
      </c>
    </row>
    <row r="464" spans="1:5">
      <c r="A464" s="90" t="s">
        <v>262</v>
      </c>
      <c r="B464" s="90" t="str">
        <f t="shared" si="71"/>
        <v>Indirects: Other Freight MHrs</v>
      </c>
      <c r="C464" s="90" t="str">
        <f t="shared" si="72"/>
        <v>Indirects: Other Freight Cost</v>
      </c>
      <c r="D464" s="91" t="str">
        <f>'Project Indirect Metrics'!$B$27</f>
        <v>&lt;#dbvalue(0_FreightIndirects;5;"MH";)&gt;</v>
      </c>
      <c r="E464" s="91" t="str">
        <f>'Project Indirect Metrics'!$C$27</f>
        <v>&lt;#dbvalue(0_FreightIndirects;5;"Cost";)&gt;</v>
      </c>
    </row>
    <row r="465" spans="1:5">
      <c r="A465" t="s">
        <v>264</v>
      </c>
      <c r="B465" t="str">
        <f t="shared" si="71"/>
        <v>Indirects: Lump Sum Taxes, Permits MHrs</v>
      </c>
      <c r="C465" t="str">
        <f t="shared" si="72"/>
        <v>Indirects: Lump Sum Taxes, Permits Cost</v>
      </c>
      <c r="D465" s="81" t="str">
        <f>'Project Indirect Metrics'!$B$31</f>
        <v>&lt;#dbvalue(0_TaxesAndPermits;0;"MH";)&gt;</v>
      </c>
      <c r="E465" s="81" t="str">
        <f>'Project Indirect Metrics'!$C$31</f>
        <v>&lt;#dbvalue(0_TaxesAndPermits;0;"Cost";)&gt;</v>
      </c>
    </row>
    <row r="466" spans="1:5">
      <c r="A466" t="s">
        <v>265</v>
      </c>
      <c r="B466" t="str">
        <f t="shared" si="71"/>
        <v>Indirects: Permits MHrs</v>
      </c>
      <c r="C466" t="str">
        <f t="shared" si="72"/>
        <v>Indirects: Permits Cost</v>
      </c>
      <c r="D466" s="81" t="str">
        <f>'Project Indirect Metrics'!$B$32</f>
        <v>&lt;#dbvalue(0_TaxesAndPermits;1;"MH";)&gt;</v>
      </c>
      <c r="E466" s="81" t="str">
        <f>'Project Indirect Metrics'!$C$32</f>
        <v>&lt;#dbvalue(0_TaxesAndPermits;1;"Cost";)&gt;</v>
      </c>
    </row>
    <row r="467" spans="1:5">
      <c r="A467" t="s">
        <v>266</v>
      </c>
      <c r="B467" t="str">
        <f t="shared" si="71"/>
        <v>Indirects: Materials Taxes MHrs</v>
      </c>
      <c r="C467" t="str">
        <f t="shared" si="72"/>
        <v>Indirects: Materials Taxes Cost</v>
      </c>
      <c r="D467" s="81" t="str">
        <f>'Project Indirect Metrics'!$B$33</f>
        <v>&lt;#dbvalue(0_TaxesAndPermits;2;"MH";)&gt;</v>
      </c>
      <c r="E467" s="81" t="str">
        <f>'Project Indirect Metrics'!$C$33</f>
        <v>&lt;#dbvalue(0_TaxesAndPermits;2;"Cost";)&gt;</v>
      </c>
    </row>
    <row r="468" spans="1:5">
      <c r="A468" t="s">
        <v>267</v>
      </c>
      <c r="B468" t="str">
        <f t="shared" si="71"/>
        <v>Indirects: Construction Taxes MHrs</v>
      </c>
      <c r="C468" t="str">
        <f t="shared" si="72"/>
        <v>Indirects: Construction Taxes Cost</v>
      </c>
      <c r="D468" s="81" t="str">
        <f>'Project Indirect Metrics'!$B$34</f>
        <v>&lt;#dbvalue(0_TaxesAndPermits;3;"MH";)&gt;</v>
      </c>
      <c r="E468" s="81" t="str">
        <f>'Project Indirect Metrics'!$C$34</f>
        <v>&lt;#dbvalue(0_TaxesAndPermits;3;"Cost";)&gt;</v>
      </c>
    </row>
    <row r="469" spans="1:5">
      <c r="A469" t="s">
        <v>268</v>
      </c>
      <c r="B469" t="str">
        <f t="shared" si="71"/>
        <v>Indirects: Engineering Taxes MHrs</v>
      </c>
      <c r="C469" t="str">
        <f t="shared" si="72"/>
        <v>Indirects: Engineering Taxes Cost</v>
      </c>
      <c r="D469" s="81" t="str">
        <f>'Project Indirect Metrics'!$B$35</f>
        <v>&lt;#dbvalue(0_TaxesAndPermits;4;"MH";)&gt;</v>
      </c>
      <c r="E469" s="81" t="str">
        <f>'Project Indirect Metrics'!$C$35</f>
        <v>&lt;#dbvalue(0_TaxesAndPermits;4;"Cost";)&gt;</v>
      </c>
    </row>
    <row r="470" spans="1:5">
      <c r="A470" s="90" t="s">
        <v>269</v>
      </c>
      <c r="B470" s="90" t="str">
        <f t="shared" si="71"/>
        <v>Indirects: Other Taxes MHrs</v>
      </c>
      <c r="C470" s="90" t="str">
        <f t="shared" si="72"/>
        <v>Indirects: Other Taxes Cost</v>
      </c>
      <c r="D470" s="91" t="str">
        <f>'Project Indirect Metrics'!$B$36</f>
        <v>&lt;#dbvalue(0_TaxesAndPermits;5;"MH";)&gt;</v>
      </c>
      <c r="E470" s="91" t="str">
        <f>'Project Indirect Metrics'!$C$36</f>
        <v>&lt;#dbvalue(0_TaxesAndPermits;5;"Cost";)&gt;</v>
      </c>
    </row>
    <row r="471" spans="1:5">
      <c r="A471" t="s">
        <v>271</v>
      </c>
      <c r="B471" t="str">
        <f t="shared" si="71"/>
        <v>Indirects: Lump Sum Const Mgmt MHrs</v>
      </c>
      <c r="C471" t="str">
        <f t="shared" si="72"/>
        <v>Indirects: Lump Sum Const Mgmt Cost</v>
      </c>
      <c r="D471" s="81" t="str">
        <f>'Project Indirect Metrics'!$B$40</f>
        <v>&lt;#dbvalue(0_OtherIndirects;0;"MH";)&gt;</v>
      </c>
      <c r="E471" s="81" t="str">
        <f>'Project Indirect Metrics'!$C$40</f>
        <v>&lt;#dbvalue(0_OtherIndirects;0;"Cost";)&gt;</v>
      </c>
    </row>
    <row r="472" spans="1:5">
      <c r="A472" t="s">
        <v>272</v>
      </c>
      <c r="B472" t="str">
        <f t="shared" si="71"/>
        <v>Indirects: Home Office Const Supp MHrs</v>
      </c>
      <c r="C472" t="str">
        <f t="shared" si="72"/>
        <v>Indirects: Home Office Const Supp Cost</v>
      </c>
      <c r="D472" s="81" t="str">
        <f>'Project Indirect Metrics'!$B$41</f>
        <v>&lt;#dbvalue(0_OtherIndirects;1;"MH";)&gt;</v>
      </c>
      <c r="E472" s="81" t="str">
        <f>'Project Indirect Metrics'!$C$41</f>
        <v>&lt;#dbvalue(0_OtherIndirects;1;"Cost";)&gt;</v>
      </c>
    </row>
    <row r="473" spans="1:5">
      <c r="A473" t="s">
        <v>273</v>
      </c>
      <c r="B473" t="str">
        <f t="shared" si="71"/>
        <v>Indirects: Construction Management MHrs</v>
      </c>
      <c r="C473" t="str">
        <f t="shared" si="72"/>
        <v>Indirects: Construction Management Cost</v>
      </c>
      <c r="D473" s="81" t="str">
        <f>'Project Indirect Metrics'!$B$42</f>
        <v>&lt;#dbvalue(0_OtherIndirects;2;"MH";)&gt;</v>
      </c>
      <c r="E473" s="81" t="str">
        <f>'Project Indirect Metrics'!$C$42</f>
        <v>&lt;#dbvalue(0_OtherIndirects;2;"Cost";)&gt;</v>
      </c>
    </row>
    <row r="474" spans="1:5">
      <c r="A474" t="s">
        <v>274</v>
      </c>
      <c r="B474" t="str">
        <f t="shared" si="71"/>
        <v>Indirects: G and A Overheads MHrs</v>
      </c>
      <c r="C474" t="str">
        <f t="shared" si="72"/>
        <v>Indirects: G and A Overheads Cost</v>
      </c>
      <c r="D474" s="81" t="str">
        <f>'Project Indirect Metrics'!$B$43</f>
        <v>&lt;#dbvalue(0_OtherIndirects;3;"MH";)&gt;</v>
      </c>
      <c r="E474" s="81" t="str">
        <f>'Project Indirect Metrics'!$C$43</f>
        <v>&lt;#dbvalue(0_OtherIndirects;3;"Cost";)&gt;</v>
      </c>
    </row>
    <row r="475" spans="1:5">
      <c r="A475" t="s">
        <v>275</v>
      </c>
      <c r="B475" t="str">
        <f t="shared" si="71"/>
        <v>Indirects: Contract Fee MHrs</v>
      </c>
      <c r="C475" t="str">
        <f t="shared" si="72"/>
        <v>Indirects: Contract Fee Cost</v>
      </c>
      <c r="D475" s="81" t="str">
        <f>'Project Indirect Metrics'!$B$44</f>
        <v>&lt;#dbvalue(0_OtherIndirects;4;"MH";)&gt;</v>
      </c>
      <c r="E475" s="81" t="str">
        <f>'Project Indirect Metrics'!$C$44</f>
        <v>&lt;#dbvalue(0_OtherIndirects;4;"Cost";)&gt;</v>
      </c>
    </row>
    <row r="476" spans="1:5">
      <c r="A476" s="90" t="s">
        <v>276</v>
      </c>
      <c r="B476" s="90" t="str">
        <f t="shared" si="71"/>
        <v>Indirects: Royalty, Misc Charges MHrs</v>
      </c>
      <c r="C476" s="90" t="str">
        <f t="shared" si="72"/>
        <v>Indirects: Royalty, Misc Charges Cost</v>
      </c>
      <c r="D476" s="91" t="str">
        <f>'Project Indirect Metrics'!$B$45</f>
        <v>&lt;#dbvalue(0_OtherIndirects;5;"MH";)&gt;</v>
      </c>
      <c r="E476" s="91" t="str">
        <f>'Project Indirect Metrics'!$C$45</f>
        <v>&lt;#dbvalue(0_OtherIndirects;5;"Cost";)&gt;</v>
      </c>
    </row>
    <row r="477" spans="1:5">
      <c r="A477" t="s">
        <v>278</v>
      </c>
      <c r="B477" t="str">
        <f t="shared" si="71"/>
        <v>Indirects: Escalation MHrs</v>
      </c>
      <c r="C477" t="str">
        <f t="shared" si="72"/>
        <v>Indirects: Escalation Cost</v>
      </c>
      <c r="D477" s="81" t="str">
        <f>'Project Indirect Metrics'!$B$49</f>
        <v>&lt;#dbvalue(0_EscalationAndContingency;0;"MH";)&gt;</v>
      </c>
      <c r="E477" s="81" t="str">
        <f>'Project Indirect Metrics'!$C$49</f>
        <v>&lt;#dbvalue(0_EscalationAndContingency;0;"Cost";)&gt;</v>
      </c>
    </row>
    <row r="478" spans="1:5">
      <c r="A478" t="s">
        <v>279</v>
      </c>
      <c r="B478" t="str">
        <f t="shared" si="71"/>
        <v>Indirects: Contingency MHrs</v>
      </c>
      <c r="C478" t="str">
        <f t="shared" si="72"/>
        <v>Indirects: Contingency Cost</v>
      </c>
      <c r="D478" s="81" t="str">
        <f>'Project Indirect Metrics'!$B$50</f>
        <v>&lt;#dbvalue(0_EscalationAndContingency;1;"MH";)&gt;</v>
      </c>
      <c r="E478" s="81" t="str">
        <f>'Project Indirect Metrics'!$C$50</f>
        <v>&lt;#dbvalue(0_EscalationAndContingency;1;"Cost";)&gt;</v>
      </c>
    </row>
    <row r="480" spans="1:5">
      <c r="A480" t="s">
        <v>1215</v>
      </c>
      <c r="B480" t="str">
        <f>CONCATENATE("UoM: ",A480)</f>
        <v>UoM: Equipment Count</v>
      </c>
      <c r="C480" t="str">
        <f>UOMEquipQty</f>
        <v>&lt;#dbvalue(EQP_units;0;"KEYUNITS";)&gt;</v>
      </c>
    </row>
    <row r="481" spans="1:3">
      <c r="A481" t="s">
        <v>1216</v>
      </c>
      <c r="B481" t="str">
        <f t="shared" ref="B481:B493" si="73">CONCATENATE("UoM: ",A481)</f>
        <v>UoM: Pipe Length</v>
      </c>
      <c r="C481" t="str">
        <f>UOMPipeQty</f>
        <v>&lt;#dbvalue(PIP_units;0;"KEYUNITS";)&gt;</v>
      </c>
    </row>
    <row r="482" spans="1:3">
      <c r="A482" t="s">
        <v>129</v>
      </c>
      <c r="B482" t="str">
        <f t="shared" si="73"/>
        <v>UoM: Earthwork</v>
      </c>
      <c r="C482" t="str">
        <f>UOMCivilEarthworkQty</f>
        <v>&lt;#IF(OR(NOT(ISBLANK($B61)), NOT(ISBLANK($C61)));&lt;#dbvalue(4_Civil_ISBL_Data;0;"KEYUNITS";)&gt;;)&gt;</v>
      </c>
    </row>
    <row r="483" spans="1:3">
      <c r="A483" t="s">
        <v>134</v>
      </c>
      <c r="B483" t="str">
        <f t="shared" si="73"/>
        <v>UoM: Roads, Railroads</v>
      </c>
      <c r="C483" t="str">
        <f>UOMCivilRoadRRQty</f>
        <v>&lt;#IF(OR(NOT(ISBLANK($B62)), NOT(ISBLANK($C62)));&lt;#dbvalue(4_Civil_ISBL_Data;1;"KEYUNITS";)&gt;;)&gt;</v>
      </c>
    </row>
    <row r="484" spans="1:3">
      <c r="A484" t="s">
        <v>132</v>
      </c>
      <c r="B484" t="str">
        <f t="shared" si="73"/>
        <v>UoM: Paving</v>
      </c>
      <c r="C484" t="str">
        <f>UOMCivilPavingQty</f>
        <v>&lt;#IF(OR(NOT(ISBLANK($B64)), NOT(ISBLANK($C64)));&lt;#dbvalue(4_Civil_ISBL_Data;3;"KEYUNITS";)&gt;;)&gt;</v>
      </c>
    </row>
    <row r="485" spans="1:3">
      <c r="A485" t="s">
        <v>1217</v>
      </c>
      <c r="B485" t="str">
        <f t="shared" si="73"/>
        <v>UoM: Concrete, Grout</v>
      </c>
      <c r="C485" t="str">
        <f>UOMConcreteGroutQty</f>
        <v>&lt;#IF(OR(NOT(ISBLANK($B65)), NOT(ISBLANK($C65)));&lt;#dbvalue(4_Civil_ISBL_Data;4;"KEYUNITS";)&gt;;)&gt;</v>
      </c>
    </row>
    <row r="486" spans="1:3">
      <c r="A486" t="s">
        <v>1218</v>
      </c>
      <c r="B486" t="str">
        <f t="shared" si="73"/>
        <v>UoM: Steel, Rebar</v>
      </c>
      <c r="C486" t="str">
        <f>UOMSteelQty</f>
        <v>&lt;#dbvalue(STL_units;0;"KEYUNITS";)&gt;</v>
      </c>
    </row>
    <row r="487" spans="1:3">
      <c r="A487" t="s">
        <v>1219</v>
      </c>
      <c r="B487" t="str">
        <f t="shared" si="73"/>
        <v>UoM: Electrical Wire Length</v>
      </c>
      <c r="C487" t="str">
        <f>UOMElectricalWireLength</f>
        <v>&lt;#dbvalue(ELC_units;0;"KEYUNITS";)&gt;</v>
      </c>
    </row>
    <row r="488" spans="1:3">
      <c r="A488" t="s">
        <v>1220</v>
      </c>
      <c r="B488" t="str">
        <f t="shared" si="73"/>
        <v>UoM: Instrumentation Wire Length</v>
      </c>
      <c r="C488" t="str">
        <f>UOMInstrumentRunLength</f>
        <v>&lt;#dbvalue(INS_units;0;"KEYUNITS";)&gt;</v>
      </c>
    </row>
    <row r="489" spans="1:3">
      <c r="A489" t="s">
        <v>148</v>
      </c>
      <c r="B489" t="str">
        <f t="shared" si="73"/>
        <v>UoM: Equipment Insulation</v>
      </c>
      <c r="C489" t="str">
        <f>UOMEquipInsulationQty</f>
        <v>&lt;#dbvalue(8_Insulation_ISBL_Data;0;"KEYUNITS";)&gt;</v>
      </c>
    </row>
    <row r="490" spans="1:3">
      <c r="A490" t="s">
        <v>149</v>
      </c>
      <c r="B490" t="str">
        <f t="shared" si="73"/>
        <v>UoM: Pipe Insulation</v>
      </c>
      <c r="C490" t="str">
        <f>UOMPipeInsulationQty</f>
        <v>&lt;#dbvalue(8_Insulation_ISBL_Data;1;"KEYUNITS";)&gt;</v>
      </c>
    </row>
    <row r="491" spans="1:3">
      <c r="A491" t="s">
        <v>150</v>
      </c>
      <c r="B491" t="str">
        <f t="shared" si="73"/>
        <v>UoM: Equipment Fireproofing</v>
      </c>
      <c r="C491" t="str">
        <f>UOMEquipFireproofingQty</f>
        <v>&lt;#dbvalue(8_Insulation_ISBL_Data;2;"KEYUNITS";)&gt;</v>
      </c>
    </row>
    <row r="492" spans="1:3">
      <c r="A492" t="s">
        <v>151</v>
      </c>
      <c r="B492" t="str">
        <f t="shared" si="73"/>
        <v>UoM: Steel Fireproofing</v>
      </c>
      <c r="C492" t="str">
        <f>UOMSteelFireproofingQty</f>
        <v>&lt;#dbvalue(8_Insulation_ISBL_Data;3;"KEYUNITS";)&gt;</v>
      </c>
    </row>
    <row r="493" spans="1:3">
      <c r="A493" t="s">
        <v>1221</v>
      </c>
      <c r="B493" t="str">
        <f t="shared" si="73"/>
        <v>UoM: Paint Area</v>
      </c>
      <c r="C493" t="str">
        <f>UOMPaintArea</f>
        <v>&lt;#dbvalue(PNT_units;0;"KEYUNITS";)&gt;</v>
      </c>
    </row>
  </sheetData>
  <phoneticPr fontId="2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0142F85352E499CF0C90A06BB6EFA" ma:contentTypeVersion="13" ma:contentTypeDescription="Create a new document." ma:contentTypeScope="" ma:versionID="7b6a0f9095e3d26ca34f5827e35917cc">
  <xsd:schema xmlns:xsd="http://www.w3.org/2001/XMLSchema" xmlns:xs="http://www.w3.org/2001/XMLSchema" xmlns:p="http://schemas.microsoft.com/office/2006/metadata/properties" xmlns:ns3="54dfbc65-a2e9-45cb-b9a9-b21690c32fd2" xmlns:ns4="45402909-3c98-46da-9c01-a8463d27eb56" targetNamespace="http://schemas.microsoft.com/office/2006/metadata/properties" ma:root="true" ma:fieldsID="bbcbc04424fe95bb45a8b74d5551c8a6" ns3:_="" ns4:_="">
    <xsd:import namespace="54dfbc65-a2e9-45cb-b9a9-b21690c32fd2"/>
    <xsd:import namespace="45402909-3c98-46da-9c01-a8463d27eb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fbc65-a2e9-45cb-b9a9-b21690c32fd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02909-3c98-46da-9c01-a8463d27e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A110B3-C871-4ADC-98F7-806E71B01C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5402909-3c98-46da-9c01-a8463d27eb56"/>
    <ds:schemaRef ds:uri="54dfbc65-a2e9-45cb-b9a9-b21690c32fd2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C04BE2C-6A62-410D-910C-C141D3544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fbc65-a2e9-45cb-b9a9-b21690c32fd2"/>
    <ds:schemaRef ds:uri="45402909-3c98-46da-9c01-a8463d27e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D8BB6A-4277-4769-BB48-0F6EAC4F0C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68</vt:i4>
      </vt:variant>
    </vt:vector>
  </HeadingPairs>
  <TitlesOfParts>
    <vt:vector size="75" baseType="lpstr">
      <vt:lpstr>WorkflowUpload_DO_NOT_EDIT</vt:lpstr>
      <vt:lpstr>Project Information</vt:lpstr>
      <vt:lpstr>Project Direct Metrics</vt:lpstr>
      <vt:lpstr>Project Indirect Metrics</vt:lpstr>
      <vt:lpstr>&lt;#Config&gt;</vt:lpstr>
      <vt:lpstr>DropdownLists</vt:lpstr>
      <vt:lpstr>Formulas_DO_NOT_EDIT</vt:lpstr>
      <vt:lpstr>__TBL_0_ConstructionIndirects__X</vt:lpstr>
      <vt:lpstr>_TBL_0_ProjectInfo_FIXED</vt:lpstr>
      <vt:lpstr>ASCEOccupancyRiskCategory</vt:lpstr>
      <vt:lpstr>BaseUOM</vt:lpstr>
      <vt:lpstr>CivilDesignCode</vt:lpstr>
      <vt:lpstr>ConstructionType</vt:lpstr>
      <vt:lpstr>CostBasis</vt:lpstr>
      <vt:lpstr>CountryBase</vt:lpstr>
      <vt:lpstr>CurrencyName</vt:lpstr>
      <vt:lpstr>CurrencySymbol</vt:lpstr>
      <vt:lpstr>ElectricalClassDivZone</vt:lpstr>
      <vt:lpstr>ElectricalDistributionSys</vt:lpstr>
      <vt:lpstr>EstimateClass</vt:lpstr>
      <vt:lpstr>EstimateOrActuals</vt:lpstr>
      <vt:lpstr>InstrumentationSystem</vt:lpstr>
      <vt:lpstr>ListBaseUoM</vt:lpstr>
      <vt:lpstr>ListCivilDesignCode</vt:lpstr>
      <vt:lpstr>ListConstructionType</vt:lpstr>
      <vt:lpstr>ListCountryBase</vt:lpstr>
      <vt:lpstr>ListElectricalClassDivZone</vt:lpstr>
      <vt:lpstr>ListElectricalDistributionSys</vt:lpstr>
      <vt:lpstr>ListEstimateOrActuals</vt:lpstr>
      <vt:lpstr>ListInstrumentationSystem</vt:lpstr>
      <vt:lpstr>ListOccupancyRiskCategory</vt:lpstr>
      <vt:lpstr>ListPIDDesignLevel</vt:lpstr>
      <vt:lpstr>ListPipeFlangeRatingStd</vt:lpstr>
      <vt:lpstr>ListPipeWallThkStd</vt:lpstr>
      <vt:lpstr>ListPowerSupplyFreq</vt:lpstr>
      <vt:lpstr>ListProcessDescription</vt:lpstr>
      <vt:lpstr>ListProjectType</vt:lpstr>
      <vt:lpstr>ListSoilType</vt:lpstr>
      <vt:lpstr>ListUBCZone</vt:lpstr>
      <vt:lpstr>ListUOMArea</vt:lpstr>
      <vt:lpstr>ListUOMEquipQty</vt:lpstr>
      <vt:lpstr>ListUOMFireproofing</vt:lpstr>
      <vt:lpstr>ListUOMLength</vt:lpstr>
      <vt:lpstr>ListUOMPaving</vt:lpstr>
      <vt:lpstr>ListUOMPipeInsulation</vt:lpstr>
      <vt:lpstr>ListUOMSteelQty</vt:lpstr>
      <vt:lpstr>ListUOMVolume</vt:lpstr>
      <vt:lpstr>ListVesselDesignCode</vt:lpstr>
      <vt:lpstr>PIDDesignLevel</vt:lpstr>
      <vt:lpstr>PipeFlangeRatingStd</vt:lpstr>
      <vt:lpstr>PipeWallThicknessStd</vt:lpstr>
      <vt:lpstr>PowerSupplyFreq</vt:lpstr>
      <vt:lpstr>PreparedBy</vt:lpstr>
      <vt:lpstr>ProcessDescription</vt:lpstr>
      <vt:lpstr>ProjectLocation</vt:lpstr>
      <vt:lpstr>ProjectTitle</vt:lpstr>
      <vt:lpstr>ProjectType</vt:lpstr>
      <vt:lpstr>SeismicHorizontalAcceleration</vt:lpstr>
      <vt:lpstr>SoilType</vt:lpstr>
      <vt:lpstr>UBCZone</vt:lpstr>
      <vt:lpstr>UOMCivilEarthworkQty</vt:lpstr>
      <vt:lpstr>UOMCivilPavingQty</vt:lpstr>
      <vt:lpstr>UOMCivilRoadRRQty</vt:lpstr>
      <vt:lpstr>UOMConcreteGroutQty</vt:lpstr>
      <vt:lpstr>UOMElectricalWireLength</vt:lpstr>
      <vt:lpstr>UOMEquipFireproofingQty</vt:lpstr>
      <vt:lpstr>UOMEquipInsulationQty</vt:lpstr>
      <vt:lpstr>UOMEquipQty</vt:lpstr>
      <vt:lpstr>UOMInstrumentRunLength</vt:lpstr>
      <vt:lpstr>UOMPaintArea</vt:lpstr>
      <vt:lpstr>UOMPipeInsulationQty</vt:lpstr>
      <vt:lpstr>UOMPipeQty</vt:lpstr>
      <vt:lpstr>UOMSteelFireproofingQty</vt:lpstr>
      <vt:lpstr>UOMSteelQty</vt:lpstr>
      <vt:lpstr>VesselDesignCode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Sameer</dc:creator>
  <cp:lastModifiedBy>Zhang, Yan</cp:lastModifiedBy>
  <dcterms:created xsi:type="dcterms:W3CDTF">2020-03-20T13:17:25Z</dcterms:created>
  <dcterms:modified xsi:type="dcterms:W3CDTF">2023-03-29T14:58:24Z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ContentTypeId">
    <vt:lpwstr>0x0101009840142F85352E499CF0C90A06BB6EFA</vt:lpwstr>
  </property>
</Properties>
</file>