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trlProps/ctrlProp1.xml" ContentType="application/vnd.ms-excel.controlproperties+xml"/>
  <Override PartName="/xl/worksheets/sheet2.xml" ContentType="application/vnd.openxmlformats-officedocument.spreadsheetml.workshee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 codeName="{1AED2BDD-1FA3-CEF2-32D4-FBADEFEB71EE}"/>
  <workbookPr codeName="ThisWorkbook" filterPrivacy="1"/>
  <bookViews>
    <workbookView xWindow="-120" yWindow="-120" windowWidth="19440" windowHeight="10440"/>
  </bookViews>
  <sheets>
    <sheet name="L1 - Account Basis" sheetId="4" r:id="flId1"/>
    <sheet name="&lt;#Config&gt;" sheetId="5" r:id="flId2"/>
  </sheets>
  <definedNames>
    <definedName name="__TBL_00_TAQ_AcctSumryContigency_Cal__X">'L1 - Account Basis'!$A$36</definedName>
    <definedName name="__TBL_00_TAQ_AcctSumryENGHO_Cal__X">'L1 - Account Basis'!$A$30</definedName>
    <definedName name="__TBL_00_TAQ_AcctSumryFreight_Cal__X">'L1 - Account Basis'!$A$24</definedName>
    <definedName name="__TBL_00_TAQ_AcctSumryIFC_Cal__X">'L1 - Account Basis'!$A$13</definedName>
    <definedName name="__TBL_00_TAQ_AcctSumryOTHCOST_Cal__X">'L1 - Account Basis'!$A$33</definedName>
    <definedName name="__TBL_00_TAQ_AcctSumryTaxesPermits_Cal__X">'L1 - Account Basis'!$A$27</definedName>
    <definedName name="__TBL_00_TAQ_TDC_AcctSumry_Cal__X">'L1 - Account Basis'!$A$8</definedName>
    <definedName name="_IFC">'L1 - Account Basis'!$G$16</definedName>
    <definedName name="_TDC">'L1 - Account Basis'!$G$10</definedName>
    <definedName name="_TDM">'L1 - Account Basis'!$F$10</definedName>
    <definedName name="_TFC">'L1 - Account Basis'!$G$19</definedName>
    <definedName name="_TIC">'L1 - Account Basis'!$G$42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<sst xmlns="http://schemas.openxmlformats.org/spreadsheetml/2006/main" count="199" uniqueCount="171">
  <si>
    <t>Account</t>
  </si>
  <si>
    <t>MH</t>
  </si>
  <si>
    <t>Wage Rate</t>
  </si>
  <si>
    <t>Labor Cost</t>
  </si>
  <si>
    <t>Matl Cost</t>
  </si>
  <si>
    <t>Total Cost</t>
  </si>
  <si>
    <t>Percentages</t>
  </si>
  <si>
    <t>Project Title:</t>
  </si>
  <si>
    <t>Project Name:</t>
  </si>
  <si>
    <t>Proj. Location:</t>
  </si>
  <si>
    <t>Estimate Date:</t>
  </si>
  <si>
    <t>Actual Material Cost</t>
  </si>
  <si>
    <t>Material Index</t>
  </si>
  <si>
    <t>of TDC</t>
  </si>
  <si>
    <t>Total Direct Field Costs</t>
  </si>
  <si>
    <t>Group A/C No</t>
  </si>
  <si>
    <t>Scenario Name:</t>
  </si>
  <si>
    <t>Job No:</t>
  </si>
  <si>
    <t>Prep. By:</t>
  </si>
  <si>
    <t>Est. Class:</t>
  </si>
  <si>
    <t>Currency:</t>
  </si>
  <si>
    <t>(TDMH)</t>
  </si>
  <si>
    <t>(TDL)</t>
  </si>
  <si>
    <t>(TDM)</t>
  </si>
  <si>
    <t>(TDC)</t>
  </si>
  <si>
    <t>Indirect Wage Rate</t>
  </si>
  <si>
    <t>Total</t>
  </si>
  <si>
    <t>Indirect Field Costs (IFC)</t>
  </si>
  <si>
    <t>(IFMH)</t>
  </si>
  <si>
    <t>(IFC)</t>
  </si>
  <si>
    <t>Total Field Costs (TDFC+IFC)</t>
  </si>
  <si>
    <t>of TIC</t>
  </si>
  <si>
    <t>(TFMH)</t>
  </si>
  <si>
    <t>(TFCL)</t>
  </si>
  <si>
    <t>(TFCM)</t>
  </si>
  <si>
    <t>(TFC)</t>
  </si>
  <si>
    <t>Taxes and Permits</t>
  </si>
  <si>
    <t>Engineering and HO</t>
  </si>
  <si>
    <t>Other Project Costs</t>
  </si>
  <si>
    <t>Contingency</t>
  </si>
  <si>
    <t>Total EPC Costs (EPC)</t>
  </si>
  <si>
    <t>(TEPCMH)</t>
  </si>
  <si>
    <t>(TEPCM)</t>
  </si>
  <si>
    <t>(TEPC)</t>
  </si>
  <si>
    <t>Project Total Costs (TFC+EPC)</t>
  </si>
  <si>
    <t>(TMH)</t>
  </si>
  <si>
    <t>(TLC)</t>
  </si>
  <si>
    <t>(TMC)</t>
  </si>
  <si>
    <t>(TIC)</t>
  </si>
  <si>
    <t>USER ENTERED VALUES</t>
  </si>
  <si>
    <t>of IFC</t>
  </si>
  <si>
    <t>PROJECT METRICS</t>
  </si>
  <si>
    <t>TDC to TIC</t>
  </si>
  <si>
    <t>EPC to TIC</t>
  </si>
  <si>
    <t>COA</t>
  </si>
  <si>
    <t>Description</t>
  </si>
  <si>
    <t>L1 - Account Basis</t>
  </si>
  <si>
    <t>CALCULATED INDEX VALUES</t>
  </si>
  <si>
    <t>Lang Factor (Equipment to Project Total Cost)</t>
  </si>
  <si>
    <t>Calibration Reports</t>
  </si>
  <si>
    <t>Actual Manhours</t>
  </si>
  <si>
    <t>Manhour Index</t>
  </si>
  <si>
    <t xml:space="preserve">Freight </t>
  </si>
  <si>
    <t>of TDL</t>
  </si>
  <si>
    <t>of TDM</t>
  </si>
  <si>
    <t>of TFC</t>
  </si>
  <si>
    <t>(IFL)</t>
  </si>
  <si>
    <t>(IFM)</t>
  </si>
  <si>
    <t>(TEPCL)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</si>
  <si>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</si>
  <si>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</si>
  <si>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</si>
  <si>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</si>
  <si>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</si>
  <si>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</si>
  <si>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</si>
  <si>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</si>
  <si>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</si>
  <si>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</si>
  <si>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</si>
  <si>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</si>
  <si>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</si>
  <si>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</si>
  <si>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</si>
  <si>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</si>
  <si>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</si>
  <si>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</si>
  <si>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</si>
  <si>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</si>
  <si>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</si>
  <si>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</si>
  <si>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</si>
  <si>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</si>
  <si>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</si>
  <si>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</si>
  <si>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</si>
  <si>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</si>
  <si>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</si>
  <si>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</si>
  <si>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</si>
  <si>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LeftBorder(Border)</t>
  </si>
  <si>
    <t>TBL_00_TAQ_TDC_AcctSumry_Cal</t>
  </si>
  <si>
    <t>00_TAQ_TDC_AcctSumry_Cal</t>
  </si>
  <si>
    <t>TBL_00_TAQ_AcctSumryIFC_Cal</t>
  </si>
  <si>
    <t>00_TAQ_AcctSumryIFC_Cal</t>
  </si>
  <si>
    <t>TBL_00_TAQ_AcctSumryFreight_Cal</t>
  </si>
  <si>
    <t>00_TAQ_AcctSumryFreight_Cal</t>
  </si>
  <si>
    <t>TBL_00_TAQ_AcctSumryTaxesPermits_Cal</t>
  </si>
  <si>
    <t>00_TAQ_AcctSumryTaxesPermits_Cal</t>
  </si>
  <si>
    <t>TBL_00_TAQ_AcctSumryENGHO_Cal</t>
  </si>
  <si>
    <t>00_TAQ_AcctSumryENGHO_Cal</t>
  </si>
  <si>
    <t>TBL_00_TAQ_AcctSumryOTHCOST_Cal</t>
  </si>
  <si>
    <t>00_TAQ_AcctSumryOTHCOST_Cal</t>
  </si>
  <si>
    <t>TBL_00_TAQ_AcctSumryContigency_Cal</t>
  </si>
  <si>
    <t>00_TAQ_AcctSumryContigency_Cal</t>
  </si>
  <si>
    <t>FullDes ASC</t>
  </si>
  <si>
    <t>&lt;#TBL_00_TAQ_TDC_AcctSumry_Cal.Account;&gt;</t>
  </si>
  <si>
    <t>&lt;#TBL_00_TAQ_TDC_AcctSumry_Cal.FullDes;&gt;</t>
  </si>
  <si>
    <t>&lt;#TBL_00_TAQ_TDC_AcctSumry_Cal.MH;&gt;</t>
  </si>
  <si>
    <t>&lt;#TBL_00_TAQ_TDC_AcctSumry_Cal.Wage Rate;&gt;</t>
  </si>
  <si>
    <t>&lt;#TBL_00_TAQ_TDC_AcctSumry_Cal.Labor Cost;&gt;</t>
  </si>
  <si>
    <t>&lt;#TBL_00_TAQ_TDC_AcctSumry_Cal.Matl Cost;&gt;</t>
  </si>
  <si>
    <t>&lt;#TBL_00_TAQ_TDC_AcctSumry_Cal.Total Cost;&gt;</t>
  </si>
  <si>
    <t>&lt;#TBL_00_TAQ_AcctSumryIFC_Cal.MH;&gt;</t>
  </si>
  <si>
    <t>&lt;#TBL_00_TAQ_AcctSumryIFC_Cal.Wage Rate;&gt;</t>
  </si>
  <si>
    <t>&lt;#TBL_00_TAQ_AcctSumryIFC_Cal.Labor Cost;&gt;</t>
  </si>
  <si>
    <t>&lt;#TBL_00_TAQ_AcctSumryIFC_Cal.Matl Cost;&gt;</t>
  </si>
  <si>
    <t>&lt;#TBL_00_TAQ_AcctSumryIFC_Cal.Total Cost;&gt;</t>
  </si>
  <si>
    <t>&lt;#TBL_00_TAQ_AcctSumryIFC_Cal.Code;&gt;</t>
  </si>
  <si>
    <t>&lt;#TBL_00_TAQ_AcctSumryIFC_Cal.Description;&gt;</t>
  </si>
  <si>
    <t>&lt;#TBL_00_TAQ_AcctSumryFreight_Cal.Code;&gt;</t>
  </si>
  <si>
    <t>&lt;#TBL_00_TAQ_AcctSumryFreight_Cal.Description;&gt;</t>
  </si>
  <si>
    <t>&lt;#TBL_00_TAQ_AcctSumryFreight_Cal.MH;&gt;</t>
  </si>
  <si>
    <t>&lt;#TBL_00_TAQ_AcctSumryFreight_Cal.Wage Rate;&gt;</t>
  </si>
  <si>
    <t>&lt;#TBL_00_TAQ_AcctSumryFreight_Cal.Labor Cost;&gt;</t>
  </si>
  <si>
    <t>&lt;#TBL_00_TAQ_AcctSumryFreight_Cal.Matl Cost;&gt;</t>
  </si>
  <si>
    <t>&lt;#TBL_00_TAQ_AcctSumryFreight_Cal.Total Cost;&gt;</t>
  </si>
  <si>
    <t>&lt;#TBL_00_TAQ_AcctSumryContigency_Cal.Code;&gt;</t>
  </si>
  <si>
    <t>&lt;#TBL_00_TAQ_AcctSumryContigency_Cal.Description;&gt;</t>
  </si>
  <si>
    <t>&lt;#TBL_00_TAQ_AcctSumryContigency_Cal.MH;&gt;</t>
  </si>
  <si>
    <t>&lt;#TBL_00_TAQ_AcctSumryContigency_Cal.Wage Rate;&gt;</t>
  </si>
  <si>
    <t>&lt;#TBL_00_TAQ_AcctSumryContigency_Cal.Labor Cost;&gt;</t>
  </si>
  <si>
    <t>&lt;#TBL_00_TAQ_AcctSumryContigency_Cal.Matl Cost;&gt;</t>
  </si>
  <si>
    <t>&lt;#TBL_00_TAQ_AcctSumryContigency_Cal.Total Cost;&gt;</t>
  </si>
  <si>
    <t>&lt;#TBL_00_TAQ_AcctSumryTaxesPermits_Cal.Code;&gt;</t>
  </si>
  <si>
    <t>&lt;#TBL_00_TAQ_AcctSumryTaxesPermits_Cal.Description;&gt;</t>
  </si>
  <si>
    <t>&lt;#TBL_00_TAQ_AcctSumryTaxesPermits_Cal.MH;&gt;</t>
  </si>
  <si>
    <t>&lt;#TBL_00_TAQ_AcctSumryTaxesPermits_Cal.Wage Rate;&gt;</t>
  </si>
  <si>
    <t>&lt;#TBL_00_TAQ_AcctSumryTaxesPermits_Cal.Labor Cost;&gt;</t>
  </si>
  <si>
    <t>&lt;#TBL_00_TAQ_AcctSumryTaxesPermits_Cal.Matl Cost;&gt;</t>
  </si>
  <si>
    <t>&lt;#TBL_00_TAQ_AcctSumryTaxesPermits_Cal.Total Cost;&gt;</t>
  </si>
  <si>
    <t>&lt;#TBL_00_TAQ_AcctSumryENGHO_Cal.Code;&gt;</t>
  </si>
  <si>
    <t>&lt;#TBL_00_TAQ_AcctSumryENGHO_Cal.Description;&gt;</t>
  </si>
  <si>
    <t>&lt;#TBL_00_TAQ_AcctSumryENGHO_Cal.MH;&gt;</t>
  </si>
  <si>
    <t>&lt;#TBL_00_TAQ_AcctSumryENGHO_Cal.Wage Rate;&gt;</t>
  </si>
  <si>
    <t>&lt;#TBL_00_TAQ_AcctSumryENGHO_Cal.Labor Cost;&gt;</t>
  </si>
  <si>
    <t>&lt;#TBL_00_TAQ_AcctSumryENGHO_Cal.Matl Cost;&gt;</t>
  </si>
  <si>
    <t>&lt;#TBL_00_TAQ_AcctSumryENGHO_Cal.Total Cost;&gt;</t>
  </si>
  <si>
    <t>&lt;#TBL_00_TAQ_AcctSumryOTHCOST_Cal.Code;&gt;</t>
  </si>
  <si>
    <t>&lt;#TBL_00_TAQ_AcctSumryOTHCOST_Cal.Description;&gt;</t>
  </si>
  <si>
    <t>&lt;#TBL_00_TAQ_AcctSumryOTHCOST_Cal.MH;&gt;</t>
  </si>
  <si>
    <t>&lt;#TBL_00_TAQ_AcctSumryOTHCOST_Cal.Wage Rate;&gt;</t>
  </si>
  <si>
    <t>&lt;#TBL_00_TAQ_AcctSumryOTHCOST_Cal.Labor Cost;&gt;</t>
  </si>
  <si>
    <t>&lt;#TBL_00_TAQ_AcctSumryOTHCOST_Cal.Matl Cost;&gt;</t>
  </si>
  <si>
    <t>&lt;#TBL_00_TAQ_AcctSumryOTHCOST_Cal.Total Cost;&gt;</t>
  </si>
  <si>
    <t>&lt;#if(&lt;#TBL_00_TAQ_AcctSumryFreight_Cal.#RowCount&gt; = 0; &lt;#delete row&gt;;)&gt;</t>
  </si>
  <si>
    <t>&lt;#if(&lt;#TBL_00_TAQ_AcctSumryTaxesPermits_Cal.#RowCount&gt; = 0; &lt;#delete row&gt;;)&gt;</t>
  </si>
  <si>
    <t>&lt;#if(&lt;#TBL_00_TAQ_AcctSumryENGHO_Cal.#RowCount&gt; = 0; &lt;#delete row&gt;;)&gt;</t>
  </si>
  <si>
    <t>&lt;#if(&lt;#TBL_00_TAQ_AcctSumryOTHCOST_Cal.#RowCount&gt; = 0; &lt;#delete row&gt;;)&gt;</t>
  </si>
  <si>
    <t>&lt;#if(&lt;#TBL_00_TAQ_AcctSumryContigency_Cal.#RowCount&gt; = 0; &lt;#delete row&gt;;)&gt;</t>
  </si>
  <si>
    <t>Code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</si>
</sst>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0.0%"/>
    <numFmt numFmtId="165" formatCode="#,##0.0"/>
  </numFmts>
  <fonts count="25">
    <font>
      <sz val="11"/>
      <color theme="1"/>
      <name val="Calibri"/>
      <family val="2"/>
      <scheme val="minor"/>
    </font>
    <font>
      <b/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b/>
      <sz val="10"/>
      <color auto="1"/>
      <name val="Arial"/>
      <family val="2"/>
    </font>
    <font>
      <sz val="8"/>
      <color indexed="62"/>
      <name val="Arial"/>
      <family val="2"/>
    </font>
    <font>
      <sz val="9"/>
      <color indexed="62"/>
      <name val="Arial"/>
      <family val="2"/>
    </font>
    <font>
      <sz val="10"/>
      <color indexed="62"/>
      <name val="Arial"/>
      <family val="2"/>
    </font>
    <font>
      <sz val="9"/>
      <color auto="1"/>
      <name val="Arial"/>
      <family val="2"/>
    </font>
    <font>
      <b/>
      <sz val="8"/>
      <color auto="1"/>
      <name val="Arial"/>
      <family val="2"/>
    </font>
    <font>
      <b/>
      <sz val="9"/>
      <color auto="1"/>
      <name val="Arial"/>
      <family val="2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99"/>
        <bgColor auto="1"/>
      </patternFill>
    </fill>
    <fill>
      <patternFill patternType="solid">
        <fgColor indexed="43"/>
        <bgColor auto="1"/>
      </patternFill>
    </fill>
    <fill>
      <patternFill patternType="solid">
        <fgColor tint="-0.0499893185216834" theme="0"/>
        <bgColor auto="1"/>
      </patternFill>
    </fill>
    <fill>
      <patternFill patternType="solid">
        <fgColor tint="0.799981688894314" theme="9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81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auto="1"/>
      </right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</borders>
  <cellStyleXfs count="9">
    <xf fontId="0" numFmtId="0" fillId="0" borderId="0"/>
    <xf applyFont="0" applyFill="0" applyBorder="0" applyAlignment="0" applyProtection="0" fontId="2" numFmtId="43" fillId="0" borderId="0"/>
    <xf fontId="3" numFmtId="0" fillId="0" borderId="0"/>
    <xf fontId="2" numFmtId="0" fillId="0" borderId="0"/>
    <xf applyFont="0" applyFill="0" applyBorder="0" applyAlignment="0" applyProtection="0" fontId="2" numFmtId="9" fillId="0" borderId="0"/>
    <xf applyNumberFormat="0" applyBorder="0" applyAlignment="0" applyProtection="0" fontId="20" numFmtId="0" fillId="7" borderId="0"/>
    <xf applyNumberFormat="0" applyBorder="0" applyAlignment="0" applyProtection="0" fontId="19" numFmtId="0" fillId="6" borderId="0"/>
    <xf fontId="19" numFmtId="0" fillId="0" borderId="0"/>
    <xf applyNumberFormat="0" applyBorder="0" applyAlignment="0" applyProtection="0" fontId="19" numFmtId="0" fillId="8" borderId="0"/>
  </cellStyleXfs>
  <cellXfs count="219">
    <xf fontId="0" numFmtId="0" fillId="0" borderId="0" xfId="0"/>
    <xf applyNumberFormat="1" applyFont="1" applyBorder="1" applyAlignment="1" fontId="3" numFmtId="3" fillId="0" borderId="0" xfId="0"/>
    <xf applyNumberFormat="1" applyFont="1" fontId="4" numFmtId="3" fillId="0" borderId="0" xfId="3"/>
    <xf applyNumberFormat="1" applyFont="1" applyFill="1" applyBorder="1" applyAlignment="1" fontId="3" numFmtId="3" fillId="0" borderId="78" xfId="1"/>
    <xf applyNumberFormat="1" applyFont="1" applyFill="1" applyBorder="1" applyAlignment="1" fontId="3" numFmtId="4" fillId="0" borderId="78" xfId="1"/>
    <xf applyNumberFormat="1" applyFont="1" applyBorder="1" applyAlignment="1" fontId="0" numFmtId="3" fillId="0" borderId="0" xfId="0"/>
    <xf applyNumberFormat="1" applyFont="1" applyBorder="1" applyAlignment="1" fontId="5" numFmtId="3" fillId="0" borderId="0" xfId="0"/>
    <xf applyNumberFormat="1" applyFont="1" applyFill="1" applyBorder="1" applyAlignment="1" fontId="3" numFmtId="3" fillId="0" borderId="10" xfId="1"/>
    <xf applyNumberFormat="1" applyFont="1" applyFill="1" applyBorder="1" applyAlignment="1" fontId="3" numFmtId="4" fillId="0" borderId="10" xfId="1"/>
    <xf applyNumberFormat="1" applyFont="1" applyFill="1" applyBorder="1" applyAlignment="1" applyProtection="1" fontId="5" numFmtId="3" fillId="4" borderId="14" xfId="1"/>
    <xf applyNumberFormat="1" applyFont="1" applyFill="1" applyBorder="1" applyAlignment="1" applyProtection="1" fontId="5" numFmtId="4" fillId="4" borderId="15" xfId="1"/>
    <xf applyNumberFormat="1" applyFont="1" applyBorder="1" applyAlignment="1" fontId="6" numFmtId="3" fillId="0" borderId="0" xfId="1">
      <alignment horizontal="left"/>
    </xf>
    <xf applyNumberFormat="1" applyFont="1" applyBorder="1" applyAlignment="1" fontId="7" numFmtId="4" fillId="0" borderId="0" xfId="1"/>
    <xf applyNumberFormat="1" applyFont="1" applyBorder="1" applyAlignment="1" fontId="1" numFmtId="3" fillId="0" borderId="0" xfId="0">
      <alignment horizontal="right"/>
    </xf>
    <xf applyNumberFormat="1" applyFont="1" applyBorder="1" applyAlignment="1" fontId="6" numFmtId="164" fillId="0" borderId="0" xfId="4"/>
    <xf applyNumberFormat="1" applyFont="1" applyBorder="1" applyAlignment="1" fontId="7" numFmtId="3" fillId="0" borderId="18" xfId="0"/>
    <xf applyNumberFormat="1" applyFont="1" applyBorder="1" applyAlignment="1" fontId="1" numFmtId="3" fillId="0" borderId="0" xfId="1">
      <alignment horizontal="right"/>
    </xf>
    <xf applyNumberFormat="1" applyFont="1" applyBorder="1" applyAlignment="1" fontId="6" numFmtId="3" fillId="0" borderId="57" xfId="1">
      <alignment horizontal="left"/>
    </xf>
    <xf applyNumberFormat="1" applyFont="1" applyBorder="1" applyAlignment="1" fontId="7" numFmtId="3" fillId="0" borderId="61" xfId="0"/>
    <xf applyNumberFormat="1" applyFont="1" applyAlignment="1" fontId="0" numFmtId="3" fillId="0" borderId="0" xfId="0"/>
    <xf applyNumberFormat="1" applyFont="1" applyFill="1" applyBorder="1" applyAlignment="1" applyProtection="1" fontId="9" numFmtId="3" fillId="0" borderId="0" xfId="1">
      <alignment horizontal="right"/>
    </xf>
    <xf applyNumberFormat="1" applyFont="1" applyFill="1" applyBorder="1" applyAlignment="1" applyProtection="1" fontId="9" numFmtId="4" fillId="0" borderId="0" xfId="1"/>
    <xf applyNumberFormat="1" applyFont="1" applyFill="1" applyBorder="1" applyAlignment="1" applyProtection="1" fontId="10" numFmtId="164" fillId="0" borderId="0" xfId="4"/>
    <xf applyNumberFormat="1" applyFont="1" applyFill="1" applyBorder="1" applyAlignment="1" applyProtection="1" fontId="11" numFmtId="3" fillId="0" borderId="18" xfId="0"/>
    <xf applyNumberFormat="1" applyFont="1" applyFill="1" applyBorder="1" applyAlignment="1" applyProtection="1" fontId="2" numFmtId="3" fillId="0" borderId="0" xfId="1"/>
    <xf applyNumberFormat="1" applyFont="1" applyFill="1" applyBorder="1" applyAlignment="1" applyProtection="1" fontId="4" numFmtId="164" fillId="0" borderId="0" xfId="4"/>
    <xf applyNumberFormat="1" applyFont="1" applyFill="1" applyBorder="1" applyAlignment="1" applyProtection="1" fontId="9" numFmtId="3" fillId="0" borderId="18" xfId="0"/>
    <xf applyNumberFormat="1" applyFont="1" applyBorder="1" applyAlignment="1" fontId="2" numFmtId="3" fillId="0" borderId="0" xfId="1"/>
    <xf applyNumberFormat="1" applyFont="1" applyBorder="1" applyAlignment="1" fontId="2" numFmtId="4" fillId="0" borderId="0" xfId="1"/>
    <xf applyNumberFormat="1" applyFont="1" applyBorder="1" applyAlignment="1" fontId="0" numFmtId="3" fillId="0" borderId="0" xfId="1"/>
    <xf applyNumberFormat="1" applyFont="1" applyBorder="1" applyAlignment="1" fontId="5" numFmtId="3" fillId="0" borderId="18" xfId="0"/>
    <xf applyNumberFormat="1" applyFont="1" applyFill="1" applyBorder="1" applyAlignment="1" applyProtection="1" fontId="2" numFmtId="4" fillId="0" borderId="0" xfId="1"/>
    <xf applyNumberFormat="1" applyFont="1" applyAlignment="1" fontId="5" numFmtId="164" fillId="0" borderId="0" xfId="4"/>
    <xf applyNumberFormat="1" applyFont="1" applyAlignment="1" fontId="3" numFmtId="3" fillId="0" borderId="0" xfId="0"/>
    <xf applyNumberFormat="1" applyFont="1" applyFill="1" applyAlignment="1" applyProtection="1" fontId="3" numFmtId="3" fillId="0" borderId="0" xfId="0"/>
    <xf applyNumberFormat="1" applyFont="1" applyFill="1" applyBorder="1" applyAlignment="1" applyProtection="1" fontId="9" numFmtId="3" fillId="0" borderId="56" xfId="1">
      <alignment horizontal="right"/>
    </xf>
    <xf applyNumberFormat="1" applyFont="1" applyFill="1" applyBorder="1" applyAlignment="1" applyProtection="1" fontId="9" numFmtId="4" fillId="0" borderId="56" xfId="1"/>
    <xf applyNumberFormat="1" applyFont="1" applyFill="1" applyBorder="1" applyAlignment="1" applyProtection="1" fontId="5" numFmtId="3" fillId="5" borderId="14" xfId="1"/>
    <xf applyNumberFormat="1" applyFont="1" applyFill="1" applyBorder="1" applyAlignment="1" applyProtection="1" fontId="5" numFmtId="4" fillId="5" borderId="74" xfId="1"/>
    <xf applyNumberFormat="1" applyFont="1" applyFill="1" applyBorder="1" applyAlignment="1" applyProtection="1" fontId="2" numFmtId="4" fillId="0" borderId="57" xfId="1"/>
    <xf applyNumberFormat="1" applyFont="1" applyFill="1" applyBorder="1" applyAlignment="1" applyProtection="1" fontId="10" numFmtId="164" fillId="0" borderId="57" xfId="4"/>
    <xf applyNumberFormat="1" applyFont="1" applyFill="1" applyBorder="1" applyAlignment="1" applyProtection="1" fontId="11" numFmtId="3" fillId="0" borderId="61" xfId="0"/>
    <xf applyNumberFormat="1" applyFont="1" applyBorder="1" applyAlignment="1" fontId="0" numFmtId="3" fillId="0" borderId="1" xfId="1"/>
    <xf applyNumberFormat="1" applyFont="1" applyBorder="1" applyAlignment="1" fontId="0" numFmtId="3" fillId="0" borderId="18" xfId="1"/>
    <xf applyNumberFormat="1" applyFont="1" applyFill="1" applyBorder="1" applyAlignment="1" applyProtection="1" fontId="2" numFmtId="3" fillId="0" borderId="21" xfId="1"/>
    <xf applyNumberFormat="1" applyFont="1" applyFill="1" applyBorder="1" applyAlignment="1" applyProtection="1" fontId="2" numFmtId="3" fillId="0" borderId="25" xfId="1"/>
    <xf applyNumberFormat="1" applyFont="1" applyFill="1" applyBorder="1" applyAlignment="1" applyProtection="1" fontId="2" numFmtId="3" fillId="0" borderId="59" xfId="1"/>
    <xf applyNumberFormat="1" applyFont="1" applyFill="1" applyBorder="1" applyAlignment="1" applyProtection="1" fontId="2" numFmtId="3" fillId="0" borderId="5" xfId="1"/>
    <xf applyNumberFormat="1" applyFont="1" applyFill="1" applyBorder="1" applyAlignment="1" applyProtection="1" fontId="2" numFmtId="3" fillId="0" borderId="9" xfId="1"/>
    <xf applyNumberFormat="1" applyFont="1" applyFill="1" applyBorder="1" applyAlignment="1" applyProtection="1" fontId="2" numFmtId="3" fillId="0" borderId="11" xfId="1"/>
    <xf applyNumberFormat="1" applyFont="1" applyFill="1" applyBorder="1" applyAlignment="1" fontId="3" numFmtId="3" fillId="0" borderId="77" xfId="2">
      <alignment horizontal="left"/>
    </xf>
    <xf applyNumberFormat="1" applyFont="1" applyFill="1" applyBorder="1" applyAlignment="1" fontId="3" numFmtId="3" fillId="0" borderId="69" xfId="2">
      <alignment horizontal="left"/>
    </xf>
    <xf applyNumberFormat="1" applyFont="1" applyFill="1" applyBorder="1" applyAlignment="1" applyProtection="1" fontId="5" numFmtId="3" fillId="4" borderId="71" xfId="0">
      <alignment horizontal="right"/>
    </xf>
    <xf applyNumberFormat="1" applyFont="1" applyFill="1" applyBorder="1" applyAlignment="1" applyProtection="1" fontId="5" numFmtId="3" fillId="0" borderId="56" xfId="0">
      <alignment horizontal="left"/>
    </xf>
    <xf applyNumberFormat="1" applyFont="1" applyFill="1" applyBorder="1" applyAlignment="1" fontId="3" numFmtId="3" fillId="0" borderId="55" xfId="1"/>
    <xf applyBorder="1" fontId="0" numFmtId="0" fillId="0" borderId="74" xfId="0"/>
    <xf applyNumberFormat="1" applyFont="1" applyFill="1" applyBorder="1" applyAlignment="1" applyProtection="1" fontId="9" numFmtId="3" fillId="0" borderId="56" xfId="1">
      <alignment horizontal="right"/>
    </xf>
    <xf applyNumberFormat="1" applyFont="1" applyFill="1" applyBorder="1" applyAlignment="1" applyProtection="1" fontId="0" numFmtId="3" fillId="0" borderId="57" xfId="1"/>
    <xf applyNumberFormat="1" applyFont="1" applyFill="1" applyBorder="1" applyAlignment="1" applyProtection="1" fontId="2" numFmtId="3" fillId="0" borderId="59" xfId="0"/>
    <xf applyNumberFormat="1" applyFont="1" applyFill="1" applyBorder="1" applyAlignment="1" applyProtection="1" fontId="2" numFmtId="3" fillId="0" borderId="78" xfId="1"/>
    <xf applyFont="1" applyFill="1" applyBorder="1" applyAlignment="1" applyProtection="1" fontId="2" numFmtId="9" fillId="0" borderId="31" xfId="4"/>
    <xf applyNumberFormat="1" applyFont="1" applyFill="1" applyBorder="1" applyAlignment="1" fontId="3" numFmtId="3" fillId="0" borderId="42" xfId="1"/>
    <xf applyNumberFormat="1" applyFont="1" applyFill="1" applyBorder="1" applyAlignment="1" applyProtection="1" fontId="2" numFmtId="3" fillId="0" borderId="45" xfId="0"/>
    <xf applyNumberFormat="1" applyFont="1" applyFill="1" applyBorder="1" applyAlignment="1" applyProtection="1" fontId="2" numFmtId="3" fillId="0" borderId="46" xfId="1"/>
    <xf applyNumberFormat="1" applyFont="1" applyFill="1" applyBorder="1" applyAlignment="1" applyProtection="1" fontId="2" numFmtId="4" fillId="0" borderId="47" xfId="1"/>
    <xf applyNumberFormat="1" applyFont="1" applyFill="1" applyBorder="1" applyAlignment="1" applyProtection="1" fontId="5" numFmtId="3" fillId="0" borderId="13" xfId="0"/>
    <xf applyNumberFormat="1" applyFont="1" applyFill="1" applyBorder="1" applyAlignment="1" applyProtection="1" fontId="2" numFmtId="3" fillId="0" borderId="14" xfId="1"/>
    <xf applyNumberFormat="1" applyFont="1" applyFill="1" applyBorder="1" applyAlignment="1" applyProtection="1" fontId="2" numFmtId="4" fillId="0" borderId="15" xfId="1"/>
    <xf applyNumberFormat="1" applyFont="1" applyFill="1" applyBorder="1" applyAlignment="1" applyProtection="1" fontId="4" numFmtId="164" fillId="0" borderId="15" xfId="4"/>
    <xf applyNumberFormat="1" applyFont="1" applyFill="1" applyBorder="1" applyAlignment="1" applyProtection="1" fontId="9" numFmtId="3" fillId="0" borderId="72" xfId="0"/>
    <xf applyNumberFormat="1" applyFont="1" applyFill="1" applyBorder="1" applyAlignment="1" applyProtection="1" fontId="2" numFmtId="3" fillId="0" borderId="41" xfId="0"/>
    <xf applyFont="1" applyFill="1" applyBorder="1" applyAlignment="1" fontId="3" numFmtId="9" fillId="0" borderId="42" xfId="4"/>
    <xf applyNumberFormat="1" applyFont="1" applyFill="1" applyBorder="1" applyAlignment="1" fontId="3" numFmtId="4" fillId="3" borderId="50" xfId="1">
      <alignment horizontal="center"/>
    </xf>
    <xf applyNumberFormat="1" applyFont="1" applyFill="1" applyBorder="1" applyAlignment="1" fontId="3" numFmtId="3" fillId="2" borderId="50" xfId="1">
      <alignment horizontal="center"/>
    </xf>
    <xf applyNumberFormat="1" applyFont="1" applyFill="1" applyBorder="1" applyAlignment="1" fontId="3" numFmtId="3" fillId="3" borderId="50" xfId="1">
      <alignment horizontal="center"/>
    </xf>
    <xf applyNumberFormat="1" applyFont="1" applyFill="1" applyBorder="1" applyAlignment="1" fontId="3" numFmtId="4" fillId="3" borderId="74" xfId="1">
      <alignment horizontal="center"/>
    </xf>
    <xf applyNumberFormat="1" applyFont="1" applyFill="1" applyBorder="1" applyAlignment="1" fontId="3" numFmtId="3" fillId="3" borderId="74" xfId="1">
      <alignment horizontal="center"/>
    </xf>
    <xf applyNumberFormat="1" applyFont="1" applyFill="1" applyBorder="1" applyAlignment="1" fontId="3" numFmtId="3" fillId="3" borderId="52" xfId="1">
      <alignment horizontal="center"/>
    </xf>
    <xf applyNumberFormat="1" applyFont="1" applyFill="1" applyBorder="1" applyAlignment="1" fontId="3" numFmtId="3" fillId="3" borderId="51" xfId="1">
      <alignment horizontal="center"/>
    </xf>
    <xf applyNumberFormat="1" applyFont="1" applyFill="1" applyBorder="1" applyAlignment="1" fontId="3" numFmtId="3" fillId="3" borderId="72" xfId="1">
      <alignment horizontal="center"/>
    </xf>
    <xf applyNumberFormat="1" applyFont="1" applyFill="1" applyBorder="1" applyAlignment="1" applyProtection="1" fontId="5" numFmtId="3" fillId="0" borderId="53" xfId="0"/>
    <xf applyNumberFormat="1" applyFont="1" applyFill="1" applyBorder="1" applyAlignment="1" applyProtection="1" fontId="2" numFmtId="3" fillId="0" borderId="54" xfId="1"/>
    <xf applyNumberFormat="1" applyFont="1" applyBorder="1" applyAlignment="1" fontId="5" numFmtId="3" fillId="0" borderId="55" xfId="0"/>
    <xf applyNumberFormat="1" applyFont="1" applyFill="1" applyBorder="1" applyAlignment="1" fontId="3" numFmtId="3" fillId="3" borderId="74" xfId="2">
      <alignment horizontal="center"/>
    </xf>
    <xf applyNumberFormat="1" applyFont="1" applyBorder="1" applyAlignment="1" fontId="6" numFmtId="3" fillId="0" borderId="56" xfId="1">
      <alignment horizontal="left"/>
    </xf>
    <xf applyNumberFormat="1" applyFont="1" applyBorder="1" applyAlignment="1" fontId="7" numFmtId="4" fillId="0" borderId="56" xfId="1"/>
    <xf applyNumberFormat="1" applyFont="1" applyBorder="1" applyAlignment="1" fontId="8" numFmtId="3" fillId="0" borderId="56" xfId="1"/>
    <xf applyNumberFormat="1" applyFont="1" applyBorder="1" applyAlignment="1" fontId="6" numFmtId="164" fillId="0" borderId="56" xfId="4"/>
    <xf applyNumberFormat="1" applyFont="1" applyBorder="1" applyAlignment="1" fontId="7" numFmtId="3" fillId="0" borderId="60" xfId="0"/>
    <xf applyNumberFormat="1" applyFont="1" applyFill="1" applyBorder="1" applyAlignment="1" fontId="3" numFmtId="3" fillId="3" borderId="50" xfId="2">
      <alignment horizontal="center"/>
    </xf>
    <xf applyNumberFormat="1" applyFont="1" applyBorder="1" applyAlignment="1" fontId="7" numFmtId="3" fillId="0" borderId="0" xfId="0">
      <alignment horizontal="left"/>
    </xf>
    <xf applyNumberFormat="1" applyFont="1" applyBorder="1" applyAlignment="1" fontId="7" numFmtId="3" fillId="0" borderId="56" xfId="0">
      <alignment horizontal="left"/>
    </xf>
    <xf applyNumberFormat="1" applyFont="1" applyBorder="1" applyAlignment="1" fontId="7" numFmtId="3" fillId="0" borderId="0" xfId="1">
      <alignment horizontal="left"/>
    </xf>
    <xf applyNumberFormat="1" applyFont="1" applyFill="1" applyBorder="1" applyAlignment="1" applyProtection="1" fontId="16" numFmtId="3" fillId="0" borderId="0" xfId="0"/>
    <xf applyNumberFormat="1" applyFont="1" applyFill="1" applyBorder="1" applyAlignment="1" applyProtection="1" fontId="17" numFmtId="3" fillId="0" borderId="0" xfId="0"/>
    <xf applyNumberFormat="1" applyFont="1" applyBorder="1" applyAlignment="1" fontId="17" numFmtId="3" fillId="0" borderId="0" xfId="0"/>
    <xf applyNumberFormat="1" applyFont="1" applyBorder="1" fontId="2" numFmtId="3" fillId="0" borderId="48" xfId="3"/>
    <xf applyNumberFormat="1" applyFont="1" applyBorder="1" fontId="2" numFmtId="3" fillId="0" borderId="53" xfId="3"/>
    <xf applyNumberFormat="1" applyFont="1" applyFill="1" applyBorder="1" applyAlignment="1" applyProtection="1" fontId="17" numFmtId="3" fillId="0" borderId="57" xfId="0"/>
    <xf applyFont="1" fontId="17" numFmtId="0" fillId="0" borderId="0" xfId="0"/>
    <xf applyNumberFormat="1" applyFont="1" applyFill="1" applyBorder="1" applyAlignment="1" applyProtection="1" fontId="17" numFmtId="3" fillId="0" borderId="0" xfId="1"/>
    <xf applyNumberFormat="1" applyFont="1" applyBorder="1" applyAlignment="1" fontId="17" numFmtId="3" fillId="0" borderId="0" xfId="1"/>
    <xf applyNumberFormat="1" applyFont="1" applyFill="1" applyBorder="1" applyAlignment="1" applyProtection="1" fontId="2" numFmtId="164" fillId="0" borderId="47" xfId="4"/>
    <xf applyNumberFormat="1" applyFont="1" applyFill="1" applyBorder="1" applyAlignment="1" applyProtection="1" fontId="2" numFmtId="3" fillId="0" borderId="49" xfId="0"/>
    <xf applyNumberFormat="1" applyFont="1" applyFill="1" applyBorder="1" applyAlignment="1" applyProtection="1" fontId="2" numFmtId="164" fillId="0" borderId="31" xfId="4"/>
    <xf applyNumberFormat="1" applyFont="1" applyFill="1" applyBorder="1" applyAlignment="1" applyProtection="1" fontId="2" numFmtId="3" fillId="0" borderId="55" xfId="0"/>
    <xf applyNumberFormat="1" applyFont="1" applyFill="1" applyBorder="1" applyAlignment="1" applyProtection="1" fontId="2" numFmtId="164" fillId="0" borderId="43" xfId="4"/>
    <xf applyNumberFormat="1" applyFont="1" applyFill="1" applyBorder="1" applyAlignment="1" applyProtection="1" fontId="2" numFmtId="3" fillId="0" borderId="44" xfId="0"/>
    <xf applyNumberFormat="1" applyFont="1" applyFill="1" applyBorder="1" applyAlignment="1" applyProtection="1" fontId="17" numFmtId="3" fillId="0" borderId="48" xfId="1"/>
    <xf applyNumberFormat="1" applyFont="1" applyFill="1" applyBorder="1" applyAlignment="1" applyProtection="1" fontId="17" numFmtId="3" fillId="0" borderId="75" xfId="1"/>
    <xf applyNumberFormat="1" applyFont="1" applyFill="1" applyBorder="1" applyAlignment="1" applyProtection="1" fontId="17" numFmtId="3" fillId="0" borderId="53" xfId="1"/>
    <xf applyNumberFormat="1" applyFont="1" applyFill="1" applyBorder="1" applyAlignment="1" applyProtection="1" fontId="17" numFmtId="3" fillId="0" borderId="77" xfId="1"/>
    <xf applyNumberFormat="1" applyFont="1" applyFill="1" applyBorder="1" applyAlignment="1" applyProtection="1" fontId="17" numFmtId="3" fillId="0" borderId="71" xfId="1"/>
    <xf applyNumberFormat="1" applyFont="1" applyFill="1" applyBorder="1" applyAlignment="1" applyProtection="1" fontId="17" numFmtId="3" fillId="0" borderId="74" xfId="1"/>
    <xf applyNumberFormat="1" fontId="0" numFmtId="2" fillId="0" borderId="0" xfId="0"/>
    <xf applyNumberFormat="1" applyFont="1" applyFill="1" applyBorder="1" applyAlignment="1" fontId="3" numFmtId="2" fillId="3" borderId="52" xfId="1">
      <alignment horizontal="center"/>
    </xf>
    <xf applyNumberFormat="1" applyAlignment="1" fontId="0" numFmtId="2" fillId="0" borderId="0" xfId="0"/>
    <xf applyNumberFormat="1" applyFont="1" applyFill="1" applyBorder="1" applyAlignment="1" fontId="3" numFmtId="2" fillId="3" borderId="51" xfId="1">
      <alignment horizontal="center"/>
    </xf>
    <xf applyNumberFormat="1" applyFont="1" applyFill="1" applyBorder="1" applyAlignment="1" applyProtection="1" fontId="2" numFmtId="3" fillId="0" borderId="59" xfId="1"/>
    <xf applyNumberFormat="1" applyFont="1" applyFill="1" applyBorder="1" applyAlignment="1" applyProtection="1" fontId="2" numFmtId="3" fillId="0" borderId="45" xfId="1"/>
    <xf applyNumberFormat="1" applyFont="1" applyFill="1" applyBorder="1" applyAlignment="1" applyProtection="1" fontId="2" numFmtId="3" fillId="0" borderId="7" xfId="1"/>
    <xf applyNumberFormat="1" applyFont="1" applyBorder="1" fontId="5" numFmtId="3" fillId="0" borderId="53" xfId="3"/>
    <xf applyNumberFormat="1" applyFont="1" applyBorder="1" fontId="5" numFmtId="3" fillId="0" borderId="48" xfId="3"/>
    <xf applyNumberFormat="1" applyFont="1" applyFill="1" applyBorder="1" applyAlignment="1" applyProtection="1" fontId="2" numFmtId="3" fillId="0" borderId="1" xfId="1"/>
    <xf applyNumberFormat="1" applyFont="1" applyFill="1" applyBorder="1" applyAlignment="1" applyProtection="1" fontId="2" numFmtId="3" fillId="0" borderId="18" xfId="1"/>
    <xf applyNumberFormat="1" applyFont="1" applyFill="1" applyBorder="1" applyAlignment="1" applyProtection="1" fontId="17" numFmtId="3" fillId="0" borderId="64" xfId="0"/>
    <xf applyNumberFormat="1" applyFont="1" applyFill="1" applyBorder="1" applyAlignment="1" applyProtection="1" fontId="2" numFmtId="3" fillId="0" borderId="65" xfId="1"/>
    <xf applyNumberFormat="1" applyFont="1" applyFill="1" applyBorder="1" applyAlignment="1" applyProtection="1" fontId="2" numFmtId="3" fillId="0" borderId="66" xfId="1"/>
    <xf applyNumberFormat="1" applyFont="1" applyFill="1" applyBorder="1" applyAlignment="1" applyProtection="1" fontId="2" numFmtId="3" fillId="0" borderId="63" xfId="1"/>
    <xf applyNumberFormat="1" applyFont="1" applyFill="1" applyBorder="1" applyAlignment="1" applyProtection="1" fontId="2" numFmtId="3" fillId="0" borderId="67" xfId="1"/>
    <xf applyNumberFormat="1" applyFont="1" applyBorder="1" applyAlignment="1" fontId="1" numFmtId="1" fillId="0" borderId="56" xfId="0">
      <alignment horizontal="right"/>
    </xf>
    <xf applyNumberFormat="1" applyFont="1" applyBorder="1" applyAlignment="1" fontId="1" numFmtId="1" fillId="0" borderId="0" xfId="1">
      <alignment horizontal="right"/>
    </xf>
    <xf applyNumberFormat="1" applyFont="1" applyBorder="1" applyAlignment="1" fontId="1" numFmtId="1" fillId="0" borderId="0" xfId="0">
      <alignment horizontal="right"/>
    </xf>
    <xf applyNumberFormat="1" applyFont="1" applyFill="1" applyBorder="1" applyAlignment="1" fontId="3" numFmtId="1" fillId="0" borderId="26" xfId="2">
      <alignment horizontal="center"/>
    </xf>
    <xf applyNumberFormat="1" applyFont="1" applyBorder="1" applyAlignment="1" fontId="0" numFmtId="1" fillId="0" borderId="1" xfId="0"/>
    <xf applyNumberFormat="1" applyFont="1" applyFill="1" applyBorder="1" applyAlignment="1" fontId="3" numFmtId="1" fillId="3" borderId="70" xfId="2">
      <alignment horizontal="center"/>
    </xf>
    <xf applyNumberFormat="1" applyFont="1" applyBorder="1" applyAlignment="1" fontId="17" numFmtId="1" fillId="0" borderId="1" xfId="0"/>
    <xf applyNumberFormat="1" applyFont="1" applyFill="1" applyBorder="1" applyAlignment="1" fontId="3" numFmtId="1" fillId="3" borderId="52" xfId="2">
      <alignment horizontal="center"/>
    </xf>
    <xf applyNumberFormat="1" applyFont="1" applyFill="1" applyBorder="1" applyAlignment="1" fontId="3" numFmtId="1" fillId="0" borderId="76" xfId="2">
      <alignment horizontal="center"/>
    </xf>
    <xf applyNumberFormat="1" applyFont="1" applyBorder="1" applyAlignment="1" fontId="0" numFmtId="1" fillId="0" borderId="0" xfId="0"/>
    <xf applyNumberFormat="1" applyFont="1" applyBorder="1" applyAlignment="1" fontId="0" numFmtId="1" fillId="0" borderId="57" xfId="0"/>
    <xf applyNumberFormat="1" applyFont="1" applyBorder="1" applyAlignment="1" fontId="17" numFmtId="1" fillId="0" borderId="74" xfId="0"/>
    <xf applyNumberFormat="1" applyFont="1" fontId="17" numFmtId="1" fillId="0" borderId="0" xfId="0"/>
    <xf applyNumberFormat="1" fontId="0" numFmtId="1" fillId="0" borderId="0" xfId="0"/>
    <xf applyNumberFormat="1" applyFont="1" applyFill="1" applyBorder="1" applyAlignment="1" applyProtection="1" fontId="2" numFmtId="164" fillId="0" borderId="0" xfId="4"/>
    <xf applyNumberFormat="1" applyFont="1" applyFill="1" applyBorder="1" applyAlignment="1" applyProtection="1" fontId="2" numFmtId="3" fillId="0" borderId="7" xfId="0"/>
    <xf applyNumberFormat="1" applyFont="1" applyFill="1" applyBorder="1" applyAlignment="1" applyProtection="1" fontId="2" numFmtId="164" fillId="0" borderId="75" xfId="4"/>
    <xf applyNumberFormat="1" applyFont="1" applyFill="1" applyBorder="1" applyAlignment="1" applyProtection="1" fontId="2" numFmtId="3" fillId="0" borderId="18" xfId="0"/>
    <xf applyNumberFormat="1" applyFont="1" applyBorder="1" applyAlignment="1" fontId="5" numFmtId="164" fillId="0" borderId="0" xfId="4"/>
    <xf applyNumberFormat="1" applyFont="1" applyFill="1" applyBorder="1" applyAlignment="1" applyProtection="1" fontId="2" numFmtId="164" fillId="0" borderId="30" xfId="4"/>
    <xf applyNumberFormat="1" applyFont="1" applyFill="1" applyBorder="1" applyAlignment="1" applyProtection="1" fontId="2" numFmtId="164" fillId="0" borderId="48" xfId="4"/>
    <xf applyNumberFormat="1" applyFont="1" applyFill="1" applyBorder="1" applyAlignment="1" applyProtection="1" fontId="2" numFmtId="3" fillId="0" borderId="55" xfId="0"/>
    <xf applyNumberFormat="1" applyFont="1" applyFill="1" applyBorder="1" applyAlignment="1" applyProtection="1" fontId="2" numFmtId="164" fillId="0" borderId="53" xfId="4"/>
    <xf applyNumberFormat="1" applyFont="1" applyFill="1" applyBorder="1" applyAlignment="1" applyProtection="1" fontId="2" numFmtId="164" fillId="0" borderId="80" xfId="4"/>
    <xf applyNumberFormat="1" applyFont="1" applyFill="1" applyBorder="1" applyAlignment="1" applyProtection="1" fontId="2" numFmtId="3" fillId="0" borderId="79" xfId="0"/>
    <xf applyNumberFormat="1" applyFont="1" applyFill="1" applyBorder="1" applyAlignment="1" applyProtection="1" fontId="2" numFmtId="164" fillId="0" borderId="56" xfId="4"/>
    <xf applyNumberFormat="1" applyFont="1" applyFill="1" applyBorder="1" applyAlignment="1" applyProtection="1" fontId="2" numFmtId="3" fillId="0" borderId="60" xfId="0"/>
    <xf applyNumberFormat="1" applyFont="1" applyFill="1" applyBorder="1" applyAlignment="1" applyProtection="1" fontId="0" numFmtId="3" fillId="0" borderId="0" xfId="1"/>
    <xf applyNumberFormat="1" applyFont="1" applyFill="1" applyBorder="1" applyAlignment="1" applyProtection="1" fontId="9" numFmtId="2" fillId="0" borderId="0" xfId="1">
      <alignment horizontal="right"/>
    </xf>
    <xf applyBorder="1" fontId="0" numFmtId="0" fillId="0" borderId="0" xfId="0"/>
    <xf applyNumberFormat="1" applyFont="1" applyFill="1" applyBorder="1" applyAlignment="1" fontId="3" numFmtId="3" fillId="0" borderId="79" xfId="1"/>
    <xf applyNumberFormat="1" applyFont="1" applyFill="1" applyBorder="1" applyAlignment="1" applyProtection="1" fontId="5" numFmtId="164" fillId="4" borderId="72" xfId="4"/>
    <xf applyNumberFormat="1" applyFont="1" applyFill="1" applyBorder="1" applyAlignment="1" applyProtection="1" fontId="5" numFmtId="164" fillId="4" borderId="15" xfId="4"/>
    <xf applyNumberFormat="1" applyFont="1" applyFill="1" applyBorder="1" applyAlignment="1" applyProtection="1" fontId="5" numFmtId="3" fillId="4" borderId="72" xfId="0"/>
    <xf applyNumberFormat="1" applyFont="1" applyFill="1" applyBorder="1" applyAlignment="1" applyProtection="1" fontId="5" numFmtId="164" fillId="5" borderId="15" xfId="4"/>
    <xf applyNumberFormat="1" applyFont="1" applyFill="1" applyBorder="1" applyAlignment="1" applyProtection="1" fontId="5" numFmtId="3" fillId="5" borderId="72" xfId="0"/>
    <xf applyNumberFormat="1" applyFont="1" applyFill="1" applyBorder="1" applyAlignment="1" applyProtection="1" fontId="2" numFmtId="3" fillId="0" borderId="57" xfId="1">
      <alignment horizontal="right"/>
    </xf>
    <xf applyNumberFormat="1" applyFont="1" applyBorder="1" fontId="17" numFmtId="3" fillId="0" borderId="70" xfId="0"/>
    <xf applyNumberFormat="1" applyFont="1" applyBorder="1" fontId="17" numFmtId="3" fillId="0" borderId="72" xfId="0"/>
    <xf applyNumberFormat="1" applyFont="1" applyBorder="1" fontId="18" numFmtId="3" fillId="0" borderId="70" xfId="0"/>
    <xf applyNumberFormat="1" applyFont="1" applyBorder="1" fontId="18" numFmtId="3" fillId="0" borderId="72" xfId="0"/>
    <xf fontId="19" numFmtId="0" fillId="6" borderId="0" xfId="6"/>
    <xf fontId="19" numFmtId="0" fillId="0" borderId="0" xfId="7"/>
    <xf fontId="19" numFmtId="0" fillId="8" borderId="0" xfId="8"/>
    <xf fontId="20" numFmtId="0" fillId="7" borderId="0" xfId="5"/>
    <xf applyFont="1" fontId="0" numFmtId="0" fillId="0" borderId="0" xfId="7"/>
    <xf applyFont="1" fontId="19" numFmtId="0" fillId="0" borderId="0" xfId="7"/>
    <xf applyNumberFormat="1" applyFont="1" applyAlignment="1" fontId="21" numFmtId="3" fillId="0" borderId="0" xfId="7">
      <alignment horizontal="right"/>
    </xf>
    <xf applyAlignment="1" fontId="19" numFmtId="0" fillId="0" borderId="0" xfId="7">
      <alignment horizontal="left"/>
    </xf>
    <xf applyNumberFormat="1" fontId="19" numFmtId="4" fillId="0" borderId="0" xfId="7"/>
    <xf applyNumberFormat="1" fontId="19" numFmtId="165" fillId="0" borderId="0" xfId="7"/>
    <xf applyBorder="1" fontId="19" numFmtId="0" fillId="0" borderId="18" xfId="7"/>
    <xf applyBorder="1" fontId="19" numFmtId="0" fillId="0" borderId="1" xfId="7"/>
    <xf applyNumberFormat="1" applyFont="1" applyFill="1" applyBorder="1" applyAlignment="1" fontId="3" numFmtId="3" fillId="0" borderId="69" xfId="2">
      <alignment horizontal="left"/>
    </xf>
    <xf applyNumberFormat="1" applyFont="1" applyFill="1" applyBorder="1" applyAlignment="1" fontId="3" numFmtId="3" fillId="0" borderId="1" xfId="1"/>
    <xf applyNumberFormat="1" applyFont="1" applyFill="1" applyBorder="1" applyAlignment="1" fontId="3" numFmtId="3" fillId="3" borderId="70" xfId="1">
      <alignment horizontal="center"/>
    </xf>
    <xf applyNumberFormat="1" applyFont="1" applyBorder="1" fontId="18" numFmtId="3" fillId="0" borderId="70" xfId="0"/>
    <xf applyNumberFormat="1" applyFont="1" applyFill="1" applyBorder="1" applyAlignment="1" fontId="3" numFmtId="2" fillId="0" borderId="1" xfId="1"/>
    <xf applyNumberFormat="1" applyBorder="1" fontId="0" numFmtId="2" fillId="0" borderId="56" xfId="0"/>
    <xf applyNumberFormat="1" applyBorder="1" fontId="0" numFmtId="2" fillId="0" borderId="0" xfId="0"/>
    <xf applyNumberFormat="1" applyFont="1" applyFill="1" applyBorder="1" applyAlignment="1" fontId="3" numFmtId="2" fillId="0" borderId="55" xfId="1"/>
    <xf applyNumberFormat="1" applyFont="1" applyFill="1" applyBorder="1" applyAlignment="1" fontId="3" numFmtId="2" fillId="0" borderId="79" xfId="1"/>
    <xf applyNumberFormat="1" applyFont="1" applyFill="1" applyBorder="1" applyAlignment="1" fontId="3" numFmtId="3" fillId="0" borderId="75" xfId="2">
      <alignment horizontal="right"/>
    </xf>
    <xf applyNumberFormat="1" applyFont="1" applyFill="1" applyBorder="1" applyAlignment="1" fontId="3" numFmtId="1" fillId="3" borderId="70" xfId="2">
      <alignment horizontal="center"/>
    </xf>
    <xf applyNumberFormat="1" applyFont="1" applyFill="1" applyBorder="1" applyAlignment="1" applyProtection="1" fontId="2" numFmtId="164" fillId="0" borderId="0" xfId="4">
      <alignment horizontal="right"/>
    </xf>
    <xf applyNumberFormat="1" applyFont="1" applyFill="1" applyBorder="1" applyAlignment="1" fontId="15" numFmtId="3" fillId="3" borderId="70" xfId="1">
      <alignment horizontal="center"/>
    </xf>
    <xf applyFont="1" applyBorder="1" applyAlignment="1" fontId="14" numFmtId="0" fillId="0" borderId="72" xfId="0">
      <alignment horizontal="center"/>
    </xf>
    <xf applyNumberFormat="1" applyFont="1" applyBorder="1" applyAlignment="1" fontId="12" numFmtId="3" fillId="0" borderId="73" xfId="0">
      <alignment horizontal="center"/>
    </xf>
    <xf applyBorder="1" applyAlignment="1" fontId="0" numFmtId="0" fillId="0" borderId="56" xfId="0">
      <alignment horizontal="center"/>
    </xf>
    <xf applyBorder="1" applyAlignment="1" fontId="0" numFmtId="0" fillId="0" borderId="60" xfId="0">
      <alignment horizontal="center"/>
    </xf>
    <xf applyNumberFormat="1" applyFont="1" applyBorder="1" applyAlignment="1" fontId="13" numFmtId="3" fillId="0" borderId="76" xfId="0">
      <alignment horizontal="center"/>
    </xf>
    <xf applyBorder="1" applyAlignment="1" fontId="0" numFmtId="0" fillId="0" borderId="57" xfId="0">
      <alignment horizontal="center"/>
    </xf>
    <xf applyBorder="1" applyAlignment="1" fontId="0" numFmtId="0" fillId="0" borderId="61" xfId="0">
      <alignment horizontal="center"/>
    </xf>
    <xf applyNumberFormat="1" applyFont="1" applyFill="1" applyBorder="1" applyAlignment="1" applyProtection="1" fontId="5" numFmtId="3" fillId="5" borderId="70" xfId="0">
      <alignment horizontal="center"/>
    </xf>
    <xf applyNumberFormat="1" applyFont="1" applyFill="1" applyBorder="1" applyAlignment="1" applyProtection="1" fontId="5" numFmtId="3" fillId="5" borderId="71" xfId="0">
      <alignment horizontal="center"/>
    </xf>
    <xf applyNumberFormat="1" applyFont="1" applyFill="1" applyBorder="1" applyAlignment="1" applyProtection="1" fontId="2" numFmtId="3" fillId="3" borderId="74" xfId="0">
      <alignment horizontal="center"/>
    </xf>
    <xf applyNumberFormat="1" applyFont="1" applyFill="1" applyBorder="1" applyAlignment="1" applyProtection="1" fontId="2" numFmtId="3" fillId="3" borderId="72" xfId="0">
      <alignment horizontal="center"/>
    </xf>
    <xf applyNumberFormat="1" applyFont="1" applyFill="1" applyBorder="1" applyAlignment="1" fontId="3" numFmtId="3" fillId="0" borderId="48" xfId="2">
      <alignment horizontal="right"/>
    </xf>
    <xf applyNumberFormat="1" applyFont="1" applyFill="1" applyBorder="1" applyAlignment="1" fontId="3" numFmtId="3" fillId="0" borderId="77" xfId="2">
      <alignment horizontal="left"/>
    </xf>
    <xf applyNumberFormat="1" applyFont="1" applyFill="1" applyBorder="1" applyAlignment="1" fontId="3" numFmtId="3" fillId="0" borderId="78" xfId="1"/>
    <xf applyNumberFormat="1" applyFont="1" applyFill="1" applyBorder="1" applyAlignment="1" fontId="3" numFmtId="4" fillId="0" borderId="78" xfId="1"/>
    <xf applyNumberFormat="1" applyFont="1" applyFill="1" applyBorder="1" applyAlignment="1" applyProtection="1" fontId="2" numFmtId="164" fillId="0" borderId="75" xfId="4"/>
    <xf applyNumberFormat="1" applyFont="1" applyFill="1" applyBorder="1" applyAlignment="1" fontId="3" numFmtId="3" fillId="0" borderId="79" xfId="1"/>
    <xf applyNumberFormat="1" applyFont="1" applyFill="1" applyBorder="1" applyAlignment="1" fontId="3" numFmtId="3" fillId="0" borderId="0" xfId="2">
      <alignment horizontal="right"/>
    </xf>
    <xf applyNumberFormat="1" applyFont="1" applyFill="1" applyBorder="1" applyAlignment="1" fontId="3" numFmtId="3" fillId="0" borderId="64" xfId="2">
      <alignment horizontal="left"/>
    </xf>
    <xf applyNumberFormat="1" applyFont="1" applyFill="1" applyBorder="1" applyAlignment="1" fontId="3" numFmtId="3" fillId="0" borderId="65" xfId="1"/>
    <xf applyNumberFormat="1" applyFont="1" applyFill="1" applyBorder="1" applyAlignment="1" fontId="3" numFmtId="4" fillId="0" borderId="66" xfId="1"/>
    <xf applyNumberFormat="1" applyFont="1" applyFill="1" applyBorder="1" applyAlignment="1" applyProtection="1" fontId="2" numFmtId="164" fillId="0" borderId="80" xfId="4"/>
    <xf applyNumberFormat="1" applyFont="1" applyFill="1" applyBorder="1" applyAlignment="1" applyProtection="1" fontId="2" numFmtId="3" fillId="0" borderId="79" xfId="0"/>
  </cellXfs>
  <cellStyles count="9">
    <cellStyle name="20% - Accent5 2" xfId="8"/>
    <cellStyle name="60% - Accent1 2" xfId="6"/>
    <cellStyle name="Accent5" xfId="5" builtinId="45"/>
    <cellStyle name="Comma 2" xfId="1"/>
    <cellStyle name="Normal" xfId="0" builtinId="0"/>
    <cellStyle name="Normal 2" xfId="3"/>
    <cellStyle name="Normal 2 2" xfId="7"/>
    <cellStyle name="Normal_KbProject Proj Cost Sumry" xfId="2"/>
    <cellStyle name="Percent 2" xfId="4"/>
  </cellStyles>
  <dxfs count="0"/>
  <tableStyles count="0" defaultTableStyle="TableStyleMedium2" defaultPivotStyle="PivotStyleLight16"/>
  <colors>
    <mruColors xmlns="http://schemas.openxmlformats.org/spreadsheetml/2006/main">
      <color rgb="FFFFFF99"/>
      <color rgb="FFFFFFCC"/>
    </mru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Relationship Id="flId8" Type="http://schemas.microsoft.com/office/2006/relationships/vbaProject" Target="/xl/vbaProject.bin" 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466725</xdr:rowOff>
        </xdr:from>
        <xdr:to>
          <xdr:col>11</xdr:col>
          <xdr:colOff>1181100</xdr:colOff>
          <xdr:row>1</xdr:row>
          <xdr:rowOff>257175</xdr:rowOff>
        </xdr:to>
        <xdr:sp macro="[0]!CommandButton_Click">
          <xdr:nvSpPr>
            <xdr:cNvPr id="1026" name="Button 6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Indexing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Relationship Id="flId3" Type="http://schemas.openxmlformats.org/officeDocument/2006/relationships/vmlDrawing" Target="../drawings/vmlDrawing1.vml" /><Relationship Id="flId4" Type="http://schemas.openxmlformats.org/officeDocument/2006/relationships/ctrlProp" Target="../ctrlProps/ctrlProp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/>
  <dimension ref="A1:O50"/>
  <sheetViews>
    <sheetView tabSelected="1" topLeftCell="A1" zoomScale="70" zoomScaleNormal="70" workbookViewId="0">
      <pane ySplit="7" topLeftCell="A8" activePane="bottomLeft" state="frozen"/>
      <selection pane="bottomLeft" activeCell="A8" sqref="A8"/>
    </sheetView>
  </sheetViews>
  <sheetFormatPr defaultColWidth="9.140625" defaultRowHeight="12.75" customHeight="1"/>
  <cols>
    <col min="1" max="1" width="14.5703125" style="143" customWidth="1"/>
    <col min="2" max="2" width="34.7109375" customWidth="1"/>
    <col min="3" max="3" width="17.7109375" customWidth="1"/>
    <col min="4" max="4" width="19.42578125" customWidth="1"/>
    <col min="5" max="7" width="17.7109375" customWidth="1"/>
    <col min="9" max="9" width="7.85546875" customWidth="1"/>
    <col min="10" max="10" width="2.28515625" customWidth="1"/>
    <col min="11" max="12" width="17.7109375" customWidth="1"/>
    <col min="13" max="13" width="3.42578125" customWidth="1"/>
    <col min="14" max="15" width="13.7109375" style="114" customWidth="1"/>
  </cols>
  <sheetData>
    <row r="1" ht="37.5" customHeight="1">
      <c r="A1" s="197" t="s">
        <v>59</v>
      </c>
      <c r="B1" s="198"/>
      <c r="C1" s="198"/>
      <c r="D1" s="198"/>
      <c r="E1" s="198"/>
      <c r="F1" s="198"/>
      <c r="G1" s="198"/>
      <c r="H1" s="198"/>
      <c r="I1" s="199"/>
    </row>
    <row r="2" ht="21" customHeight="1">
      <c r="A2" s="200" t="s">
        <v>56</v>
      </c>
      <c r="B2" s="201"/>
      <c r="C2" s="201"/>
      <c r="D2" s="201"/>
      <c r="E2" s="201"/>
      <c r="F2" s="201"/>
      <c r="G2" s="201"/>
      <c r="H2" s="201"/>
      <c r="I2" s="202"/>
    </row>
    <row r="3" ht="12.75" customHeight="1">
      <c r="A3" s="130" t="s">
        <v>7</v>
      </c>
      <c r="B3" s="91" t="s">
        <v>69</v>
      </c>
      <c r="C3" s="84"/>
      <c r="D3" s="85"/>
      <c r="E3" s="86"/>
      <c r="F3" s="85"/>
      <c r="G3" s="85"/>
      <c r="H3" s="87"/>
      <c r="I3" s="88"/>
    </row>
    <row r="4" ht="12.75" customHeight="1">
      <c r="A4" s="131" t="s">
        <v>8</v>
      </c>
      <c r="B4" s="92" t="s">
        <v>70</v>
      </c>
      <c r="C4" s="11"/>
      <c r="D4" s="12"/>
      <c r="E4" s="13" t="s">
        <v>16</v>
      </c>
      <c r="F4" s="92" t="s">
        <v>75</v>
      </c>
      <c r="G4" s="92"/>
      <c r="H4" s="14"/>
      <c r="I4" s="15"/>
      <c r="K4" s="195" t="s">
        <v>49</v>
      </c>
      <c r="L4" s="196"/>
      <c r="N4" s="195" t="s">
        <v>57</v>
      </c>
      <c r="O4" s="196"/>
    </row>
    <row r="5" ht="12.75" customHeight="1">
      <c r="A5" s="132" t="s">
        <v>9</v>
      </c>
      <c r="B5" s="90" t="s">
        <v>71</v>
      </c>
      <c r="C5" s="11"/>
      <c r="D5" s="16" t="s">
        <v>17</v>
      </c>
      <c r="E5" s="92" t="s">
        <v>73</v>
      </c>
      <c r="F5" s="11"/>
      <c r="G5" s="13" t="s">
        <v>18</v>
      </c>
      <c r="H5" s="92" t="s">
        <v>76</v>
      </c>
      <c r="I5" s="15"/>
    </row>
    <row r="6" ht="12.75" customHeight="1">
      <c r="A6" s="132" t="s">
        <v>10</v>
      </c>
      <c r="B6" s="90" t="s">
        <v>72</v>
      </c>
      <c r="C6" s="11"/>
      <c r="D6" s="16" t="s">
        <v>19</v>
      </c>
      <c r="E6" s="90" t="s">
        <v>74</v>
      </c>
      <c r="F6" s="17"/>
      <c r="G6" s="16" t="s">
        <v>20</v>
      </c>
      <c r="H6" s="90" t="s">
        <v>77</v>
      </c>
      <c r="I6" s="18"/>
    </row>
    <row r="7" ht="12.75" customHeight="1">
      <c r="A7" s="193" t="s">
        <v>15</v>
      </c>
      <c r="B7" s="89" t="s">
        <v>0</v>
      </c>
      <c r="C7" s="74" t="s">
        <v>1</v>
      </c>
      <c r="D7" s="72" t="s">
        <v>2</v>
      </c>
      <c r="E7" s="73" t="s">
        <v>3</v>
      </c>
      <c r="F7" s="74" t="s">
        <v>4</v>
      </c>
      <c r="G7" s="74" t="s">
        <v>5</v>
      </c>
      <c r="H7" s="205" t="s">
        <v>6</v>
      </c>
      <c r="I7" s="206"/>
      <c r="J7" s="1"/>
      <c r="K7" s="77" t="s">
        <v>60</v>
      </c>
      <c r="L7" s="78" t="s">
        <v>11</v>
      </c>
      <c r="M7" s="2"/>
      <c r="N7" s="115" t="s">
        <v>61</v>
      </c>
      <c r="O7" s="117" t="s">
        <v>12</v>
      </c>
    </row>
    <row r="8" ht="12.75" customHeight="1">
      <c r="A8" s="192" t="s">
        <v>116</v>
      </c>
      <c r="B8" s="50" t="s">
        <v>117</v>
      </c>
      <c r="C8" s="3" t="s">
        <v>118</v>
      </c>
      <c r="D8" s="4" t="s">
        <v>119</v>
      </c>
      <c r="E8" s="3" t="s">
        <v>120</v>
      </c>
      <c r="F8" s="3" t="s">
        <v>121</v>
      </c>
      <c r="G8" s="3" t="s">
        <v>122</v>
      </c>
      <c r="H8" s="194">
        <f>IFERROR(G8/$G$10, 0)</f>
        <v>0</v>
      </c>
      <c r="I8" s="145" t="s">
        <v>13</v>
      </c>
      <c r="J8" s="5"/>
      <c r="K8" s="184"/>
      <c r="L8" s="54"/>
      <c r="M8" s="2"/>
      <c r="N8" s="187">
        <f>IF(K8&lt;&gt;"",IFERROR(+K8/C8*100,100),100)</f>
        <v>100</v>
      </c>
      <c r="O8" s="190">
        <f>IF(L8&lt;&gt;"",IFERROR(+L8/F8*100,100),100)</f>
        <v>100</v>
      </c>
    </row>
    <row r="9" ht="12.75" customHeight="1">
      <c r="A9" s="183"/>
      <c r="B9" s="51"/>
      <c r="C9" s="7"/>
      <c r="D9" s="8"/>
      <c r="E9" s="7"/>
      <c r="F9" s="7"/>
      <c r="G9" s="7"/>
      <c r="H9" s="144"/>
      <c r="I9" s="145"/>
      <c r="J9" s="1"/>
      <c r="K9" s="184"/>
      <c r="L9" s="160"/>
      <c r="M9" s="2"/>
      <c r="N9" s="187">
        <f>IF(K9&lt;&gt;"",IFERROR(+K9/C9*100,100),100)</f>
        <v>100</v>
      </c>
      <c r="O9" s="191">
        <f>IF(L9&lt;&gt;"",IFERROR(+L9/F9*100,100),100)</f>
        <v>100</v>
      </c>
    </row>
    <row r="10" ht="12.75" customHeight="1">
      <c r="A10" s="10"/>
      <c r="B10" s="52" t="s">
        <v>14</v>
      </c>
      <c r="C10" s="9">
        <f>SUM(C8:C9)</f>
        <v>0</v>
      </c>
      <c r="D10" s="10"/>
      <c r="E10" s="9">
        <f>SUM(E8:E9)</f>
        <v>0</v>
      </c>
      <c r="F10" s="9">
        <f>SUM(F8:F9)</f>
        <v>0</v>
      </c>
      <c r="G10" s="9">
        <f>SUM(G8:G9)</f>
        <v>0</v>
      </c>
      <c r="H10" s="162">
        <f>IFERROR(($E$10+$F$10)/$G$10, 0)</f>
        <v>0</v>
      </c>
      <c r="I10" s="161" t="s">
        <v>13</v>
      </c>
      <c r="J10" s="1"/>
      <c r="K10" s="186">
        <f>SUM(K8:K9)</f>
        <v>0</v>
      </c>
      <c r="L10" s="170">
        <f>SUM(L8:L9)</f>
        <v>0</v>
      </c>
      <c r="M10" s="2"/>
      <c r="N10" s="188"/>
      <c r="O10" s="188"/>
    </row>
    <row r="11" ht="12.75" customHeight="1">
      <c r="A11" s="134"/>
      <c r="B11" s="93"/>
      <c r="C11" s="20" t="s">
        <v>21</v>
      </c>
      <c r="D11" s="21"/>
      <c r="E11" s="20" t="s">
        <v>22</v>
      </c>
      <c r="F11" s="20" t="s">
        <v>23</v>
      </c>
      <c r="G11" s="20" t="s">
        <v>24</v>
      </c>
      <c r="H11" s="22"/>
      <c r="I11" s="23"/>
      <c r="K11" s="55"/>
      <c r="L11" s="55"/>
    </row>
    <row r="12" ht="12.75" customHeight="1">
      <c r="A12" s="135" t="s">
        <v>54</v>
      </c>
      <c r="B12" s="83" t="s">
        <v>55</v>
      </c>
      <c r="C12" s="74" t="s">
        <v>1</v>
      </c>
      <c r="D12" s="72" t="s">
        <v>25</v>
      </c>
      <c r="E12" s="74" t="s">
        <v>3</v>
      </c>
      <c r="F12" s="74" t="s">
        <v>4</v>
      </c>
      <c r="G12" s="74" t="s">
        <v>26</v>
      </c>
      <c r="H12" s="205" t="s">
        <v>6</v>
      </c>
      <c r="I12" s="206"/>
      <c r="J12" s="19"/>
      <c r="K12" s="185" t="s">
        <v>60</v>
      </c>
      <c r="L12" s="78" t="s">
        <v>11</v>
      </c>
      <c r="M12" s="2"/>
      <c r="N12" s="116"/>
      <c r="O12" s="116"/>
    </row>
    <row r="13" ht="12.75" customHeight="1">
      <c r="A13" s="192" t="s">
        <v>128</v>
      </c>
      <c r="B13" s="50" t="s">
        <v>129</v>
      </c>
      <c r="C13" s="3" t="s">
        <v>123</v>
      </c>
      <c r="D13" s="4" t="s">
        <v>124</v>
      </c>
      <c r="E13" s="3" t="s">
        <v>125</v>
      </c>
      <c r="F13" s="3" t="s">
        <v>126</v>
      </c>
      <c r="G13" s="3" t="s">
        <v>127</v>
      </c>
      <c r="H13" s="146">
        <f>IFERROR(G13/$G$16, 0)</f>
        <v>0</v>
      </c>
      <c r="I13" s="145" t="s">
        <v>50</v>
      </c>
      <c r="J13" s="19"/>
      <c r="K13" s="184"/>
      <c r="L13" s="54"/>
      <c r="M13" s="2"/>
      <c r="N13" s="116"/>
      <c r="O13" s="116"/>
    </row>
    <row r="14" ht="12.75" customHeight="1">
      <c r="A14" s="207"/>
      <c r="B14" s="208"/>
      <c r="C14" s="209"/>
      <c r="D14" s="210"/>
      <c r="E14" s="209"/>
      <c r="F14" s="209"/>
      <c r="G14" s="209"/>
      <c r="H14" s="211"/>
      <c r="I14" s="145"/>
      <c r="J14" s="19"/>
      <c r="K14" s="184"/>
      <c r="L14" s="212"/>
      <c r="M14" s="2"/>
      <c r="N14" s="116"/>
      <c r="O14" s="116"/>
    </row>
    <row r="15" ht="12.75" customHeight="1">
      <c r="A15" s="133"/>
      <c r="B15" s="50"/>
      <c r="C15" s="3"/>
      <c r="D15" s="4"/>
      <c r="E15" s="3"/>
      <c r="F15" s="3"/>
      <c r="G15" s="3"/>
      <c r="H15" s="146"/>
      <c r="I15" s="145"/>
      <c r="J15" s="19"/>
      <c r="K15" s="184"/>
      <c r="L15" s="160"/>
      <c r="M15" s="2"/>
      <c r="N15" s="116"/>
      <c r="O15" s="116"/>
    </row>
    <row r="16" ht="12.75" customHeight="1">
      <c r="A16" s="10"/>
      <c r="B16" s="52" t="s">
        <v>27</v>
      </c>
      <c r="C16" s="9">
        <f>SUM(C13:C15)</f>
        <v>0</v>
      </c>
      <c r="D16" s="10"/>
      <c r="E16" s="9">
        <f>SUM(E13:E15)</f>
        <v>0</v>
      </c>
      <c r="F16" s="9">
        <f>SUM(F13:F15)</f>
        <v>0</v>
      </c>
      <c r="G16" s="9">
        <f>+SUM(G13:G15)</f>
        <v>0</v>
      </c>
      <c r="H16" s="162">
        <f>IFERROR($G$16/$E$10,0)</f>
        <v>0</v>
      </c>
      <c r="I16" s="163" t="s">
        <v>63</v>
      </c>
      <c r="J16" s="1"/>
      <c r="K16" s="169">
        <f>SUM(K13:K15)</f>
        <v>0</v>
      </c>
      <c r="L16" s="170">
        <f>SUM(L13:L15)</f>
        <v>0</v>
      </c>
      <c r="M16" s="2"/>
      <c r="N16" s="116"/>
      <c r="O16" s="116"/>
    </row>
    <row r="17" ht="12.75" customHeight="1">
      <c r="A17" s="136"/>
      <c r="B17" s="94"/>
      <c r="C17" s="20" t="s">
        <v>28</v>
      </c>
      <c r="D17" s="21"/>
      <c r="E17" s="20" t="s">
        <v>66</v>
      </c>
      <c r="F17" s="20" t="s">
        <v>67</v>
      </c>
      <c r="G17" s="20" t="s">
        <v>29</v>
      </c>
      <c r="H17" s="144"/>
      <c r="I17" s="147"/>
      <c r="J17" s="1"/>
      <c r="K17" s="35"/>
      <c r="L17" s="35"/>
      <c r="M17" s="2"/>
      <c r="N17" s="116"/>
      <c r="O17" s="116"/>
    </row>
    <row r="18" ht="12.75" customHeight="1">
      <c r="A18" s="136"/>
      <c r="B18" s="95"/>
      <c r="C18" s="27"/>
      <c r="D18" s="28"/>
      <c r="E18" s="27"/>
      <c r="F18" s="101"/>
      <c r="G18" s="101"/>
      <c r="H18" s="148"/>
      <c r="I18" s="30"/>
      <c r="J18" s="1"/>
      <c r="K18" s="29"/>
      <c r="L18" s="29"/>
      <c r="M18" s="2"/>
      <c r="N18" s="116"/>
      <c r="O18" s="116"/>
    </row>
    <row r="19" ht="12.75" customHeight="1">
      <c r="A19" s="10"/>
      <c r="B19" s="52" t="s">
        <v>30</v>
      </c>
      <c r="C19" s="9">
        <f>C16+C10</f>
        <v>0</v>
      </c>
      <c r="D19" s="9"/>
      <c r="E19" s="9">
        <f>E16+E10</f>
        <v>0</v>
      </c>
      <c r="F19" s="9">
        <f>F16+F10</f>
        <v>0</v>
      </c>
      <c r="G19" s="9">
        <f>G16+G10</f>
        <v>0</v>
      </c>
      <c r="H19" s="162">
        <f>IFERROR($G$19/$G$42,0)</f>
        <v>0</v>
      </c>
      <c r="I19" s="163" t="s">
        <v>31</v>
      </c>
      <c r="J19" s="1"/>
      <c r="K19" s="167">
        <f>K16+K10</f>
        <v>0</v>
      </c>
      <c r="L19" s="168">
        <f>L16+L10</f>
        <v>0</v>
      </c>
      <c r="M19" s="2"/>
      <c r="N19" s="116"/>
      <c r="O19" s="116"/>
    </row>
    <row r="20" ht="12.75" customHeight="1">
      <c r="A20" s="136"/>
      <c r="B20" s="94"/>
      <c r="C20" s="20" t="s">
        <v>32</v>
      </c>
      <c r="D20" s="21"/>
      <c r="E20" s="20" t="s">
        <v>33</v>
      </c>
      <c r="F20" s="20" t="s">
        <v>34</v>
      </c>
      <c r="G20" s="20" t="s">
        <v>35</v>
      </c>
      <c r="H20" s="25"/>
      <c r="I20" s="26"/>
      <c r="J20" s="1"/>
      <c r="K20" s="20"/>
      <c r="L20" s="20"/>
      <c r="M20" s="2"/>
      <c r="N20" s="116"/>
      <c r="O20" s="116"/>
    </row>
    <row r="21" ht="12.75" customHeight="1">
      <c r="A21" s="136"/>
      <c r="B21" s="94"/>
      <c r="C21" s="24"/>
      <c r="D21" s="31"/>
      <c r="E21" s="24"/>
      <c r="F21" s="100"/>
      <c r="G21" s="100"/>
      <c r="H21" s="25"/>
      <c r="I21" s="26"/>
      <c r="J21" s="1"/>
      <c r="K21" s="57"/>
      <c r="L21" s="57"/>
      <c r="M21" s="2"/>
      <c r="N21" s="116"/>
      <c r="O21" s="116"/>
    </row>
    <row r="22" ht="12.75" customHeight="1">
      <c r="A22" s="137" t="s">
        <v>54</v>
      </c>
      <c r="B22" s="83" t="s">
        <v>55</v>
      </c>
      <c r="C22" s="76" t="s">
        <v>1</v>
      </c>
      <c r="D22" s="75" t="s">
        <v>25</v>
      </c>
      <c r="E22" s="76" t="s">
        <v>3</v>
      </c>
      <c r="F22" s="76" t="s">
        <v>4</v>
      </c>
      <c r="G22" s="76" t="s">
        <v>26</v>
      </c>
      <c r="H22" s="205" t="s">
        <v>6</v>
      </c>
      <c r="I22" s="206"/>
      <c r="J22" s="1"/>
      <c r="K22" s="77" t="s">
        <v>60</v>
      </c>
      <c r="L22" s="79" t="s">
        <v>11</v>
      </c>
      <c r="M22" s="2"/>
      <c r="N22" s="116"/>
      <c r="O22" s="116"/>
    </row>
    <row r="23" ht="12.75" customHeight="1">
      <c r="A23" s="133" t="s">
        <v>165</v>
      </c>
      <c r="B23" s="122" t="s">
        <v>62</v>
      </c>
      <c r="C23" s="81"/>
      <c r="D23" s="81"/>
      <c r="E23" s="81"/>
      <c r="F23" s="81"/>
      <c r="G23" s="81"/>
      <c r="H23" s="149"/>
      <c r="I23" s="105"/>
      <c r="J23" s="5"/>
      <c r="K23" s="44"/>
      <c r="L23" s="45"/>
      <c r="M23" s="2"/>
      <c r="N23" s="116"/>
      <c r="O23" s="116"/>
    </row>
    <row r="24" ht="12.75" customHeight="1">
      <c r="A24" s="192" t="s">
        <v>130</v>
      </c>
      <c r="B24" s="50" t="s">
        <v>131</v>
      </c>
      <c r="C24" s="3" t="s">
        <v>132</v>
      </c>
      <c r="D24" s="4" t="s">
        <v>133</v>
      </c>
      <c r="E24" s="3" t="s">
        <v>134</v>
      </c>
      <c r="F24" s="3" t="s">
        <v>135</v>
      </c>
      <c r="G24" s="3" t="s">
        <v>136</v>
      </c>
      <c r="H24" s="150" t="str">
        <f>IF($G$24&lt;&gt;0,IFERROR(G24/$F$10, ""),0)</f>
        <v/>
      </c>
      <c r="I24" s="151" t="s">
        <v>64</v>
      </c>
      <c r="J24" s="5"/>
      <c r="K24" s="119"/>
      <c r="L24" s="120"/>
      <c r="M24" s="2"/>
      <c r="N24" s="116"/>
      <c r="O24" s="116"/>
    </row>
    <row r="25" ht="12.75" customHeight="1">
      <c r="A25" s="133"/>
      <c r="B25" s="96"/>
      <c r="C25" s="24"/>
      <c r="D25" s="24"/>
      <c r="E25" s="24"/>
      <c r="F25" s="24"/>
      <c r="G25" s="24"/>
      <c r="H25" s="150"/>
      <c r="I25" s="151"/>
      <c r="J25" s="5"/>
      <c r="K25" s="119"/>
      <c r="L25" s="120"/>
      <c r="M25" s="2"/>
      <c r="N25" s="116"/>
      <c r="O25" s="116"/>
    </row>
    <row r="26" ht="12.75" customHeight="1">
      <c r="A26" s="133" t="s">
        <v>166</v>
      </c>
      <c r="B26" s="121" t="s">
        <v>36</v>
      </c>
      <c r="C26" s="24"/>
      <c r="D26" s="24"/>
      <c r="E26" s="24"/>
      <c r="F26" s="24"/>
      <c r="G26" s="24"/>
      <c r="H26" s="152"/>
      <c r="I26" s="105"/>
      <c r="J26" s="5"/>
      <c r="K26" s="46"/>
      <c r="L26" s="47"/>
      <c r="M26" s="2"/>
      <c r="N26" s="116"/>
      <c r="O26" s="116"/>
    </row>
    <row r="27" ht="12.75" customHeight="1">
      <c r="A27" s="192" t="s">
        <v>144</v>
      </c>
      <c r="B27" s="50" t="s">
        <v>145</v>
      </c>
      <c r="C27" s="3" t="s">
        <v>146</v>
      </c>
      <c r="D27" s="4" t="s">
        <v>147</v>
      </c>
      <c r="E27" s="3" t="s">
        <v>148</v>
      </c>
      <c r="F27" s="3" t="s">
        <v>149</v>
      </c>
      <c r="G27" s="3" t="s">
        <v>150</v>
      </c>
      <c r="H27" s="152">
        <f>IF($G$10=0,0,G27/$G$10)</f>
        <v>0</v>
      </c>
      <c r="I27" s="151" t="s">
        <v>13</v>
      </c>
      <c r="J27" s="5"/>
      <c r="K27" s="118"/>
      <c r="L27" s="47"/>
      <c r="M27" s="2"/>
      <c r="N27" s="116"/>
      <c r="O27" s="116"/>
    </row>
    <row r="28" ht="12.75" customHeight="1">
      <c r="A28" s="133"/>
      <c r="B28" s="97"/>
      <c r="C28" s="24"/>
      <c r="D28" s="24"/>
      <c r="E28" s="24"/>
      <c r="F28" s="24"/>
      <c r="G28" s="24"/>
      <c r="H28" s="152"/>
      <c r="I28" s="151"/>
      <c r="J28" s="5"/>
      <c r="K28" s="118"/>
      <c r="L28" s="47"/>
      <c r="M28" s="2"/>
      <c r="N28" s="116"/>
      <c r="O28" s="116"/>
    </row>
    <row r="29" ht="12.75" customHeight="1">
      <c r="A29" s="133" t="s">
        <v>167</v>
      </c>
      <c r="B29" s="80" t="s">
        <v>37</v>
      </c>
      <c r="C29" s="24"/>
      <c r="D29" s="24"/>
      <c r="E29" s="24"/>
      <c r="F29" s="24"/>
      <c r="G29" s="24"/>
      <c r="H29" s="152"/>
      <c r="I29" s="105"/>
      <c r="J29" s="6"/>
      <c r="K29" s="46"/>
      <c r="L29" s="47"/>
      <c r="M29" s="2"/>
      <c r="N29" s="116"/>
      <c r="O29" s="116"/>
    </row>
    <row r="30" ht="12.75" customHeight="1">
      <c r="A30" s="192" t="s">
        <v>151</v>
      </c>
      <c r="B30" s="50" t="s">
        <v>152</v>
      </c>
      <c r="C30" s="3" t="s">
        <v>153</v>
      </c>
      <c r="D30" s="4" t="s">
        <v>154</v>
      </c>
      <c r="E30" s="3" t="s">
        <v>155</v>
      </c>
      <c r="F30" s="3" t="s">
        <v>156</v>
      </c>
      <c r="G30" s="3" t="s">
        <v>157</v>
      </c>
      <c r="H30" s="152">
        <f>IF($G$19=0,0,G30/$G$19)</f>
        <v>0</v>
      </c>
      <c r="I30" s="105" t="s">
        <v>65</v>
      </c>
      <c r="J30" s="6"/>
      <c r="K30" s="46"/>
      <c r="L30" s="47"/>
      <c r="M30" s="2"/>
      <c r="N30" s="116"/>
      <c r="O30" s="116"/>
    </row>
    <row r="31" ht="12.75" customHeight="1">
      <c r="A31" s="133"/>
      <c r="B31" s="97"/>
      <c r="C31" s="24"/>
      <c r="D31" s="24"/>
      <c r="E31" s="24"/>
      <c r="F31" s="24"/>
      <c r="G31" s="24"/>
      <c r="H31" s="152"/>
      <c r="I31" s="105"/>
      <c r="J31" s="6"/>
      <c r="K31" s="118"/>
      <c r="L31" s="47"/>
      <c r="M31" s="2"/>
      <c r="N31" s="116"/>
      <c r="O31" s="116"/>
    </row>
    <row r="32" ht="12.75" customHeight="1">
      <c r="A32" s="133" t="s">
        <v>168</v>
      </c>
      <c r="B32" s="80" t="s">
        <v>38</v>
      </c>
      <c r="C32" s="24"/>
      <c r="D32" s="24"/>
      <c r="E32" s="24"/>
      <c r="F32" s="24"/>
      <c r="G32" s="24"/>
      <c r="H32" s="152"/>
      <c r="I32" s="105"/>
      <c r="J32" s="6"/>
      <c r="K32" s="46"/>
      <c r="L32" s="47"/>
      <c r="M32" s="2"/>
      <c r="N32" s="116"/>
      <c r="O32" s="116"/>
    </row>
    <row r="33" ht="12.75" customHeight="1">
      <c r="A33" s="192" t="s">
        <v>158</v>
      </c>
      <c r="B33" s="50" t="s">
        <v>159</v>
      </c>
      <c r="C33" s="3" t="s">
        <v>160</v>
      </c>
      <c r="D33" s="4" t="s">
        <v>161</v>
      </c>
      <c r="E33" s="3" t="s">
        <v>162</v>
      </c>
      <c r="F33" s="3" t="s">
        <v>163</v>
      </c>
      <c r="G33" s="3" t="s">
        <v>164</v>
      </c>
      <c r="H33" s="152">
        <f>IF($G$19=0,0,G33/$G$19)</f>
        <v>0</v>
      </c>
      <c r="I33" s="105" t="s">
        <v>65</v>
      </c>
      <c r="J33" s="6"/>
      <c r="K33" s="46"/>
      <c r="L33" s="47"/>
      <c r="M33" s="2"/>
      <c r="N33" s="116"/>
      <c r="O33" s="116"/>
    </row>
    <row r="34" ht="12.75" customHeight="1">
      <c r="A34" s="133"/>
      <c r="B34" s="97"/>
      <c r="C34" s="24"/>
      <c r="D34" s="24"/>
      <c r="E34" s="24"/>
      <c r="F34" s="24"/>
      <c r="G34" s="24"/>
      <c r="H34" s="152"/>
      <c r="I34" s="105"/>
      <c r="J34" s="6"/>
      <c r="K34" s="123"/>
      <c r="L34" s="124"/>
      <c r="M34" s="2"/>
      <c r="N34" s="116"/>
      <c r="O34" s="116"/>
    </row>
    <row r="35" ht="12.75" customHeight="1">
      <c r="A35" s="133" t="s">
        <v>169</v>
      </c>
      <c r="B35" s="80" t="s">
        <v>39</v>
      </c>
      <c r="C35" s="24"/>
      <c r="D35" s="24"/>
      <c r="E35" s="24"/>
      <c r="F35" s="24"/>
      <c r="G35" s="24"/>
      <c r="H35" s="32"/>
      <c r="I35" s="82"/>
      <c r="J35" s="19"/>
      <c r="K35" s="42"/>
      <c r="L35" s="43"/>
      <c r="M35" s="2"/>
      <c r="N35" s="116"/>
      <c r="O35" s="116"/>
    </row>
    <row r="36" ht="12.75" customHeight="1">
      <c r="A36" s="192" t="s">
        <v>137</v>
      </c>
      <c r="B36" s="50" t="s">
        <v>138</v>
      </c>
      <c r="C36" s="3" t="s">
        <v>139</v>
      </c>
      <c r="D36" s="4" t="s">
        <v>140</v>
      </c>
      <c r="E36" s="3" t="s">
        <v>141</v>
      </c>
      <c r="F36" s="3" t="s">
        <v>142</v>
      </c>
      <c r="G36" s="3" t="s">
        <v>143</v>
      </c>
      <c r="H36" s="153">
        <f>IF($G$42=0,0,G36/$G$42)</f>
        <v>0</v>
      </c>
      <c r="I36" s="154" t="s">
        <v>31</v>
      </c>
      <c r="J36" s="33"/>
      <c r="K36" s="48"/>
      <c r="L36" s="49"/>
      <c r="M36" s="2"/>
      <c r="N36" s="116"/>
      <c r="O36" s="116"/>
    </row>
    <row r="37" ht="12.75" customHeight="1">
      <c r="A37" s="213"/>
      <c r="B37" s="214"/>
      <c r="C37" s="215"/>
      <c r="D37" s="216"/>
      <c r="E37" s="215"/>
      <c r="F37" s="215"/>
      <c r="G37" s="215"/>
      <c r="H37" s="217"/>
      <c r="I37" s="218"/>
      <c r="J37" s="33"/>
      <c r="K37" s="128"/>
      <c r="L37" s="129"/>
      <c r="M37" s="2"/>
      <c r="N37" s="116"/>
      <c r="O37" s="116"/>
    </row>
    <row r="38" ht="12.75" customHeight="1">
      <c r="A38" s="138"/>
      <c r="B38" s="125"/>
      <c r="C38" s="126"/>
      <c r="D38" s="127"/>
      <c r="E38" s="126"/>
      <c r="F38" s="126"/>
      <c r="G38" s="126"/>
      <c r="H38" s="153"/>
      <c r="I38" s="154"/>
      <c r="J38" s="33"/>
      <c r="K38" s="128"/>
      <c r="L38" s="129"/>
      <c r="M38" s="2"/>
      <c r="N38" s="116"/>
      <c r="O38" s="116"/>
    </row>
    <row r="39" ht="12.75" customHeight="1">
      <c r="A39" s="10"/>
      <c r="B39" s="52" t="s">
        <v>40</v>
      </c>
      <c r="C39" s="9">
        <f>SUM(C23:C38)</f>
        <v>0</v>
      </c>
      <c r="D39" s="10"/>
      <c r="E39" s="9">
        <f>SUM(E23:E38)</f>
        <v>0</v>
      </c>
      <c r="F39" s="9">
        <f>SUM(F23:F38)</f>
        <v>0</v>
      </c>
      <c r="G39" s="9">
        <f>SUM(G23:G38)</f>
        <v>0</v>
      </c>
      <c r="H39" s="162">
        <f>IFERROR($G$39/$G$42,0)</f>
        <v>0</v>
      </c>
      <c r="I39" s="163" t="s">
        <v>31</v>
      </c>
      <c r="J39" s="34"/>
      <c r="K39" s="167">
        <f>SUM(K23:K38)</f>
        <v>0</v>
      </c>
      <c r="L39" s="168">
        <f>SUM(L23:L38)</f>
        <v>0</v>
      </c>
      <c r="M39" s="2"/>
      <c r="N39" s="116"/>
      <c r="O39" s="116"/>
    </row>
    <row r="40" ht="12.75" customHeight="1">
      <c r="A40" s="139"/>
      <c r="B40" s="53"/>
      <c r="C40" s="35" t="s">
        <v>41</v>
      </c>
      <c r="D40" s="36"/>
      <c r="E40" s="35" t="s">
        <v>68</v>
      </c>
      <c r="F40" s="35" t="s">
        <v>42</v>
      </c>
      <c r="G40" s="35" t="s">
        <v>43</v>
      </c>
      <c r="H40" s="155"/>
      <c r="I40" s="156"/>
      <c r="J40" s="33"/>
      <c r="K40" s="56"/>
      <c r="L40" s="56"/>
      <c r="M40" s="2"/>
      <c r="N40" s="116"/>
      <c r="O40" s="116"/>
    </row>
    <row r="41" ht="12.75" customHeight="1">
      <c r="A41" s="140"/>
      <c r="B41" s="94"/>
      <c r="C41" s="24"/>
      <c r="D41" s="31"/>
      <c r="E41" s="100"/>
      <c r="F41" s="100"/>
      <c r="G41" s="100"/>
      <c r="H41" s="144"/>
      <c r="I41" s="147"/>
      <c r="J41" s="33"/>
      <c r="K41" s="157"/>
      <c r="L41" s="157"/>
      <c r="M41" s="2"/>
      <c r="N41" s="116"/>
      <c r="O41" s="116"/>
    </row>
    <row r="42" ht="12.75" customHeight="1">
      <c r="A42" s="203" t="s">
        <v>44</v>
      </c>
      <c r="B42" s="204"/>
      <c r="C42" s="37">
        <f>+C39+C19</f>
        <v>0</v>
      </c>
      <c r="D42" s="38"/>
      <c r="E42" s="37">
        <f>+E39+E19</f>
        <v>0</v>
      </c>
      <c r="F42" s="37">
        <f>+F39+F19</f>
        <v>0</v>
      </c>
      <c r="G42" s="37">
        <f>+G39+G19</f>
        <v>0</v>
      </c>
      <c r="H42" s="164">
        <f>IFERROR(G42/G10,0)</f>
        <v>0</v>
      </c>
      <c r="I42" s="165" t="s">
        <v>13</v>
      </c>
      <c r="J42" s="33"/>
      <c r="K42" s="167">
        <f>K39+K19</f>
        <v>0</v>
      </c>
      <c r="L42" s="168">
        <f>L39+L19</f>
        <v>0</v>
      </c>
      <c r="M42" s="159"/>
      <c r="N42" s="189"/>
      <c r="O42" s="189"/>
    </row>
    <row r="43" ht="12.75" customHeight="1">
      <c r="A43" s="141"/>
      <c r="B43" s="98"/>
      <c r="C43" s="166" t="s">
        <v>45</v>
      </c>
      <c r="D43" s="39"/>
      <c r="E43" s="166" t="s">
        <v>46</v>
      </c>
      <c r="F43" s="166" t="s">
        <v>47</v>
      </c>
      <c r="G43" s="166" t="s">
        <v>48</v>
      </c>
      <c r="H43" s="40"/>
      <c r="I43" s="41"/>
      <c r="J43" s="19"/>
      <c r="K43" s="20"/>
      <c r="L43" s="20"/>
      <c r="M43" s="2"/>
      <c r="N43" s="158"/>
      <c r="O43" s="158"/>
    </row>
    <row r="44" ht="12.75" customHeight="1">
      <c r="A44" s="142"/>
      <c r="B44" s="99"/>
      <c r="C44" s="99"/>
      <c r="D44" s="99"/>
      <c r="E44" s="99"/>
      <c r="F44" s="99"/>
      <c r="G44" s="99"/>
      <c r="H44" s="99"/>
      <c r="I44" s="99"/>
    </row>
    <row r="45" ht="12.75" customHeight="1">
      <c r="A45" s="142"/>
      <c r="B45" s="99"/>
      <c r="C45" s="99"/>
      <c r="D45" s="99"/>
      <c r="E45" s="99"/>
      <c r="F45" s="99"/>
      <c r="G45" s="99"/>
      <c r="H45" s="99"/>
      <c r="I45" s="99"/>
    </row>
    <row r="46" ht="12.75" customHeight="1">
      <c r="A46" s="142"/>
      <c r="B46" s="99"/>
      <c r="C46" s="99"/>
      <c r="D46" s="99"/>
      <c r="E46" s="99"/>
      <c r="F46" s="99"/>
      <c r="G46" s="99"/>
      <c r="H46" s="99"/>
      <c r="I46" s="99"/>
    </row>
    <row r="47" ht="12.75" customHeight="1">
      <c r="B47" s="65" t="s">
        <v>51</v>
      </c>
      <c r="C47" s="66"/>
      <c r="D47" s="67"/>
      <c r="E47" s="113"/>
      <c r="F47" s="112"/>
      <c r="G47" s="112"/>
      <c r="H47" s="68"/>
      <c r="I47" s="69"/>
    </row>
    <row r="48" ht="12.75" customHeight="1">
      <c r="A48" s="142"/>
      <c r="B48" s="62" t="s">
        <v>58</v>
      </c>
      <c r="C48" s="63"/>
      <c r="D48" s="64">
        <f>IF($B$8&lt;&gt;"(2) Equipment",0,IFERROR(G42/F8,0))</f>
        <v>0</v>
      </c>
      <c r="E48" s="108"/>
      <c r="F48" s="109"/>
      <c r="G48" s="109"/>
      <c r="H48" s="102"/>
      <c r="I48" s="103"/>
    </row>
    <row r="49" ht="12.75" customHeight="1">
      <c r="A49" s="142"/>
      <c r="B49" s="58" t="s">
        <v>52</v>
      </c>
      <c r="C49" s="59"/>
      <c r="D49" s="60">
        <f>IFERROR(G10/G42,0)</f>
        <v>0</v>
      </c>
      <c r="E49" s="110"/>
      <c r="F49" s="111"/>
      <c r="G49" s="111"/>
      <c r="H49" s="104"/>
      <c r="I49" s="105"/>
    </row>
    <row r="50" ht="12.75" customHeight="1">
      <c r="A50" s="142"/>
      <c r="B50" s="70" t="s">
        <v>53</v>
      </c>
      <c r="C50" s="61"/>
      <c r="D50" s="71">
        <f>IFERROR(G39/G42,0)</f>
        <v>0</v>
      </c>
      <c r="E50" s="61"/>
      <c r="F50" s="61"/>
      <c r="G50" s="61"/>
      <c r="H50" s="106"/>
      <c r="I50" s="107"/>
    </row>
  </sheetData>
  <mergeCells>
    <mergeCell ref="N4:O4"/>
    <mergeCell ref="A1:I1"/>
    <mergeCell ref="A2:I2"/>
    <mergeCell ref="A42:B42"/>
    <mergeCell ref="H7:I7"/>
    <mergeCell ref="H12:I12"/>
    <mergeCell ref="H22:I22"/>
    <mergeCell ref="K4:L4"/>
  </mergeCells>
  <pageMargins left="0.7" right="0.7" top="0.75" bottom="0.75" header="0.3" footer="0.3"/>
  <pageSetup scale="37" orientation="portrait" r:id="flId1"/>
  <drawing r:id="flId2"/>
  <legacyDrawing r:id="flId3"/>
  <mc:AlternateContent xmlns:mc="http://schemas.openxmlformats.org/markup-compatibility/2006">
    <mc:Choice xmlns:x14="http://schemas.microsoft.com/office/spreadsheetml/2009/9/main" Requires="x14">
      <controls>
        <mc:AlternateContent>
          <mc:Choice xmlns:x14="http://schemas.microsoft.com/office/spreadsheetml/2009/9/main" Requires="x14">
            <control name="Button 6" shapeId="1026" r:id="flId4">
              <controlPr defaultSize="0" print="0" autoFill="0" macro="[0]!CommandButton_Click">
                <anchor xmlns:xdr="http://schemas.openxmlformats.org/drawingml/2006/spreadsheetDrawing" moveWithCells="1">
                  <from>
                    <xdr:col>10</xdr:col>
                    <xdr:colOff>9525</xdr:colOff>
                    <xdr:row>0</xdr:row>
                    <xdr:rowOff>466725</xdr:rowOff>
                  </from>
                  <to>
                    <xdr:col>11</xdr:col>
                    <xdr:colOff>1181100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7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172" bestFit="1" customWidth="1"/>
    <col min="2" max="2" width="26" style="172" customWidth="1"/>
    <col min="3" max="3" width="23.7109375" style="172" customWidth="1"/>
    <col min="4" max="4" width="35.5703125" style="172" bestFit="1" customWidth="1"/>
    <col min="5" max="7" width="2.7109375" style="172" customWidth="1"/>
    <col min="8" max="8" width="13.140625" style="172" bestFit="1" customWidth="1"/>
    <col min="9" max="9" width="10.85546875" style="172" bestFit="1" customWidth="1"/>
    <col min="10" max="12" width="2.7109375" style="172" customWidth="1"/>
    <col min="13" max="13" width="13.85546875" style="172" customWidth="1"/>
    <col min="14" max="14" width="10.5703125" style="172" bestFit="1" customWidth="1"/>
    <col min="15" max="16384" width="9.140625" style="172"/>
  </cols>
  <sheetData>
    <row r="3">
      <c r="A3" s="171" t="s">
        <v>78</v>
      </c>
    </row>
    <row r="4">
      <c r="A4" s="171" t="s">
        <v>79</v>
      </c>
    </row>
    <row r="5">
      <c r="A5" s="171" t="s">
        <v>80</v>
      </c>
    </row>
    <row r="8">
      <c r="A8" s="173" t="s">
        <v>81</v>
      </c>
      <c r="B8" s="173"/>
      <c r="C8" s="173"/>
      <c r="D8" s="173"/>
      <c r="H8" s="173" t="s">
        <v>82</v>
      </c>
      <c r="I8" s="173"/>
      <c r="M8" s="173" t="s">
        <v>83</v>
      </c>
      <c r="N8" s="173"/>
    </row>
    <row r="9">
      <c r="A9" s="174" t="s">
        <v>84</v>
      </c>
      <c r="B9" s="174" t="s">
        <v>85</v>
      </c>
      <c r="C9" s="174" t="s">
        <v>86</v>
      </c>
      <c r="D9" s="174" t="s">
        <v>87</v>
      </c>
      <c r="H9" s="174" t="s">
        <v>88</v>
      </c>
      <c r="I9" s="174" t="s">
        <v>89</v>
      </c>
      <c r="M9" s="174" t="s">
        <v>90</v>
      </c>
      <c r="N9" s="174" t="s">
        <v>91</v>
      </c>
    </row>
    <row r="10">
      <c r="A10" s="175" t="s">
        <v>101</v>
      </c>
      <c r="B10" s="175" t="s">
        <v>102</v>
      </c>
      <c r="D10" t="s">
        <v>115</v>
      </c>
      <c r="H10" s="176" t="s">
        <v>92</v>
      </c>
      <c r="I10" s="177">
        <v>1234.56</v>
      </c>
    </row>
    <row r="11">
      <c r="A11" s="172" t="s">
        <v>103</v>
      </c>
      <c r="B11" s="175" t="s">
        <v>104</v>
      </c>
      <c r="D11" t="s">
        <v>170</v>
      </c>
      <c r="H11" s="176" t="s">
        <v>93</v>
      </c>
      <c r="I11" s="178" t="s">
        <v>94</v>
      </c>
    </row>
    <row r="12">
      <c r="A12" s="172" t="s">
        <v>105</v>
      </c>
      <c r="B12" s="175" t="s">
        <v>106</v>
      </c>
      <c r="D12" t="s">
        <v>170</v>
      </c>
      <c r="H12" s="176" t="s">
        <v>95</v>
      </c>
      <c r="I12" s="178" t="s">
        <v>94</v>
      </c>
    </row>
    <row r="13">
      <c r="A13" s="172" t="s">
        <v>107</v>
      </c>
      <c r="B13" s="175" t="s">
        <v>108</v>
      </c>
      <c r="D13" t="s">
        <v>170</v>
      </c>
      <c r="H13" s="176" t="s">
        <v>96</v>
      </c>
      <c r="I13" s="177">
        <v>1234.56</v>
      </c>
    </row>
    <row r="14">
      <c r="A14" s="172" t="s">
        <v>109</v>
      </c>
      <c r="B14" s="175" t="s">
        <v>110</v>
      </c>
      <c r="D14" t="s">
        <v>170</v>
      </c>
      <c r="H14" s="176" t="s">
        <v>97</v>
      </c>
      <c r="I14" s="179">
        <v>1234.5</v>
      </c>
    </row>
    <row r="15">
      <c r="A15" s="172" t="s">
        <v>111</v>
      </c>
      <c r="B15" s="175" t="s">
        <v>112</v>
      </c>
      <c r="D15" t="s">
        <v>170</v>
      </c>
      <c r="H15" s="176" t="s">
        <v>98</v>
      </c>
      <c r="I15" s="180">
        <v>1234.5</v>
      </c>
    </row>
    <row r="16">
      <c r="A16" s="172" t="s">
        <v>113</v>
      </c>
      <c r="B16" s="175" t="s">
        <v>114</v>
      </c>
      <c r="D16" t="s">
        <v>170</v>
      </c>
      <c r="H16" s="176" t="s">
        <v>99</v>
      </c>
      <c r="I16" s="181"/>
    </row>
    <row r="17">
      <c r="H17" s="175" t="s">
        <v>100</v>
      </c>
      <c r="I17" s="18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L1 - Account Basis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2023-09-29T17:02:04Z</dcterms:created>
  <dcterms:modified xsi:type="dcterms:W3CDTF">2023-09-29T17:02:04Z</dcterms:modified>
</cp:coreProperties>
</file>