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-120" yWindow="-120" windowWidth="19440" windowHeight="10440"/>
  </bookViews>
  <sheets>
    <sheet name="Direct Cost Metrics" sheetId="1" r:id="flId1"/>
    <sheet name="&lt;#Config&gt;" sheetId="2" r:id="flId2"/>
  </sheets>
  <definedNames>
    <definedName name="_TBL_0_TAQ_Concrete_Metrics_FIXED">'Direct Cost Metrics'!$H$7</definedName>
    <definedName name="_TBL_0_TAQ_Concrete_Unit_Metrics_FIXED">'Direct Cost Metrics'!$G$7</definedName>
    <definedName name="_TBL_0_TAQ_Concrete_Unit_Metrics_Paving_FIXED">'Direct Cost Metrics'!$G$18</definedName>
    <definedName name="_TBL_0_TAQ_Concrete_Unit_Metrics_Structure_FIXED">'Direct Cost Metrics'!$G$13</definedName>
    <definedName name="_TBL_0_TAQ_Electrical_Metrics_Conduit_FIXED">'Direct Cost Metrics'!$H$29</definedName>
    <definedName name="_TBL_0_TAQ_Electrical_Metrics_FIXED">'Direct Cost Metrics'!$H$25</definedName>
    <definedName name="_TBL_0_TAQ_Electrical_Metrics_Percentage_FIXED">'Direct Cost Metrics'!$H$33</definedName>
    <definedName name="_TBL_0_TAQ_Electrical_Unit_Metrics_Conduit_FIXED">'Direct Cost Metrics'!$G$29</definedName>
    <definedName name="_TBL_0_TAQ_Electrical_Unit_Metrics_FIXED">'Direct Cost Metrics'!$G$25</definedName>
    <definedName name="_TBL_0_TAQ_Instrumentation_Metrics_Percentage_FIXED">'Direct Cost Metrics'!$E$29</definedName>
    <definedName name="_TBL_0_TAQ_Instrumentation_Metrics_Tag_FIXED">'Direct Cost Metrics'!$E$25</definedName>
    <definedName name="_TBL_0_TAQ_Piping_Metrics_Alloy_FIXED">'Direct Cost Metrics'!$E$12</definedName>
    <definedName name="_TBL_0_TAQ_Piping_Metrics_CS_FIXED">'Direct Cost Metrics'!$E$11</definedName>
    <definedName name="_TBL_0_TAQ_Piping_Metrics_DuctWork_FIXED">'Direct Cost Metrics'!$E$15</definedName>
    <definedName name="_TBL_0_TAQ_Piping_Metrics_FIXED">'Direct Cost Metrics'!$E$7</definedName>
    <definedName name="_TBL_0_TAQ_Piping_Metrics_Lined_FIXED">'Direct Cost Metrics'!$E$13</definedName>
    <definedName name="_TBL_0_TAQ_Piping_Metrics_NotMetallic_FIXED">'Direct Cost Metrics'!$E$14</definedName>
    <definedName name="_TBL_0_TAQ_Piping_Unit_Metrics_FIXED">'Direct Cost Metrics'!$D$7</definedName>
    <definedName name="_TBL_0_TAQ_Structural_Steel_Metrics_FIXED">'Direct Cost Metrics'!$B$25</definedName>
    <definedName name="_TBL_0_TAQ_Structural_Steel_Unit_Metrics_FIXED">'Direct Cost Metrics'!$A$25</definedName>
    <definedName name="_TBL_0_TAQ_Structural_Steel_Unit_Metrics_Other_FIXED">'Direct Cost Metrics'!$A$34</definedName>
    <definedName name="_TBL_0_TAQ_Structural_Steel_Unit_Metrics_PipeRack_FIXED">'Direct Cost Metrics'!$A$29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<sst xmlns="http://schemas.openxmlformats.org/spreadsheetml/2006/main" count="228" uniqueCount="224">
  <si>
    <t>Direct Cost Metrics</t>
  </si>
  <si>
    <t>Project Title:</t>
  </si>
  <si>
    <t>Project Location:</t>
  </si>
  <si>
    <t>Project Name:</t>
  </si>
  <si>
    <t>Scenario Name:</t>
  </si>
  <si>
    <t>Estimate Date:</t>
  </si>
  <si>
    <t>Prep. By:</t>
  </si>
  <si>
    <t>Job No:</t>
  </si>
  <si>
    <t>Est. Class:</t>
  </si>
  <si>
    <t>Currency:</t>
  </si>
  <si>
    <t>Direct Field Cost Metrics</t>
  </si>
  <si>
    <t>Piping</t>
  </si>
  <si>
    <t>Concrete</t>
  </si>
  <si>
    <t>Direct Field Labor Hours</t>
  </si>
  <si>
    <t>Direct Field Labor Cost</t>
  </si>
  <si>
    <t>Piping DFM / LF</t>
  </si>
  <si>
    <t>Concrete DFM / CY of Concrete</t>
  </si>
  <si>
    <t>Direct Field Wage Rate</t>
  </si>
  <si>
    <t>Piping LF / Equipment</t>
  </si>
  <si>
    <t>Grout DFHr / CY of Grout</t>
  </si>
  <si>
    <t>Direct Field Bulk Material Cost</t>
  </si>
  <si>
    <t>Average Diameter</t>
  </si>
  <si>
    <t>Grout DFM / CY of Grout</t>
  </si>
  <si>
    <t>Remote Shop Fab Cost</t>
  </si>
  <si>
    <t>% of Carbon Steel Pipe</t>
  </si>
  <si>
    <t>Concrete / Equipment in CY</t>
  </si>
  <si>
    <t>Process Equipment Cost</t>
  </si>
  <si>
    <t>% of Alloy Pipe</t>
  </si>
  <si>
    <t>Major Electrical Equipment Cost</t>
  </si>
  <si>
    <t>% of Lined Pipe</t>
  </si>
  <si>
    <t>Control Equipment Cost</t>
  </si>
  <si>
    <t>% of Non-Metallic Pipe</t>
  </si>
  <si>
    <t>Equip and Struct DFHr / CY</t>
  </si>
  <si>
    <t>% of Process Duct Work</t>
  </si>
  <si>
    <t>Equip and Struct DFM / CY</t>
  </si>
  <si>
    <t>Fitting Count</t>
  </si>
  <si>
    <t>% of Total Concrete</t>
  </si>
  <si>
    <t>Process Equipment Metrics</t>
  </si>
  <si>
    <t>Process Equipment DFHr / Each</t>
  </si>
  <si>
    <t>Welds</t>
  </si>
  <si>
    <t>Process Equipment Cost / Each</t>
  </si>
  <si>
    <t>Paving Concrete DFHr / CY</t>
  </si>
  <si>
    <t>Equipment Factor (DFC / Equipment Cost)</t>
  </si>
  <si>
    <t>Valves</t>
  </si>
  <si>
    <t>Paving Concrete DFM / CY</t>
  </si>
  <si>
    <t>Total Direct Cost / Equipment Material Cost</t>
  </si>
  <si>
    <t>Structural Steel</t>
  </si>
  <si>
    <t>Instrumentation</t>
  </si>
  <si>
    <t>Electrical</t>
  </si>
  <si>
    <t>Instrument DFHr / Tag</t>
  </si>
  <si>
    <t>Instrument DFM / Tag</t>
  </si>
  <si>
    <t>Electrical DFM / LF of Cable and Wire</t>
  </si>
  <si>
    <t>Instrument / Equipment</t>
  </si>
  <si>
    <t>Electrical Cable and Wire / Equipment in LF</t>
  </si>
  <si>
    <t>% of Tags to Total Instrument Materials</t>
  </si>
  <si>
    <t>Pipe Rack Steel DFHr / TN</t>
  </si>
  <si>
    <t>% of DCS to Total Instrument Materials</t>
  </si>
  <si>
    <t>Electrical DFM / LF of Conduit</t>
  </si>
  <si>
    <t>Pipe Rack Steel DFM / TN</t>
  </si>
  <si>
    <t>% of Instrument Valves to Total Instrument Materials</t>
  </si>
  <si>
    <t>Electrical Conduit / Equipment in LF</t>
  </si>
  <si>
    <t>% of Total Steel</t>
  </si>
  <si>
    <t>% of Instrument Bulks to Total Instrument Materials</t>
  </si>
  <si>
    <t>% of Cable and Wire to Electrical Material</t>
  </si>
  <si>
    <t>% of Conduit to Electrical Material</t>
  </si>
  <si>
    <t>Structure and Other Steel DFHr / TN</t>
  </si>
  <si>
    <t>% of Electrical Equipment to Electrical Material</t>
  </si>
  <si>
    <t>Structure and Other Steel DFM / TN</t>
  </si>
  <si>
    <t>% of All Other Electrical to Electrical Material</t>
  </si>
  <si>
    <t>DFHr</t>
  </si>
  <si>
    <t>Direct Field Man Hours</t>
  </si>
  <si>
    <t>CY / M3</t>
  </si>
  <si>
    <t>Cubic Yards / Cubic Meters</t>
  </si>
  <si>
    <t>DFM</t>
  </si>
  <si>
    <t>Direct Field Material Cost</t>
  </si>
  <si>
    <t>LF/LM</t>
  </si>
  <si>
    <t>Linear Feet/Linear Meter</t>
  </si>
  <si>
    <t>DFC</t>
  </si>
  <si>
    <t>Direct Field Cost</t>
  </si>
  <si>
    <t>* Does not include Demolition.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</si>
  <si>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</si>
  <si>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</si>
  <si>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</si>
  <si>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</si>
  <si>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</si>
  <si>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</si>
  <si>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</si>
  <si>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</si>
  <si>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</si>
  <si>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</si>
  <si>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</si>
  <si>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</si>
  <si>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</si>
  <si>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</si>
  <si>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</si>
  <si>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</si>
  <si>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</si>
  <si>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</si>
  <si>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</si>
  <si>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</si>
  <si>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</si>
  <si>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&lt;#EstimateDate&gt;</t>
  </si>
  <si>
    <t>&lt;#EstimateClass&gt;</t>
  </si>
  <si>
    <t>&lt;#JobNumber&gt;</t>
  </si>
  <si>
    <t>&lt;#Currency&gt;</t>
  </si>
  <si>
    <t>&lt;#PreparedBy&gt;</t>
  </si>
  <si>
    <t>&lt;#ProjectLocation&gt;</t>
  </si>
  <si>
    <t>&lt;#ScenarioName&gt;</t>
  </si>
  <si>
    <t>TBL_0_TAQ_Structural_Steel_Metrics_PipeRack</t>
  </si>
  <si>
    <t>TBL_0_TAQ_Direct_Field_Cost_Metrics</t>
  </si>
  <si>
    <t>TBL_0_TAQ_Process_Equipment_Metrics</t>
  </si>
  <si>
    <t>ATLEAST(0_TAQ_Process_Equipment_Metrics; 1;)</t>
  </si>
  <si>
    <t>TBL_0_TAQ_Structural_Steel_Metrics</t>
  </si>
  <si>
    <t>ATLEAST(0_TAQ_Structural_Steel_Metrics; 1;)</t>
  </si>
  <si>
    <t>ATLEAST(0_TAQ_Structural_Steel_Metrics_PipeRack; 1;)</t>
  </si>
  <si>
    <t>TBL_0_TAQ_Structural_Steel_Metrics_Other</t>
  </si>
  <si>
    <t>ATLEAST(0_TAQ_Structural_Steel_Metrics_Other; 1;)</t>
  </si>
  <si>
    <t>TBL_0_TAQ_Piping_Metrics</t>
  </si>
  <si>
    <t>ATLEAST(0_TAQ_Piping_Metrics; 1;)</t>
  </si>
  <si>
    <t>TBL_0_TAQ_Piping_Metrics_CS</t>
  </si>
  <si>
    <t>ATLEAST(0_TAQ_Piping_Metrics_CS; 1;)</t>
  </si>
  <si>
    <t>TBL_0_TAQ_Piping_Metrics_Alloy</t>
  </si>
  <si>
    <t>ATLEAST(0_TAQ_Piping_Metrics_Alloy; 1;)</t>
  </si>
  <si>
    <t>TBL_0_TAQ_Piping_Metrics_Lined</t>
  </si>
  <si>
    <t>ATLEAST(0_TAQ_Piping_Metrics_Lined; 1;)</t>
  </si>
  <si>
    <t>TBL_0_TAQ_Piping_Metrics_NotMetallic</t>
  </si>
  <si>
    <t>ATLEAST(0_TAQ_Piping_Metrics_NotMetallic; 1;)</t>
  </si>
  <si>
    <t>TBL_0_TAQ_Piping_Metrics_DuctWork</t>
  </si>
  <si>
    <t>ATLEAST(0_TAQ_Piping_Metrics_DuctWork; 1;)</t>
  </si>
  <si>
    <t>TBL_0_TAQ_Piping_Metrics_Other</t>
  </si>
  <si>
    <t>ATLEAST(0_TAQ_Piping_Metrics_Other; 1;)</t>
  </si>
  <si>
    <t>TBL_0_TAQ_Instrumentation_Metrics_Tag</t>
  </si>
  <si>
    <t>ATLEAST(0_TAQ_Instrumentation_Metrics_Tag; 1;)</t>
  </si>
  <si>
    <t>TBL_0_TAQ_Instrumentation_Metrics_Percentage</t>
  </si>
  <si>
    <t>ATLEAST(0_TAQ_Instrumentation_Metrics_Percentage; 1;)</t>
  </si>
  <si>
    <t>TBL_0_TAQ_Concrete_Metrics</t>
  </si>
  <si>
    <t>ATLEAST(0_TAQ_Concrete_Metrics; 1;)</t>
  </si>
  <si>
    <t>TBL_0_TAQ_Concrete_Metrics_Structure</t>
  </si>
  <si>
    <t>ATLEAST(0_TAQ_Concrete_Metrics_Structure; 1;)</t>
  </si>
  <si>
    <t>TBL_0_TAQ_Concrete_Metrics_Paving</t>
  </si>
  <si>
    <t>ATLEAST(0_TAQ_Concrete_Metrics_Paving; 1;)</t>
  </si>
  <si>
    <t>TBL_0_TAQ_Electrical_Metrics</t>
  </si>
  <si>
    <t>ATLEAST(0_TAQ_Electrical_Metrics; 1;)</t>
  </si>
  <si>
    <t>TBL_0_TAQ_Electrical_Metrics_Conduit</t>
  </si>
  <si>
    <t>ATLEAST(0_TAQ_Electrical_Metrics_Conduit; 1;)</t>
  </si>
  <si>
    <t>TBL_0_TAQ_Electrical_Metrics_Percentage</t>
  </si>
  <si>
    <t>ATLEAST(0_TAQ_Electrical_Metrics_Percentage; 1;)</t>
  </si>
  <si>
    <t>&lt;#TBL_0_TAQ_Structural_Steel_Metrics.*;&gt;</t>
  </si>
  <si>
    <t>&lt;#TBL_0_TAQ_Piping_Metrics.*;&gt;</t>
  </si>
  <si>
    <t>&lt;#TBL_0_TAQ_Piping_Metrics_CS.*;&gt;</t>
  </si>
  <si>
    <t>&lt;#TBL_0_TAQ_Piping_Metrics_Alloy.*;&gt;</t>
  </si>
  <si>
    <t>&lt;#TBL_0_TAQ_Piping_Metrics_Lined.*;&gt;</t>
  </si>
  <si>
    <t>&lt;#TBL_0_TAQ_Piping_Metrics_NotMetallic.*;&gt;</t>
  </si>
  <si>
    <t>&lt;#TBL_0_TAQ_Piping_Metrics_DuctWork.*;&gt;</t>
  </si>
  <si>
    <t>&lt;#TBL_0_TAQ_Instrumentation_Metrics_Tag.*;&gt;</t>
  </si>
  <si>
    <t>&lt;#TBL_0_TAQ_Instrumentation_Metrics_Percentage.*;&gt;</t>
  </si>
  <si>
    <t>&lt;#TBL_0_TAQ_Concrete_Metrics.*;&gt;</t>
  </si>
  <si>
    <t>&lt;#TBL_0_TAQ_Electrical_Metrics.*;&gt;</t>
  </si>
  <si>
    <t>&lt;#TBL_0_TAQ_Electrical_Metrics_Conduit.*;&gt;</t>
  </si>
  <si>
    <t>&lt;#TBL_0_TAQ_Electrical_Metrics_Percentage.*;&gt;</t>
  </si>
  <si>
    <t>&lt;#TBL_0_TAQ_Structural_Steel_Unit_Metrics.*;&gt;</t>
  </si>
  <si>
    <t>&lt;#TBL_0_TAQ_Structural_Steel_Unit_Metrics_PipeRack.*;&gt;</t>
  </si>
  <si>
    <t>&lt;#TBL_0_TAQ_Structural_Steel_Unit_Metrics_Other.*;&gt;</t>
  </si>
  <si>
    <t>&lt;#TBL_0_TAQ_Piping_Unit_Metrics.*;&gt;</t>
  </si>
  <si>
    <t>&lt;#TBL_0_TAQ_Concrete_Unit_Metrics.*;&gt;</t>
  </si>
  <si>
    <t>&lt;#TBL_0_TAQ_Concrete_Unit_Metrics_Structure.*;&gt;</t>
  </si>
  <si>
    <t>&lt;#TBL_0_TAQ_Concrete_Unit_Metrics_Paving.*;&gt;</t>
  </si>
  <si>
    <t>&lt;#TBL_0_TAQ_Electrical_Unit_Metrics.*;&gt;</t>
  </si>
  <si>
    <t>&lt;#TBL_0_TAQ_Electrical_Unit_Metrics_Conduit.*;&gt;</t>
  </si>
  <si>
    <t>TBL_0_TAQ_Structural_Steel_Unit_Metrics</t>
  </si>
  <si>
    <t>ATLEAST(0_TAQ_Structural_Steel_Unit_Metrics; 1;)</t>
  </si>
  <si>
    <t>TBL_0_TAQ_Structural_Steel_Unit_Metrics_PipeRack</t>
  </si>
  <si>
    <t>ATLEAST(0_TAQ_Structural_Steel_Unit_Metrics_PipeRack; 1;)</t>
  </si>
  <si>
    <t>TBL_0_TAQ_Structural_Steel_Unit_Metrics_Other</t>
  </si>
  <si>
    <t>ATLEAST(0_TAQ_Structural_Steel_Unit_Metrics_Other; 1;)</t>
  </si>
  <si>
    <t>TBL_0_TAQ_Piping_Unit_Metrics</t>
  </si>
  <si>
    <t>ATLEAST(0_TAQ_Piping_Unit_Metrics; 1;)</t>
  </si>
  <si>
    <t>TBL_0_TAQ_Concrete_Unit_Metrics</t>
  </si>
  <si>
    <t>ATLEAST(0_TAQ_Concrete_Unit_Metrics; 1;)</t>
  </si>
  <si>
    <t>TBL_0_TAQ_Concrete_Unit_Metrics_Structure</t>
  </si>
  <si>
    <t>ATLEAST(0_TAQ_Concrete_Unit_Metrics_Structure; 1;)</t>
  </si>
  <si>
    <t>TBL_0_TAQ_Concrete_Unit_Metrics_Paving</t>
  </si>
  <si>
    <t>ATLEAST(0_TAQ_Concrete_Unit_Metrics_Paving; 1;)</t>
  </si>
  <si>
    <t>TBL_0_TAQ_Electrical_Unit_Metrics</t>
  </si>
  <si>
    <t>ATLEAST(0_TAQ_Electrical_Unit_Metrics; 1;)</t>
  </si>
  <si>
    <t>TBL_0_TAQ_Electrical_Unit_Metrics_Conduit</t>
  </si>
  <si>
    <t>ATLEAST(0_TAQ_Electrical_Unit_Metrics_Conduit; 1;)</t>
  </si>
  <si>
    <t>Num2Dec(NumericFormat)</t>
  </si>
  <si>
    <t>ATLEAST(0_TAQ_Direct_Field_Cost_Metrics; 8;)</t>
  </si>
  <si>
    <t>&lt;#dbvalue(0_TAQ_Direct_Field_Cost_Metrics;2;"MH";)&gt;</t>
  </si>
  <si>
    <t>&lt;#dbvalue(0_TAQ_Direct_Field_Cost_Metrics;0;"MH";)&gt;</t>
  </si>
  <si>
    <t>&lt;#dbvalue(0_TAQ_Direct_Field_Cost_Metrics;1;"MH";)&gt;</t>
  </si>
  <si>
    <t>&lt;#dbvalue(0_TAQ_Direct_Field_Cost_Metrics;3;"MH";)&gt;</t>
  </si>
  <si>
    <t>&lt;#dbvalue(0_TAQ_Direct_Field_Cost_Metrics;4;"MH";)&gt;</t>
  </si>
  <si>
    <t>&lt;#dbvalue(0_TAQ_Direct_Field_Cost_Metrics;5;"MH";)&gt;</t>
  </si>
  <si>
    <t>&lt;#dbvalue(0_TAQ_Direct_Field_Cost_Metrics;6;"MH";)&gt;</t>
  </si>
  <si>
    <t>&lt;#dbvalue(0_TAQ_Direct_Field_Cost_Metrics;7;"MH";)&gt;</t>
  </si>
  <si>
    <t>&lt;#dbvalue(0_TAQ_Structural_Steel_Metrics_Other;1;0;)&gt;</t>
  </si>
  <si>
    <t>&lt;#dbvalue(0_TAQ_Structural_Steel_Metrics_Other;0;0;)&gt;</t>
  </si>
  <si>
    <t>&lt;#dbvalue(0_TAQ_Structural_Steel_Metrics_Other;2;0;)&gt;</t>
  </si>
  <si>
    <t>&lt;#dbvalue(0_TAQ_Structural_Steel_Metrics_Other;3;0;)&gt;</t>
  </si>
  <si>
    <t>&lt;#dbvalue(0_TAQ_Structural_Steel_Metrics_PipeRack;0;0;)&gt;</t>
  </si>
  <si>
    <t>&lt;#dbvalue(0_TAQ_Piping_Metrics_Other;0;0;)&gt;</t>
  </si>
  <si>
    <t>&lt;#dbvalue(0_TAQ_Structural_Steel_Metrics_PipeRack;1;0;)&gt;</t>
  </si>
  <si>
    <t>&lt;#dbvalue(0_TAQ_Structural_Steel_Metrics_PipeRack;2;0;)&gt;</t>
  </si>
  <si>
    <t>&lt;#dbvalue(0_TAQ_Structural_Steel_Metrics_PipeRack;3;0;)&gt;</t>
  </si>
  <si>
    <t>&lt;#dbvalue(0_TAQ_Piping_Metrics_Other;1;0;)&gt;</t>
  </si>
  <si>
    <t>&lt;#dbvalue(0_TAQ_Piping_Metrics_Other;2;0;)&gt;</t>
  </si>
  <si>
    <t>&lt;#dbvalue(0_TAQ_Piping_Metrics_Other;3;0;)&gt;</t>
  </si>
  <si>
    <t>&lt;#dbvalue(0_TAQ_Piping_Metrics_Other;4;0;)&gt;</t>
  </si>
  <si>
    <t>&lt;#dbvalue(0_TAQ_Piping_Metrics_Other;5;0;)&gt;</t>
  </si>
  <si>
    <t>&lt;#dbvalue(0_TAQ_Concrete_Metrics_Structure;0;0;)&gt;</t>
  </si>
  <si>
    <t>&lt;#dbvalue(0_TAQ_Concrete_Metrics_Structure;1;0;)&gt;</t>
  </si>
  <si>
    <t>&lt;#dbvalue(0_TAQ_Concrete_Metrics_Structure;2;0;)&gt;</t>
  </si>
  <si>
    <t>&lt;#dbvalue(0_TAQ_Concrete_Metrics_Structure;3;0;)&gt;</t>
  </si>
  <si>
    <t>&lt;#dbvalue(0_TAQ_Concrete_Metrics_Paving;0;0;)&gt;</t>
  </si>
  <si>
    <t>&lt;#dbvalue(0_TAQ_Concrete_Metrics_Paving;1;0;)&gt;</t>
  </si>
  <si>
    <t>&lt;#dbvalue(0_TAQ_Concrete_Metrics_Paving;2;0;)&gt;</t>
  </si>
  <si>
    <t>&lt;#dbvalue(0_TAQ_Concrete_Metrics_Paving;3;0;)&gt;</t>
  </si>
  <si>
    <t>&lt;#dbvalue(0_TAQ_Process_Equipment_Metrics;0;0;)&gt;</t>
  </si>
  <si>
    <t>&lt;#dbvalue(0_TAQ_Process_Equipment_Metrics;1;0;)&gt;</t>
  </si>
  <si>
    <t>&lt;#dbvalue(0_TAQ_Process_Equipment_Metrics;2;0;)&gt;</t>
  </si>
  <si>
    <t>&lt;#dbvalue(0_TAQ_Process_Equipment_Metrics;3;0;)&gt;</t>
  </si>
  <si>
    <t>Steel / Equipment</t>
  </si>
</sst>
</file>

<file path=xl/styles.xml><?xml version="1.0" encoding="utf-8"?>
<styleSheet xmlns="http://schemas.openxmlformats.org/spreadsheetml/2006/main"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sz val="12"/>
      <color rgb="FF333399"/>
      <name val="Arial"/>
      <family val="2"/>
    </font>
    <font>
      <b/>
      <i/>
      <sz val="10"/>
      <color rgb="FF333399"/>
      <name val="Arial"/>
      <family val="2"/>
    </font>
    <font>
      <i/>
      <sz val="10"/>
      <color rgb="FF333399"/>
      <name val="Arial"/>
      <family val="2"/>
    </font>
    <font>
      <i/>
      <sz val="10"/>
      <color auto="1"/>
      <name val="Arial"/>
      <family val="2"/>
    </font>
    <font>
      <sz val="10"/>
      <color rgb="FF333399"/>
      <name val="Arial"/>
      <family val="2"/>
    </font>
    <font>
      <b/>
      <sz val="9"/>
      <color auto="1"/>
      <name val="Arial"/>
      <family val="2"/>
    </font>
    <font>
      <sz val="8"/>
      <color auto="1"/>
      <name val="Arial"/>
      <family val="2"/>
    </font>
    <font>
      <b/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10"/>
      <color auto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rgb="FFFFFF99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2" numFmtId="0" fillId="3" borderId="0"/>
    <xf fontId="3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74">
    <xf fontId="0" numFmtId="0" fillId="0" borderId="0" xfId="0"/>
    <xf applyFont="1" applyBorder="1" applyAlignment="1" fontId="5" numFmtId="0" fillId="0" borderId="4" xfId="0">
      <alignment horizontal="right"/>
    </xf>
    <xf applyFont="1" fontId="5" numFmtId="0" fillId="0" borderId="0" xfId="0"/>
    <xf applyFont="1" fontId="7" numFmtId="0" fillId="0" borderId="0" xfId="0"/>
    <xf applyFont="1" applyBorder="1" applyAlignment="1" fontId="5" numFmtId="0" fillId="0" borderId="7" xfId="0">
      <alignment horizontal="right"/>
    </xf>
    <xf applyFont="1" fontId="6" numFmtId="0" fillId="0" borderId="0" xfId="0"/>
    <xf applyFont="1" applyAlignment="1" fontId="5" numFmtId="0" fillId="0" borderId="0" xfId="0">
      <alignment horizontal="right"/>
    </xf>
    <xf applyFont="1" applyBorder="1" fontId="6" numFmtId="0" fillId="0" borderId="8" xfId="0"/>
    <xf applyFill="1" applyBorder="1" fontId="0" numFmtId="0" fillId="5" borderId="3" xfId="0"/>
    <xf applyFill="1" applyBorder="1" fontId="0" numFmtId="0" fillId="5" borderId="9" xfId="0"/>
    <xf applyFont="1" applyBorder="1" fontId="8" numFmtId="0" fillId="0" borderId="7" xfId="0"/>
    <xf applyNumberFormat="1" applyFont="1" applyBorder="1" fontId="8" numFmtId="3" fillId="0" borderId="8" xfId="0"/>
    <xf applyFill="1" fontId="0" numFmtId="0" fillId="5" borderId="0" xfId="0"/>
    <xf applyNumberFormat="1" applyFont="1" applyBorder="1" fontId="8" numFmtId="4" fillId="0" borderId="8" xfId="0"/>
    <xf applyNumberFormat="1" applyFont="1" applyBorder="1" fontId="8" numFmtId="9" fillId="0" borderId="8" xfId="0"/>
    <xf applyFont="1" fontId="8" numFmtId="0" fillId="0" borderId="0" xfId="0"/>
    <xf applyFill="1" applyBorder="1" applyAlignment="1" fontId="0" numFmtId="0" fillId="5" borderId="3" xfId="0">
      <alignment horizontal="right"/>
    </xf>
    <xf applyNumberFormat="1" applyFont="1" applyBorder="1" fontId="8" numFmtId="10" fillId="0" borderId="8" xfId="0"/>
    <xf applyFill="1" applyBorder="1" fontId="0" numFmtId="0" fillId="5" borderId="12" xfId="0"/>
    <xf applyFill="1" applyBorder="1" applyAlignment="1" fontId="0" numFmtId="0" fillId="5" borderId="2" xfId="0">
      <alignment horizontal="right"/>
    </xf>
    <xf applyNumberFormat="1" applyFont="1" fontId="8" numFmtId="4" fillId="0" borderId="0" xfId="0"/>
    <xf applyFill="1" applyBorder="1" fontId="0" numFmtId="0" fillId="5" borderId="13" xfId="0"/>
    <xf applyNumberFormat="1" applyFont="1" fontId="8" numFmtId="9" fillId="0" borderId="0" xfId="0"/>
    <xf applyNumberFormat="1" applyFont="1" fontId="8" numFmtId="10" fillId="0" borderId="0" xfId="0"/>
    <xf applyFont="1" applyBorder="1" applyAlignment="1" fontId="8" numFmtId="0" fillId="0" borderId="7" xfId="0"/>
    <xf applyBorder="1" applyAlignment="1" fontId="0" numFmtId="0" fillId="0" borderId="8" xfId="0"/>
    <xf applyBorder="1" applyAlignment="1" fontId="0" numFmtId="0" fillId="0" borderId="7" xfId="0"/>
    <xf applyFont="1" applyBorder="1" fontId="8" numFmtId="0" fillId="0" borderId="11" xfId="0"/>
    <xf applyNumberFormat="1" applyFont="1" applyBorder="1" fontId="8" numFmtId="9" fillId="0" borderId="10" xfId="0"/>
    <xf applyFill="1" applyBorder="1" fontId="0" numFmtId="0" fillId="5" borderId="14" xfId="0"/>
    <xf applyBorder="1" applyAlignment="1" fontId="0" numFmtId="0" fillId="0" borderId="11" xfId="0"/>
    <xf applyBorder="1" applyAlignment="1" fontId="0" numFmtId="0" fillId="0" borderId="10" xfId="0"/>
    <xf applyNumberFormat="1" applyFont="1" applyFill="1" applyBorder="1" applyAlignment="1" fontId="9" numFmtId="3" fillId="0" borderId="4" xfId="2">
      <alignment horizontal="right"/>
    </xf>
    <xf applyNumberFormat="1" applyFont="1" applyBorder="1" fontId="10" numFmtId="4" fillId="0" borderId="5" xfId="2"/>
    <xf applyBorder="1" fontId="0" numFmtId="0" fillId="0" borderId="5" xfId="0"/>
    <xf applyNumberFormat="1" applyFont="1" applyFill="1" applyBorder="1" applyAlignment="1" fontId="9" numFmtId="3" fillId="0" borderId="5" xfId="2">
      <alignment horizontal="right"/>
    </xf>
    <xf applyBorder="1" fontId="0" numFmtId="0" fillId="0" borderId="6" xfId="0"/>
    <xf applyNumberFormat="1" applyFont="1" applyFill="1" applyBorder="1" applyAlignment="1" fontId="9" numFmtId="3" fillId="0" borderId="7" xfId="2">
      <alignment horizontal="right"/>
    </xf>
    <xf applyNumberFormat="1" applyFont="1" applyBorder="1" fontId="10" numFmtId="4" fillId="0" borderId="0" xfId="2"/>
    <xf applyBorder="1" fontId="0" numFmtId="0" fillId="0" borderId="0" xfId="0"/>
    <xf applyNumberFormat="1" applyFont="1" applyFill="1" applyBorder="1" applyAlignment="1" fontId="9" numFmtId="3" fillId="0" borderId="0" xfId="2">
      <alignment horizontal="right"/>
    </xf>
    <xf applyBorder="1" fontId="0" numFmtId="0" fillId="0" borderId="8" xfId="0"/>
    <xf applyNumberFormat="1" applyFont="1" applyFill="1" applyBorder="1" applyAlignment="1" fontId="9" numFmtId="3" fillId="0" borderId="11" xfId="2">
      <alignment horizontal="right"/>
    </xf>
    <xf applyNumberFormat="1" applyFont="1" applyBorder="1" fontId="10" numFmtId="4" fillId="0" borderId="9" xfId="2"/>
    <xf applyBorder="1" fontId="0" numFmtId="0" fillId="0" borderId="9" xfId="0"/>
    <xf applyNumberFormat="1" applyFont="1" applyFill="1" applyBorder="1" applyAlignment="1" fontId="9" numFmtId="3" fillId="0" borderId="9" xfId="2">
      <alignment horizontal="right"/>
    </xf>
    <xf applyBorder="1" fontId="0" numFmtId="0" fillId="0" borderId="10" xfId="0"/>
    <xf applyFont="1" fontId="11" numFmtId="0" fillId="0" borderId="0" xfId="0"/>
    <xf fontId="1" numFmtId="0" fillId="2" borderId="0" xfId="3"/>
    <xf fontId="1" numFmtId="0" fillId="0" borderId="0" xfId="4"/>
    <xf fontId="1" numFmtId="0" fillId="4" borderId="0" xfId="5"/>
    <xf fontId="2" numFmtId="0" fillId="3" borderId="0" xfId="1"/>
    <xf applyFont="1" fontId="1" numFmtId="0" fillId="0" borderId="0" xfId="4"/>
    <xf applyNumberFormat="1" applyFont="1" applyAlignment="1" fontId="12" numFmtId="3" fillId="0" borderId="0" xfId="4">
      <alignment horizontal="right"/>
    </xf>
    <xf applyAlignment="1" fontId="1" numFmtId="0" fillId="0" borderId="0" xfId="4">
      <alignment horizontal="left"/>
    </xf>
    <xf applyFont="1" applyBorder="1" fontId="8" numFmtId="0" fillId="0" borderId="0" xfId="0"/>
    <xf applyNumberFormat="1" fontId="1" numFmtId="2" fillId="0" borderId="0" xfId="4"/>
    <xf applyBorder="1" applyAlignment="1" fontId="0" numFmtId="0" fillId="0" borderId="7" xfId="0"/>
    <xf applyBorder="1" applyAlignment="1" fontId="0" numFmtId="0" fillId="0" borderId="8" xfId="0"/>
    <xf applyBorder="1" applyAlignment="1" fontId="0" numFmtId="0" fillId="0" borderId="11" xfId="0"/>
    <xf applyBorder="1" applyAlignment="1" fontId="0" numFmtId="0" fillId="0" borderId="10" xfId="0"/>
    <xf applyFont="1" applyBorder="1" applyAlignment="1" fontId="8" numFmtId="0" fillId="0" borderId="7" xfId="0"/>
    <xf applyFont="1" applyBorder="1" applyAlignment="1" fontId="4" numFmtId="0" fillId="0" borderId="1" xfId="0">
      <alignment horizontal="center" vertical="center"/>
    </xf>
    <xf applyFont="1" applyBorder="1" applyAlignment="1" fontId="4" numFmtId="0" fillId="0" borderId="2" xfId="0">
      <alignment horizontal="center" vertical="center"/>
    </xf>
    <xf applyFont="1" applyBorder="1" applyAlignment="1" fontId="4" numFmtId="0" fillId="0" borderId="3" xfId="0">
      <alignment horizontal="center" vertical="center"/>
    </xf>
    <xf applyFont="1" applyBorder="1" applyAlignment="1" fontId="6" numFmtId="0" fillId="0" borderId="5" xfId="0"/>
    <xf applyFont="1" applyBorder="1" applyAlignment="1" fontId="6" numFmtId="0" fillId="0" borderId="6" xfId="0"/>
    <xf applyFont="1" applyAlignment="1" fontId="6" numFmtId="0" fillId="0" borderId="0" xfId="0"/>
    <xf applyFont="1" applyBorder="1" applyAlignment="1" fontId="6" numFmtId="0" fillId="0" borderId="0" xfId="0"/>
    <xf applyFont="1" applyBorder="1" applyAlignment="1" fontId="6" numFmtId="0" fillId="0" borderId="8" xfId="0"/>
    <xf applyAlignment="1" fontId="0" numFmtId="0" fillId="0" borderId="0" xfId="0"/>
    <xf applyBorder="1" applyAlignment="1" fontId="0" numFmtId="0" fillId="0" borderId="9" xfId="0"/>
    <xf applyFont="1" applyFill="1" applyBorder="1" applyAlignment="1" fontId="13" numFmtId="0" fillId="5" borderId="2" xfId="0">
      <alignment horizontal="center"/>
    </xf>
    <xf applyFont="1" applyFill="1" applyBorder="1" applyAlignment="1" fontId="13" numFmtId="0" fillId="5" borderId="1" xfId="0">
      <alignment horizontal="center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2"/>
    <cellStyle name="Normal 2 2" xfId="4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581025</xdr:colOff>
      <xdr:row>2</xdr:row>
      <xdr:rowOff>9525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EA7FB8A5-D3A6-4B28-9DF0-E50D85893C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I43"/>
  <sheetViews>
    <sheetView tabSelected="1" topLeftCell="A1" workbookViewId="0">
      <pane ySplit="5" topLeftCell="A6" activePane="bottomLeft" state="frozen"/>
      <selection pane="bottomLeft" activeCell="G6" sqref="G6"/>
    </sheetView>
  </sheetViews>
  <sheetFormatPr defaultColWidth="9.140625" defaultRowHeight="12.75"/>
  <cols>
    <col min="1" max="1" width="37.7109375" customWidth="1"/>
    <col min="2" max="2" width="20.7109375" customWidth="1"/>
    <col min="3" max="3" width="0.5703125" customWidth="1"/>
    <col min="4" max="4" width="44.28515625" customWidth="1"/>
    <col min="5" max="5" width="20.7109375" customWidth="1"/>
    <col min="6" max="6" width="0.5703125" customWidth="1"/>
    <col min="7" max="7" width="44.5703125" customWidth="1"/>
    <col min="8" max="8" width="20.7109375" customWidth="1"/>
  </cols>
  <sheetData>
    <row r="1" ht="33" customHeight="1">
      <c r="A1" s="62" t="s">
        <v>0</v>
      </c>
      <c r="B1" s="63"/>
      <c r="C1" s="63"/>
      <c r="D1" s="63"/>
      <c r="E1" s="63"/>
      <c r="F1" s="63"/>
      <c r="G1" s="63"/>
      <c r="H1" s="64"/>
    </row>
    <row r="2">
      <c r="A2" s="1" t="s">
        <v>1</v>
      </c>
      <c r="B2" s="65" t="s">
        <v>99</v>
      </c>
      <c r="C2" s="65"/>
      <c r="D2" s="65"/>
      <c r="E2" s="2" t="s">
        <v>2</v>
      </c>
      <c r="F2" s="3"/>
      <c r="G2" s="65" t="s">
        <v>106</v>
      </c>
      <c r="H2" s="66"/>
    </row>
    <row r="3">
      <c r="A3" s="4" t="s">
        <v>3</v>
      </c>
      <c r="B3" s="67" t="s">
        <v>100</v>
      </c>
      <c r="C3" s="67"/>
      <c r="D3" s="67"/>
      <c r="E3" s="2" t="s">
        <v>4</v>
      </c>
      <c r="F3" s="3"/>
      <c r="G3" s="68" t="s">
        <v>107</v>
      </c>
      <c r="H3" s="69"/>
    </row>
    <row r="4">
      <c r="A4" s="4" t="s">
        <v>5</v>
      </c>
      <c r="B4" s="5" t="s">
        <v>101</v>
      </c>
      <c r="C4" s="3"/>
      <c r="D4" s="6" t="s">
        <v>6</v>
      </c>
      <c r="E4" s="5" t="s">
        <v>105</v>
      </c>
      <c r="F4" s="3"/>
      <c r="G4" s="6" t="s">
        <v>7</v>
      </c>
      <c r="H4" s="7" t="s">
        <v>103</v>
      </c>
    </row>
    <row r="5">
      <c r="A5" s="4" t="s">
        <v>8</v>
      </c>
      <c r="B5" s="5" t="s">
        <v>102</v>
      </c>
      <c r="C5" s="3"/>
      <c r="D5" s="5"/>
      <c r="E5" s="3"/>
      <c r="F5" s="3"/>
      <c r="G5" s="6" t="s">
        <v>9</v>
      </c>
      <c r="H5" s="7" t="s">
        <v>104</v>
      </c>
    </row>
    <row r="6">
      <c r="A6" s="73" t="s">
        <v>10</v>
      </c>
      <c r="B6" s="8"/>
      <c r="C6" s="9"/>
      <c r="D6" s="73" t="s">
        <v>11</v>
      </c>
      <c r="E6" s="8"/>
      <c r="F6" s="9"/>
      <c r="G6" s="73" t="s">
        <v>12</v>
      </c>
      <c r="H6" s="8"/>
    </row>
    <row r="7">
      <c r="A7" s="10" t="s">
        <v>13</v>
      </c>
      <c r="B7" s="11" t="s">
        <v>190</v>
      </c>
      <c r="C7" s="12"/>
      <c r="D7" s="10" t="s">
        <v>163</v>
      </c>
      <c r="E7" s="13" t="s">
        <v>148</v>
      </c>
      <c r="F7" s="12"/>
      <c r="G7" s="10" t="s">
        <v>164</v>
      </c>
      <c r="H7" s="13" t="s">
        <v>156</v>
      </c>
    </row>
    <row r="8">
      <c r="A8" s="10" t="s">
        <v>14</v>
      </c>
      <c r="B8" s="11" t="s">
        <v>191</v>
      </c>
      <c r="C8" s="12"/>
      <c r="D8" s="10" t="s">
        <v>15</v>
      </c>
      <c r="E8" s="13"/>
      <c r="F8" s="12"/>
      <c r="G8" s="10" t="s">
        <v>16</v>
      </c>
      <c r="H8" s="13"/>
    </row>
    <row r="9">
      <c r="A9" s="10" t="s">
        <v>17</v>
      </c>
      <c r="B9" s="13" t="s">
        <v>189</v>
      </c>
      <c r="C9" s="12"/>
      <c r="D9" s="10" t="s">
        <v>18</v>
      </c>
      <c r="E9" s="13"/>
      <c r="F9" s="12"/>
      <c r="G9" s="10" t="s">
        <v>19</v>
      </c>
      <c r="H9" s="13"/>
    </row>
    <row r="10">
      <c r="A10" s="10" t="s">
        <v>20</v>
      </c>
      <c r="B10" s="11" t="s">
        <v>192</v>
      </c>
      <c r="C10" s="12"/>
      <c r="D10" s="10" t="s">
        <v>21</v>
      </c>
      <c r="E10" s="13"/>
      <c r="F10" s="12"/>
      <c r="G10" s="10" t="s">
        <v>22</v>
      </c>
      <c r="H10" s="13"/>
    </row>
    <row r="11">
      <c r="A11" s="10" t="s">
        <v>23</v>
      </c>
      <c r="B11" s="11" t="s">
        <v>193</v>
      </c>
      <c r="C11" s="12"/>
      <c r="D11" s="10" t="s">
        <v>24</v>
      </c>
      <c r="E11" s="14" t="s">
        <v>149</v>
      </c>
      <c r="F11" s="12"/>
      <c r="G11" s="10" t="s">
        <v>25</v>
      </c>
      <c r="H11" s="13"/>
    </row>
    <row r="12">
      <c r="A12" s="10" t="s">
        <v>26</v>
      </c>
      <c r="B12" s="11" t="s">
        <v>194</v>
      </c>
      <c r="C12" s="12"/>
      <c r="D12" s="10" t="s">
        <v>27</v>
      </c>
      <c r="E12" s="14" t="s">
        <v>150</v>
      </c>
      <c r="F12" s="12"/>
      <c r="G12" s="10"/>
      <c r="H12" s="13"/>
    </row>
    <row r="13">
      <c r="A13" s="10" t="s">
        <v>28</v>
      </c>
      <c r="B13" s="11" t="s">
        <v>195</v>
      </c>
      <c r="C13" s="12"/>
      <c r="D13" s="10" t="s">
        <v>29</v>
      </c>
      <c r="E13" s="14" t="s">
        <v>151</v>
      </c>
      <c r="F13" s="12"/>
      <c r="G13" s="10" t="s">
        <v>165</v>
      </c>
      <c r="H13" s="13" t="s">
        <v>211</v>
      </c>
    </row>
    <row r="14">
      <c r="A14" s="10" t="s">
        <v>30</v>
      </c>
      <c r="B14" s="11" t="s">
        <v>196</v>
      </c>
      <c r="C14" s="12"/>
      <c r="D14" s="10" t="s">
        <v>31</v>
      </c>
      <c r="E14" s="14" t="s">
        <v>152</v>
      </c>
      <c r="F14" s="12"/>
      <c r="G14" s="10" t="s">
        <v>32</v>
      </c>
      <c r="H14" s="13" t="s">
        <v>212</v>
      </c>
      <c r="I14" s="15"/>
    </row>
    <row r="15">
      <c r="A15" s="70"/>
      <c r="B15" s="58"/>
      <c r="C15" s="12"/>
      <c r="D15" s="10" t="s">
        <v>33</v>
      </c>
      <c r="E15" s="14" t="s">
        <v>153</v>
      </c>
      <c r="F15" s="12"/>
      <c r="G15" s="10" t="s">
        <v>34</v>
      </c>
      <c r="H15" s="13" t="s">
        <v>213</v>
      </c>
    </row>
    <row r="16">
      <c r="A16" s="71"/>
      <c r="B16" s="60"/>
      <c r="C16" s="12"/>
      <c r="D16" s="10" t="s">
        <v>35</v>
      </c>
      <c r="E16" s="11" t="s">
        <v>202</v>
      </c>
      <c r="F16" s="12"/>
      <c r="G16" s="10" t="s">
        <v>36</v>
      </c>
      <c r="H16" s="14" t="s">
        <v>214</v>
      </c>
    </row>
    <row r="17">
      <c r="A17" s="73" t="s">
        <v>37</v>
      </c>
      <c r="B17" s="16"/>
      <c r="C17" s="12"/>
      <c r="D17" s="10" t="str">
        <f>CONCATENATE("Fitting Factor / 100 ", MID(D7,15,LEN(D7)-14), " of Pipe")</f>
        <v>Fitting Factor / 100 ping_Unit_Metrics.*;&gt; of Pipe</v>
      </c>
      <c r="E17" s="13" t="s">
        <v>206</v>
      </c>
      <c r="F17" s="12"/>
      <c r="G17" s="10"/>
      <c r="H17" s="17"/>
    </row>
    <row r="18">
      <c r="A18" s="55" t="s">
        <v>38</v>
      </c>
      <c r="B18" s="13" t="s">
        <v>219</v>
      </c>
      <c r="C18" s="12"/>
      <c r="D18" s="10" t="s">
        <v>39</v>
      </c>
      <c r="E18" s="11" t="s">
        <v>207</v>
      </c>
      <c r="F18" s="12"/>
      <c r="G18" s="10" t="s">
        <v>166</v>
      </c>
      <c r="H18" s="13" t="s">
        <v>215</v>
      </c>
    </row>
    <row r="19">
      <c r="A19" s="10" t="s">
        <v>40</v>
      </c>
      <c r="B19" s="11" t="s">
        <v>220</v>
      </c>
      <c r="C19" s="12"/>
      <c r="D19" s="10" t="str">
        <f>CONCATENATE("Weld Factor / 100 ", MID(D7,15,LEN(D7)-14), " of Pipe")</f>
        <v>Weld Factor / 100 ping_Unit_Metrics.*;&gt; of Pipe</v>
      </c>
      <c r="E19" s="13" t="s">
        <v>208</v>
      </c>
      <c r="F19" s="12"/>
      <c r="G19" s="10" t="s">
        <v>41</v>
      </c>
      <c r="H19" s="13" t="s">
        <v>216</v>
      </c>
    </row>
    <row r="20">
      <c r="A20" s="10" t="s">
        <v>42</v>
      </c>
      <c r="B20" s="13" t="s">
        <v>221</v>
      </c>
      <c r="C20" s="12"/>
      <c r="D20" s="10" t="s">
        <v>43</v>
      </c>
      <c r="E20" s="11" t="s">
        <v>209</v>
      </c>
      <c r="F20" s="12"/>
      <c r="G20" s="10" t="s">
        <v>44</v>
      </c>
      <c r="H20" s="13" t="s">
        <v>217</v>
      </c>
    </row>
    <row r="21">
      <c r="A21" s="10" t="s">
        <v>45</v>
      </c>
      <c r="B21" s="13" t="s">
        <v>222</v>
      </c>
      <c r="C21" s="12"/>
      <c r="D21" s="10" t="str">
        <f>CONCATENATE("Valve Factor / 100 ", MID(D7,15,LEN(D7)-14), " of Pipe")</f>
        <v>Valve Factor / 100 ping_Unit_Metrics.*;&gt; of Pipe</v>
      </c>
      <c r="E21" s="13" t="s">
        <v>210</v>
      </c>
      <c r="F21" s="12"/>
      <c r="G21" s="10" t="s">
        <v>36</v>
      </c>
      <c r="H21" s="14" t="s">
        <v>218</v>
      </c>
    </row>
    <row r="22">
      <c r="A22" s="57"/>
      <c r="B22" s="58"/>
      <c r="C22" s="12"/>
      <c r="D22" s="61"/>
      <c r="E22" s="58"/>
      <c r="F22" s="12"/>
      <c r="G22" s="57"/>
      <c r="H22" s="58"/>
    </row>
    <row r="23">
      <c r="A23" s="59"/>
      <c r="B23" s="60"/>
      <c r="C23" s="9"/>
      <c r="D23" s="59"/>
      <c r="E23" s="60"/>
      <c r="F23" s="9"/>
      <c r="G23" s="59"/>
      <c r="H23" s="60"/>
    </row>
    <row r="24">
      <c r="A24" s="73" t="s">
        <v>46</v>
      </c>
      <c r="B24" s="16"/>
      <c r="C24" s="18"/>
      <c r="D24" s="73" t="s">
        <v>47</v>
      </c>
      <c r="E24" s="19"/>
      <c r="F24" s="18"/>
      <c r="G24" s="72" t="s">
        <v>48</v>
      </c>
      <c r="H24" s="16"/>
    </row>
    <row r="25">
      <c r="A25" s="10" t="s">
        <v>160</v>
      </c>
      <c r="B25" s="20" t="s">
        <v>147</v>
      </c>
      <c r="C25" s="21"/>
      <c r="D25" s="15" t="s">
        <v>49</v>
      </c>
      <c r="E25" s="20" t="s">
        <v>154</v>
      </c>
      <c r="F25" s="21"/>
      <c r="G25" s="15" t="s">
        <v>167</v>
      </c>
      <c r="H25" s="13" t="s">
        <v>157</v>
      </c>
    </row>
    <row r="26">
      <c r="A26" s="10" t="s">
        <v>40</v>
      </c>
      <c r="B26" s="20"/>
      <c r="C26" s="21"/>
      <c r="D26" s="15" t="s">
        <v>50</v>
      </c>
      <c r="E26" s="20"/>
      <c r="F26" s="21"/>
      <c r="G26" s="15" t="s">
        <v>51</v>
      </c>
      <c r="H26" s="13"/>
    </row>
    <row r="27">
      <c r="A27" s="10" t="s">
        <v>223</v>
      </c>
      <c r="B27" s="20"/>
      <c r="C27" s="21"/>
      <c r="D27" s="15" t="s">
        <v>52</v>
      </c>
      <c r="E27" s="20"/>
      <c r="F27" s="21"/>
      <c r="G27" s="15" t="s">
        <v>53</v>
      </c>
      <c r="H27" s="13"/>
    </row>
    <row r="28">
      <c r="A28" s="10"/>
      <c r="B28" s="20"/>
      <c r="C28" s="21"/>
      <c r="D28" s="15"/>
      <c r="E28" s="20"/>
      <c r="F28" s="21"/>
      <c r="G28" s="15"/>
      <c r="H28" s="13"/>
    </row>
    <row r="29">
      <c r="A29" s="10" t="s">
        <v>161</v>
      </c>
      <c r="B29" s="20" t="s">
        <v>201</v>
      </c>
      <c r="C29" s="21"/>
      <c r="D29" s="15" t="s">
        <v>54</v>
      </c>
      <c r="E29" s="22" t="s">
        <v>155</v>
      </c>
      <c r="F29" s="21"/>
      <c r="G29" s="15" t="s">
        <v>168</v>
      </c>
      <c r="H29" s="13" t="s">
        <v>158</v>
      </c>
    </row>
    <row r="30">
      <c r="A30" s="10" t="s">
        <v>55</v>
      </c>
      <c r="B30" s="20" t="s">
        <v>203</v>
      </c>
      <c r="C30" s="21"/>
      <c r="D30" s="15" t="s">
        <v>56</v>
      </c>
      <c r="E30" s="22">
        <v>0</v>
      </c>
      <c r="F30" s="21"/>
      <c r="G30" s="15" t="s">
        <v>57</v>
      </c>
      <c r="H30" s="13"/>
    </row>
    <row r="31">
      <c r="A31" s="10" t="s">
        <v>58</v>
      </c>
      <c r="B31" s="20" t="s">
        <v>204</v>
      </c>
      <c r="C31" s="21"/>
      <c r="D31" s="15" t="s">
        <v>59</v>
      </c>
      <c r="E31" s="22">
        <v>0</v>
      </c>
      <c r="F31" s="21"/>
      <c r="G31" s="15" t="s">
        <v>60</v>
      </c>
      <c r="H31" s="13"/>
    </row>
    <row r="32">
      <c r="A32" s="10" t="s">
        <v>61</v>
      </c>
      <c r="B32" s="22" t="s">
        <v>205</v>
      </c>
      <c r="C32" s="21"/>
      <c r="D32" s="15" t="s">
        <v>62</v>
      </c>
      <c r="E32" s="22">
        <v>0</v>
      </c>
      <c r="F32" s="21"/>
      <c r="H32" s="17"/>
    </row>
    <row r="33">
      <c r="A33" s="10"/>
      <c r="B33" s="23"/>
      <c r="C33" s="21"/>
      <c r="D33" s="24"/>
      <c r="E33" s="25"/>
      <c r="F33" s="21"/>
      <c r="G33" s="15" t="s">
        <v>63</v>
      </c>
      <c r="H33" s="14" t="s">
        <v>159</v>
      </c>
    </row>
    <row r="34">
      <c r="A34" s="10" t="s">
        <v>162</v>
      </c>
      <c r="B34" s="20" t="s">
        <v>198</v>
      </c>
      <c r="C34" s="21"/>
      <c r="D34" s="26"/>
      <c r="E34" s="25"/>
      <c r="F34" s="21"/>
      <c r="G34" s="15" t="s">
        <v>64</v>
      </c>
      <c r="H34" s="14">
        <v>0</v>
      </c>
    </row>
    <row r="35">
      <c r="A35" s="10" t="s">
        <v>65</v>
      </c>
      <c r="B35" s="20" t="s">
        <v>197</v>
      </c>
      <c r="C35" s="21"/>
      <c r="D35" s="26"/>
      <c r="E35" s="25"/>
      <c r="F35" s="21"/>
      <c r="G35" s="15" t="s">
        <v>66</v>
      </c>
      <c r="H35" s="14">
        <v>0</v>
      </c>
    </row>
    <row r="36">
      <c r="A36" s="10" t="s">
        <v>67</v>
      </c>
      <c r="B36" s="20" t="s">
        <v>199</v>
      </c>
      <c r="C36" s="21"/>
      <c r="D36" s="26"/>
      <c r="E36" s="25"/>
      <c r="F36" s="21"/>
      <c r="G36" s="15" t="s">
        <v>68</v>
      </c>
      <c r="H36" s="14">
        <v>0</v>
      </c>
    </row>
    <row r="37">
      <c r="A37" s="27" t="s">
        <v>61</v>
      </c>
      <c r="B37" s="28" t="s">
        <v>200</v>
      </c>
      <c r="C37" s="29"/>
      <c r="D37" s="30"/>
      <c r="E37" s="31"/>
      <c r="F37" s="29"/>
      <c r="G37" s="59"/>
      <c r="H37" s="60"/>
    </row>
    <row r="38">
      <c r="A38" s="39"/>
      <c r="B38" s="34"/>
    </row>
    <row r="40">
      <c r="A40" s="32" t="s">
        <v>69</v>
      </c>
      <c r="B40" s="33" t="s">
        <v>70</v>
      </c>
      <c r="C40" s="34"/>
      <c r="D40" s="34"/>
      <c r="E40" s="35" t="s">
        <v>71</v>
      </c>
      <c r="F40" s="33" t="s">
        <v>72</v>
      </c>
      <c r="G40" s="33"/>
      <c r="H40" s="36"/>
    </row>
    <row r="41">
      <c r="A41" s="37" t="s">
        <v>73</v>
      </c>
      <c r="B41" s="38" t="s">
        <v>74</v>
      </c>
      <c r="C41" s="39"/>
      <c r="D41" s="39"/>
      <c r="E41" s="40" t="s">
        <v>75</v>
      </c>
      <c r="F41" s="38"/>
      <c r="G41" s="38" t="s">
        <v>76</v>
      </c>
      <c r="H41" s="41"/>
    </row>
    <row r="42">
      <c r="A42" s="42" t="s">
        <v>77</v>
      </c>
      <c r="B42" s="43" t="s">
        <v>78</v>
      </c>
      <c r="C42" s="44"/>
      <c r="D42" s="44"/>
      <c r="E42" s="45"/>
      <c r="F42" s="43"/>
      <c r="G42" s="43"/>
      <c r="H42" s="46"/>
    </row>
    <row r="43">
      <c r="B43" s="47" t="s">
        <v>79</v>
      </c>
    </row>
  </sheetData>
  <mergeCells>
    <mergeCell ref="A22:B23"/>
    <mergeCell ref="D22:E23"/>
    <mergeCell ref="G22:H23"/>
    <mergeCell ref="G37:H37"/>
    <mergeCell ref="A1:H1"/>
    <mergeCell ref="B2:D2"/>
    <mergeCell ref="G2:H2"/>
    <mergeCell ref="B3:D3"/>
    <mergeCell ref="G3:H3"/>
    <mergeCell ref="A15:B16"/>
  </mergeCells>
  <pageMargins left="0.7" right="0.7" top="0.75" bottom="0.75" header="0.3" footer="0.3"/>
  <pageSetup scale="50" orientation="portrait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38"/>
  <sheetViews>
    <sheetView topLeftCell="A1" workbookViewId="0">
      <selection activeCell="A12" sqref="A12"/>
    </sheetView>
  </sheetViews>
  <sheetFormatPr defaultColWidth="9.140625" defaultRowHeight="15"/>
  <cols>
    <col min="1" max="1" width="45.28515625" style="49" customWidth="1"/>
    <col min="2" max="2" width="26" style="49" customWidth="1"/>
    <col min="3" max="3" width="23.7109375" style="49" customWidth="1"/>
    <col min="4" max="4" width="35.5703125" style="49" bestFit="1" customWidth="1"/>
    <col min="5" max="7" width="2.7109375" style="49" customWidth="1"/>
    <col min="8" max="8" width="13.140625" style="49" bestFit="1" customWidth="1"/>
    <col min="9" max="9" width="10.85546875" style="49" bestFit="1" customWidth="1"/>
    <col min="10" max="12" width="2.7109375" style="49" customWidth="1"/>
    <col min="13" max="13" width="13.85546875" style="49" customWidth="1"/>
    <col min="14" max="14" width="10.5703125" style="49" bestFit="1" customWidth="1"/>
    <col min="15" max="16384" width="9.140625" style="49"/>
  </cols>
  <sheetData>
    <row r="3">
      <c r="A3" s="48" t="s">
        <v>80</v>
      </c>
    </row>
    <row r="4">
      <c r="A4" s="48" t="s">
        <v>81</v>
      </c>
    </row>
    <row r="5">
      <c r="A5" s="48" t="s">
        <v>82</v>
      </c>
    </row>
    <row r="8">
      <c r="A8" s="50" t="s">
        <v>83</v>
      </c>
      <c r="B8" s="50"/>
      <c r="C8" s="50"/>
      <c r="D8" s="50"/>
      <c r="H8" s="50" t="s">
        <v>84</v>
      </c>
      <c r="I8" s="50"/>
      <c r="M8" s="50" t="s">
        <v>85</v>
      </c>
      <c r="N8" s="50"/>
    </row>
    <row r="9">
      <c r="A9" s="51" t="s">
        <v>86</v>
      </c>
      <c r="B9" s="51" t="s">
        <v>87</v>
      </c>
      <c r="C9" s="51" t="s">
        <v>88</v>
      </c>
      <c r="D9" s="51" t="s">
        <v>89</v>
      </c>
      <c r="H9" s="51" t="s">
        <v>90</v>
      </c>
      <c r="I9" s="51" t="s">
        <v>91</v>
      </c>
      <c r="M9" s="51" t="s">
        <v>92</v>
      </c>
      <c r="N9" s="51" t="s">
        <v>93</v>
      </c>
    </row>
    <row r="10">
      <c r="A10" s="49" t="s">
        <v>108</v>
      </c>
      <c r="B10" s="49" t="s">
        <v>114</v>
      </c>
      <c r="H10" s="52" t="s">
        <v>94</v>
      </c>
      <c r="I10" s="53">
        <v>1234.56</v>
      </c>
    </row>
    <row r="11">
      <c r="A11" s="49" t="s">
        <v>109</v>
      </c>
      <c r="B11" s="49" t="s">
        <v>188</v>
      </c>
      <c r="H11" s="52" t="s">
        <v>95</v>
      </c>
      <c r="I11" s="54" t="s">
        <v>96</v>
      </c>
    </row>
    <row r="12">
      <c r="A12" s="49" t="s">
        <v>110</v>
      </c>
      <c r="B12" s="49" t="s">
        <v>111</v>
      </c>
      <c r="H12" s="52" t="s">
        <v>97</v>
      </c>
      <c r="I12" s="54" t="s">
        <v>96</v>
      </c>
    </row>
    <row r="13">
      <c r="A13" s="49" t="s">
        <v>112</v>
      </c>
      <c r="B13" s="49" t="s">
        <v>113</v>
      </c>
      <c r="H13" s="52" t="s">
        <v>98</v>
      </c>
      <c r="I13" s="53">
        <v>1234.56</v>
      </c>
    </row>
    <row r="14">
      <c r="A14" s="49" t="s">
        <v>115</v>
      </c>
      <c r="B14" s="49" t="s">
        <v>116</v>
      </c>
      <c r="H14" s="49" t="s">
        <v>187</v>
      </c>
      <c r="I14" s="56">
        <v>1.235</v>
      </c>
    </row>
    <row r="15">
      <c r="A15" s="49" t="s">
        <v>117</v>
      </c>
      <c r="B15" s="49" t="s">
        <v>118</v>
      </c>
    </row>
    <row r="16">
      <c r="A16" s="49" t="s">
        <v>119</v>
      </c>
      <c r="B16" s="49" t="s">
        <v>120</v>
      </c>
    </row>
    <row r="17">
      <c r="A17" s="49" t="s">
        <v>121</v>
      </c>
      <c r="B17" s="49" t="s">
        <v>122</v>
      </c>
    </row>
    <row r="18">
      <c r="A18" s="49" t="s">
        <v>123</v>
      </c>
      <c r="B18" s="49" t="s">
        <v>124</v>
      </c>
    </row>
    <row r="19">
      <c r="A19" s="49" t="s">
        <v>125</v>
      </c>
      <c r="B19" s="49" t="s">
        <v>126</v>
      </c>
    </row>
    <row r="20">
      <c r="A20" s="49" t="s">
        <v>127</v>
      </c>
      <c r="B20" s="49" t="s">
        <v>128</v>
      </c>
    </row>
    <row r="21">
      <c r="A21" s="49" t="s">
        <v>129</v>
      </c>
      <c r="B21" s="49" t="s">
        <v>130</v>
      </c>
    </row>
    <row r="22">
      <c r="A22" s="49" t="s">
        <v>131</v>
      </c>
      <c r="B22" s="49" t="s">
        <v>132</v>
      </c>
    </row>
    <row r="23">
      <c r="A23" s="49" t="s">
        <v>133</v>
      </c>
      <c r="B23" s="49" t="s">
        <v>134</v>
      </c>
    </row>
    <row r="24">
      <c r="A24" s="49" t="s">
        <v>135</v>
      </c>
      <c r="B24" s="49" t="s">
        <v>136</v>
      </c>
    </row>
    <row r="25">
      <c r="A25" s="49" t="s">
        <v>137</v>
      </c>
      <c r="B25" s="49" t="s">
        <v>138</v>
      </c>
    </row>
    <row r="26">
      <c r="A26" s="49" t="s">
        <v>139</v>
      </c>
      <c r="B26" s="49" t="s">
        <v>140</v>
      </c>
    </row>
    <row r="27">
      <c r="A27" s="49" t="s">
        <v>141</v>
      </c>
      <c r="B27" s="49" t="s">
        <v>142</v>
      </c>
    </row>
    <row r="28">
      <c r="A28" s="49" t="s">
        <v>143</v>
      </c>
      <c r="B28" s="49" t="s">
        <v>144</v>
      </c>
    </row>
    <row r="29">
      <c r="A29" s="49" t="s">
        <v>145</v>
      </c>
      <c r="B29" s="49" t="s">
        <v>146</v>
      </c>
    </row>
    <row r="30">
      <c r="A30" s="49" t="s">
        <v>169</v>
      </c>
      <c r="B30" s="49" t="s">
        <v>170</v>
      </c>
    </row>
    <row r="31">
      <c r="A31" s="49" t="s">
        <v>171</v>
      </c>
      <c r="B31" s="49" t="s">
        <v>172</v>
      </c>
    </row>
    <row r="32">
      <c r="A32" s="49" t="s">
        <v>173</v>
      </c>
      <c r="B32" s="49" t="s">
        <v>174</v>
      </c>
    </row>
    <row r="33">
      <c r="A33" s="49" t="s">
        <v>175</v>
      </c>
      <c r="B33" s="49" t="s">
        <v>176</v>
      </c>
    </row>
    <row r="34">
      <c r="A34" s="49" t="s">
        <v>177</v>
      </c>
      <c r="B34" s="49" t="s">
        <v>178</v>
      </c>
    </row>
    <row r="35">
      <c r="A35" s="49" t="s">
        <v>179</v>
      </c>
      <c r="B35" s="49" t="s">
        <v>180</v>
      </c>
    </row>
    <row r="36">
      <c r="A36" s="49" t="s">
        <v>181</v>
      </c>
      <c r="B36" s="49" t="s">
        <v>182</v>
      </c>
    </row>
    <row r="37">
      <c r="A37" s="49" t="s">
        <v>183</v>
      </c>
      <c r="B37" s="49" t="s">
        <v>184</v>
      </c>
    </row>
    <row r="38">
      <c r="A38" s="49" t="s">
        <v>185</v>
      </c>
      <c r="B38" s="49" t="s">
        <v>186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Direct Cost Metrics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2022-10-20T20:30:21Z</dcterms:created>
  <dcterms:modified xsi:type="dcterms:W3CDTF">2022-10-20T20:30:21Z</dcterms:modified>
</cp:coreProperties>
</file>