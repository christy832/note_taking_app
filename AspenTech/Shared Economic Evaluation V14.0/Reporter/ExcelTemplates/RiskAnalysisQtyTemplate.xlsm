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 defaultThemeVersion="166925"/>
  <bookViews>
    <workbookView xWindow="-120" yWindow="-120" windowWidth="22740" windowHeight="14640"/>
  </bookViews>
  <sheets>
    <sheet name="Base Estimate" sheetId="1" r:id="flId1"/>
    <sheet name="User Input - Ranges" sheetId="3" r:id="flId2"/>
    <sheet name="User Input - Correlations" sheetId="4" r:id="flId3"/>
    <sheet name="Positive Definiteness Check" sheetId="5" r:id="flId4" state="hidden"/>
    <sheet name="&lt;#Config&gt;" sheetId="2" r:id="flId5"/>
  </sheets>
  <definedNames>
    <definedName name="__00_ICQ_ConstInd__X">'Base Estimate'!$A$17:$J$17</definedName>
    <definedName name="__00_ICQ_Contingency__X">'Base Estimate'!$A$39:$J$39</definedName>
    <definedName name="__00_ICQ_Engineering__X">'Base Estimate'!$A$33:$J$33</definedName>
    <definedName name="__00_ICQ_FldOfcInd__X">'Base Estimate'!$A$14:$J$14</definedName>
    <definedName name="__00_ICQ_Freight__X">'Base Estimate'!$A$27:$J$27</definedName>
    <definedName name="__00_ICQ_OtherProjCosts__X">'Base Estimate'!$A$36:$J$36</definedName>
    <definedName name="__00_ICQ_TaxesPermits__X">'Base Estimate'!$A$30:$J$30</definedName>
    <definedName name="__CostElementsMhr__">'User Input - Ranges'!$A$17:$J$17</definedName>
    <definedName name="__CostElementsQty__">'User Input - Ranges'!$A$15:$J$15</definedName>
    <definedName name="__CostElementsUnitMatl__">'User Input - Ranges'!$A$16:$J$16</definedName>
    <definedName name="__CostElementsWageRate__">'User Input - Ranges'!$A$18:$J$18</definedName>
    <definedName name="__EquipmentMatl__">'User Input - Ranges'!$A$14:$J$14</definedName>
    <definedName name="__TDCAcctSumry__X">'Base Estimate'!$A$8:$J$8</definedName>
    <definedName name="_xlnm._FilterDatabase" hidden="1" localSheetId="1">'User Input - Ranges'!$A$13:$J$13</definedName>
    <definedName name="AcctInOrExclude">'User Input - Ranges'!$I$14:$I$24</definedName>
    <definedName name="Correlation_Matrix">'User Input - Correlations'!$C$11:$CP$102</definedName>
    <definedName name="Cost_Elements">'User Input - Ranges'!$A$14:$J$24</definedName>
    <definedName name="Currency">'Base Estimate'!$K$6</definedName>
    <definedName name="EstimateClass">'Base Estimate'!$G$6</definedName>
    <definedName name="EstimateDate">'Base Estimate'!$B$6</definedName>
    <definedName name="IFC">'Base Estimate'!$J$19</definedName>
    <definedName name="JobNumber">'Base Estimate'!$G$5</definedName>
    <definedName name="NumIterations">'User Input - Ranges'!$D$9</definedName>
    <definedName name="PreparedBy">'Base Estimate'!$K$5</definedName>
    <definedName name="ProjectLocation">'Base Estimate'!$B$5</definedName>
    <definedName name="ProjectName">'Base Estimate'!$B$4</definedName>
    <definedName name="ProjectTitle">'Base Estimate'!$B$3</definedName>
    <definedName name="ScenarioName">'Base Estimate'!$G$4</definedName>
    <definedName name="TDC">'Base Estimate'!$J$10</definedName>
    <definedName name="TDM">'Base Estimate'!$I$10</definedName>
    <definedName name="TFC">'Base Estimate'!$J$22</definedName>
    <definedName name="TIC">'Base Estimate'!$J$44</definedName>
    <definedName name="UseCorMatrix">'User Input - Ranges'!$D$11</definedName>
    <definedName name="UserComments">'User Input - Ranges'!$J$14:$J$24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FV"/>
      </xcalcf:calcFeatures>
    </ext>
  </extLst>
</workbook>
</file>

<file path=xl/comments2.xml><?xml version="1.0" encoding="utf-8"?>
<comments xmlns="http://schemas.openxmlformats.org/spreadsheetml/2006/main">
  <authors>
    <author>Marathe, Sameer</author>
  </authors>
  <commentList>
    <comment ref="D9" authorId="0">
      <text>
        <r>
          <rPr>
            <sz val="9"/>
            <color auto="1"/>
            <rFont val="Tahoma"/>
            <family val="2"/>
          </rPr>
          <t xml:space="preserve">Minimum: 5,000
Maximum: 50,000
</t>
        </r>
      </text>
    </comment>
    <comment ref="D11" authorId="0">
      <text>
        <r>
          <rPr>
            <sz val="9"/>
            <color auto="1"/>
            <rFont val="Tahoma"/>
            <family val="2"/>
          </rPr>
          <t xml:space="preserve">Yes: Use Correlation Matrix specified in "User Input - Correlations"
No: Use uncorrelated sampling</t>
        </r>
      </text>
    </comment>
  </commentList>
</comments>
</file>

<file path=xl/sharedStrings.xml><?xml version="1.0" encoding="utf-8"?>
<sst xmlns="http://schemas.openxmlformats.org/spreadsheetml/2006/main" count="1051" uniqueCount="244">
  <si>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</si>
  <si>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</si>
  <si>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</si>
  <si>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</si>
  <si>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</si>
  <si>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</si>
  <si>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</si>
  <si>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</si>
  <si>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</si>
  <si>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Group A/C No</t>
  </si>
  <si>
    <t>Account</t>
  </si>
  <si>
    <t>MH</t>
  </si>
  <si>
    <t>Wage Rate</t>
  </si>
  <si>
    <t>Labor Cost</t>
  </si>
  <si>
    <t>Matl Cost</t>
  </si>
  <si>
    <t>Total Cost</t>
  </si>
  <si>
    <t>Percentages</t>
  </si>
  <si>
    <t>of TDC</t>
  </si>
  <si>
    <t>Total Direct Field Costs</t>
  </si>
  <si>
    <t>(TDMH)</t>
  </si>
  <si>
    <t>(TDL)</t>
  </si>
  <si>
    <t>(TDM)</t>
  </si>
  <si>
    <t>(TDC)</t>
  </si>
  <si>
    <t>COA</t>
  </si>
  <si>
    <t>Description</t>
  </si>
  <si>
    <t>Indirect Wage Rate</t>
  </si>
  <si>
    <t>Total</t>
  </si>
  <si>
    <t>Indirect Field Costs (IFC)</t>
  </si>
  <si>
    <t>of TDL</t>
  </si>
  <si>
    <t>(IFMH)</t>
  </si>
  <si>
    <t>(IFC)</t>
  </si>
  <si>
    <t>Total Field Costs (TDFC+IFC)</t>
  </si>
  <si>
    <t>of TIC</t>
  </si>
  <si>
    <t>(TFMH)</t>
  </si>
  <si>
    <t>(TFCL)</t>
  </si>
  <si>
    <t>(TFCM)</t>
  </si>
  <si>
    <t>(TFC)</t>
  </si>
  <si>
    <t xml:space="preserve">Freight </t>
  </si>
  <si>
    <t>Taxes and Permits</t>
  </si>
  <si>
    <t>Engineering and HO</t>
  </si>
  <si>
    <t>Other Project Costs</t>
  </si>
  <si>
    <t>Contingency</t>
  </si>
  <si>
    <t>Total EPC Costs (EPC)</t>
  </si>
  <si>
    <t>(TEPCMH)</t>
  </si>
  <si>
    <t>(TEPC)</t>
  </si>
  <si>
    <t>Project Total Costs (TFC+EPC)</t>
  </si>
  <si>
    <t>(TMH)</t>
  </si>
  <si>
    <t>(TLC)</t>
  </si>
  <si>
    <t>(TMC)</t>
  </si>
  <si>
    <t>(TIC)</t>
  </si>
  <si>
    <t>PROJECT METRICS</t>
  </si>
  <si>
    <t>Lang Factor (Equipment to Project Total Cost)</t>
  </si>
  <si>
    <t>TDC to TIC</t>
  </si>
  <si>
    <t>EPC to TIC</t>
  </si>
  <si>
    <t>Risk Analysis</t>
  </si>
  <si>
    <t>Base Estimate Summary</t>
  </si>
  <si>
    <t>Data Sources:</t>
  </si>
  <si>
    <t>Included Configs:</t>
  </si>
  <si>
    <t>Application to run:</t>
  </si>
  <si>
    <t>Data</t>
  </si>
  <si>
    <t>Table Name</t>
  </si>
  <si>
    <t>Source Name</t>
  </si>
  <si>
    <t>Filter</t>
  </si>
  <si>
    <t>Sort Fields ("," separated) ASC or DESC</t>
  </si>
  <si>
    <t>Format</t>
  </si>
  <si>
    <t>Format Name</t>
  </si>
  <si>
    <t>Format Def</t>
  </si>
  <si>
    <t>Expressions</t>
  </si>
  <si>
    <t>Name</t>
  </si>
  <si>
    <t>Expression</t>
  </si>
  <si>
    <t>NumVal(Border;NumericFormat;TextAlign)</t>
  </si>
  <si>
    <t>Test</t>
  </si>
  <si>
    <t>Desc(Border;TextAlign)</t>
  </si>
  <si>
    <t>User Input: Ranges and Distributions</t>
  </si>
  <si>
    <t>Instructions</t>
  </si>
  <si>
    <t>Cost Element</t>
  </si>
  <si>
    <t>Min. %</t>
  </si>
  <si>
    <t>Min. Value</t>
  </si>
  <si>
    <t>Expected Value</t>
  </si>
  <si>
    <t>Max. Value</t>
  </si>
  <si>
    <t>Max. %</t>
  </si>
  <si>
    <t>Desc1(TextAlign)</t>
  </si>
  <si>
    <t>NumVal1(NumericFormat;TextAlign)</t>
  </si>
  <si>
    <t>Wage rate</t>
  </si>
  <si>
    <t>Paint</t>
  </si>
  <si>
    <t>Steel</t>
  </si>
  <si>
    <t>Manhours</t>
  </si>
  <si>
    <t>Material cost</t>
  </si>
  <si>
    <t>User Input: Correlations</t>
  </si>
  <si>
    <t>CostElementsMhr</t>
  </si>
  <si>
    <t>CostElementsWageRate</t>
  </si>
  <si>
    <t>Field Office</t>
  </si>
  <si>
    <t>Construction Indirects</t>
  </si>
  <si>
    <t>&lt;#if(&lt;#00_ICQ_ConstInd.#RowCount&gt; = 0; &lt;#delete row&gt;;)&gt;</t>
  </si>
  <si>
    <t>&lt;#00_ICQ_FldOfcInd.Description;&gt;&lt;#format range(B14:B14;Desc)&gt;</t>
  </si>
  <si>
    <t>&lt;#00_ICQ_FldOfcInd.Ind Cost;&gt;</t>
  </si>
  <si>
    <t>&lt;#00_ICQ_ConstInd.Description;&gt;&lt;#format range(B17:B17;Desc)&gt;</t>
  </si>
  <si>
    <t>&lt;#00_ICQ_ConstInd.Ind Cost;&gt;</t>
  </si>
  <si>
    <t>Field office</t>
  </si>
  <si>
    <t>FieldOffice</t>
  </si>
  <si>
    <t>00_ICQ_FldOfcInd</t>
  </si>
  <si>
    <t>[Ind Cost] &gt; 0</t>
  </si>
  <si>
    <t>ConstructionInd</t>
  </si>
  <si>
    <t>00_ICQ_ConstInd</t>
  </si>
  <si>
    <t>Freight</t>
  </si>
  <si>
    <t>TaxesPermits</t>
  </si>
  <si>
    <t>EnggHomeOfc</t>
  </si>
  <si>
    <t>OtherInd</t>
  </si>
  <si>
    <t>&lt;#if(or(&lt;#FieldOffice.#RowCount&gt; &gt; 0, &lt;#ConstructionInd.#RowCount&gt; &gt; 0, &lt;#Freight.#RowCount&gt; &gt; 0, &lt;#TaxesPermits.#RowCount&gt; &gt; 0, &lt;#EnggHomeOfc.#RowCount&gt; &gt; 0,&lt;#OtherInd.#RowCount&gt; &gt; 0); &lt;#delete row&gt;;)&gt;</t>
  </si>
  <si>
    <t>&lt;#aggregate(SUM;FieldOffice.Ind Cost)&gt;&lt;#Format cell(NumVal1)&gt;</t>
  </si>
  <si>
    <t>&lt;#aggregate(SUM;ConstructionInd.Ind Cost)&gt;&lt;#Format cell(NumVal1)&gt;</t>
  </si>
  <si>
    <t>Construction indirects</t>
  </si>
  <si>
    <t>Taxes and permits</t>
  </si>
  <si>
    <t>Engineering and home office</t>
  </si>
  <si>
    <t>Other project indirects</t>
  </si>
  <si>
    <t>Indirects</t>
  </si>
  <si>
    <t>&lt;#if(&lt;#ConstructionInd.#RowCount&gt; = 0; &lt;#delete row&gt;;Construction indirects)&gt;</t>
  </si>
  <si>
    <t>&lt;#if(&lt;#Freight.#RowCount&gt; = 0; &lt;#delete row&gt;;Freight)&gt;</t>
  </si>
  <si>
    <t>&lt;#if(&lt;#TaxesPermits.#RowCount&gt; = 0; &lt;#delete row&gt;;Taxes and permits)&gt;</t>
  </si>
  <si>
    <t>&lt;#if(&lt;#EnggHomeOfc.#RowCount&gt; = 0; &lt;#delete row&gt;;Engineering and home office)&gt;</t>
  </si>
  <si>
    <t>&lt;#ProjectTitle;&gt;</t>
  </si>
  <si>
    <t>&lt;#ProjectName;&gt;</t>
  </si>
  <si>
    <t>&lt;#ProjectLocation;&gt;</t>
  </si>
  <si>
    <t>&lt;#EstimateDate;&gt;</t>
  </si>
  <si>
    <t>&lt;#ScenarioName;&gt;</t>
  </si>
  <si>
    <t>&lt;#JobNumber;&gt;</t>
  </si>
  <si>
    <t>&lt;#EstimateClass;&gt;</t>
  </si>
  <si>
    <t>&lt;#PreparedBy;&gt;</t>
  </si>
  <si>
    <t>&lt;#Currency;&gt;</t>
  </si>
  <si>
    <t>TDCAcctSumry</t>
  </si>
  <si>
    <r>
      <t xml:space="preserve">-   E.g. if Min. value is </t>
    </r>
    <r>
      <rPr>
        <b/>
        <sz val="10"/>
        <color theme="1"/>
        <rFont val="Arial"/>
        <family val="2"/>
      </rPr>
      <t>15% less</t>
    </r>
    <r>
      <rPr>
        <sz val="10"/>
        <color theme="1"/>
        <rFont val="Arial"/>
        <family val="2"/>
      </rPr>
      <t xml:space="preserve"> than expected value, enter "</t>
    </r>
    <r>
      <rPr>
        <b/>
        <sz val="10"/>
        <color theme="1"/>
        <rFont val="Arial"/>
        <family val="2"/>
      </rPr>
      <t>-15.0%</t>
    </r>
    <r>
      <rPr>
        <sz val="10"/>
        <color theme="1"/>
        <rFont val="Arial"/>
        <family val="2"/>
      </rPr>
      <t>" in the Min. % column</t>
    </r>
  </si>
  <si>
    <r>
      <t xml:space="preserve">-   E.g. if the Max. value is </t>
    </r>
    <r>
      <rPr>
        <b/>
        <sz val="10"/>
        <color theme="1"/>
        <rFont val="Arial"/>
        <family val="2"/>
      </rPr>
      <t>20% higher</t>
    </r>
    <r>
      <rPr>
        <sz val="10"/>
        <color theme="1"/>
        <rFont val="Arial"/>
        <family val="2"/>
      </rPr>
      <t xml:space="preserve"> than expected value, enter "</t>
    </r>
    <r>
      <rPr>
        <b/>
        <sz val="10"/>
        <color theme="1"/>
        <rFont val="Arial"/>
        <family val="2"/>
      </rPr>
      <t>20.0%</t>
    </r>
    <r>
      <rPr>
        <sz val="10"/>
        <color theme="1"/>
        <rFont val="Arial"/>
        <family val="2"/>
      </rPr>
      <t>" in the Max. % column</t>
    </r>
  </si>
  <si>
    <t xml:space="preserve">- Coefficient values should be:  -1.0 &lt;= [Coefficient] &lt;= 1.0</t>
  </si>
  <si>
    <t>- Diagonal values must be = 1.0 (Do not edit diagonal values)</t>
  </si>
  <si>
    <t>NumVal2(NumericFormat;TextAlign)</t>
  </si>
  <si>
    <t>&lt;#00_ICQ_Freight.Description;&gt;&lt;#format range(B27:B27;Desc)&gt;</t>
  </si>
  <si>
    <t>&lt;#if(&lt;#00_ICQ_Freight.Ind MH&gt; &gt; 0;&lt;#00_ICQ_Freight.Ind MH&gt;;)&gt;</t>
  </si>
  <si>
    <t>&lt;#00_ICQ_Freight.Ind Cost;&gt;</t>
  </si>
  <si>
    <t>00_ICQ_Freight</t>
  </si>
  <si>
    <t>&lt;#aggregate(SUM;Freight.Ind Cost)&gt;&lt;#Format cell(NumVal1)&gt;</t>
  </si>
  <si>
    <t>&lt;#if(&lt;#00_ICQ_FldOfcInd.Ind MH&gt; &gt; 0;&lt;#00_ICQ_FldOfcInd.Ind MH&gt;;)&gt;</t>
  </si>
  <si>
    <t>&lt;#if(&lt;#00_ICQ_ConstInd.Ind MH&gt; &gt; 0;&lt;#00_ICQ_ConstInd.Ind MH&gt;;)&gt;</t>
  </si>
  <si>
    <t>&lt;#if(&lt;#00_ICQ_TaxesPermits.#RowCount&gt; = 0; &lt;#delete row&gt;;)&gt;</t>
  </si>
  <si>
    <t>&lt;#00_ICQ_TaxesPermits.Description;&gt;&lt;#format range(B30:B30;Desc)&gt;</t>
  </si>
  <si>
    <t>&lt;#00_ICQ_TaxesPermits.Ind Cost;&gt;</t>
  </si>
  <si>
    <t>&lt;#if(&lt;#00_ICQ_TaxesPermits.Ind MH&gt; &gt; 0;&lt;#00_ICQ_TaxesPermits.Ind MH&gt;;)&gt;</t>
  </si>
  <si>
    <t>00_ICQ_TaxesPermits</t>
  </si>
  <si>
    <t>&lt;#if(&lt;#00_ICQ_Engineering.#RowCount&gt; = 0; &lt;#delete row&gt;;)&gt;</t>
  </si>
  <si>
    <t>&lt;#00_ICQ_Engineering.Description;&gt;&lt;#format range(B33:B33;Desc)&gt;</t>
  </si>
  <si>
    <t>&lt;#if(&lt;#00_ICQ_Engineering.Ind MH&gt; &gt; 0;&lt;#00_ICQ_Engineering.Ind MH&gt;;)&gt;</t>
  </si>
  <si>
    <t>&lt;#00_ICQ_Engineering.Ind Cost;&gt;</t>
  </si>
  <si>
    <t>00_ICQ_Engineering</t>
  </si>
  <si>
    <t>&lt;#if(&lt;#00_ICQ_OtherProjCosts.#RowCount&gt; = 0; &lt;#delete row&gt;;)&gt;</t>
  </si>
  <si>
    <t>&lt;#if(&lt;#00_ICQ_OtherProjCosts.Ind MH&gt; &gt; 0;&lt;#00_ICQ_OtherProjCosts.Ind MH&gt;;)&gt;</t>
  </si>
  <si>
    <t>&lt;#00_ICQ_OtherProjCosts.Ind Cost;&gt;</t>
  </si>
  <si>
    <t>00_ICQ_OtherProjCosts</t>
  </si>
  <si>
    <t>&lt;#if(&lt;#00_ICQ_Contingency.#RowCount&gt; = 0; &lt;#delete row&gt;;)&gt;</t>
  </si>
  <si>
    <t>&lt;#if(&lt;#00_ICQ_Contingency.Ind MH&gt; &gt; 0;&lt;#00_ICQ_Contingency.Ind MH&gt;;)&gt;</t>
  </si>
  <si>
    <t>&lt;#00_ICQ_OtherProjCosts.Description;&gt;&lt;#format range(B36:B36;Desc)&gt;</t>
  </si>
  <si>
    <t>&lt;#00_ICQ_Contingency.Description;&gt;&lt;#format range(B39:B39;Desc)&gt;</t>
  </si>
  <si>
    <t>&lt;#00_ICQ_Contingency.Ind Cost;&gt;</t>
  </si>
  <si>
    <t>&lt;#aggregate(SUM;TaxesPermits.Ind Cost)&gt;&lt;#Format cell(NumVal1)&gt;</t>
  </si>
  <si>
    <t>&lt;#aggregate(SUM;EnggHomeOfc.Ind Cost)&gt;&lt;#Format cell(NumVal1)&gt;</t>
  </si>
  <si>
    <t>&lt;#aggregate(SUM;OtherInd.Ind Cost)&gt;&lt;#Format cell(NumVal1)&gt;</t>
  </si>
  <si>
    <t>Indicative Quantity</t>
  </si>
  <si>
    <t>Unit</t>
  </si>
  <si>
    <t>Unit Matl Cost</t>
  </si>
  <si>
    <t>Quantity Units</t>
  </si>
  <si>
    <t>Include</t>
  </si>
  <si>
    <t>Include/Exclude</t>
  </si>
  <si>
    <t>Comments</t>
  </si>
  <si>
    <t>Equipment - Long Lead</t>
  </si>
  <si>
    <t>Equipment - Other</t>
  </si>
  <si>
    <t>Piping - SS</t>
  </si>
  <si>
    <t>Quantity</t>
  </si>
  <si>
    <t>Piping - CS</t>
  </si>
  <si>
    <t>Piping - Other</t>
  </si>
  <si>
    <t>Civil - Concrete</t>
  </si>
  <si>
    <t>Civil - Piling</t>
  </si>
  <si>
    <t>Civil - Grout</t>
  </si>
  <si>
    <t>Instruments - Equipment</t>
  </si>
  <si>
    <t>Electrical - Equipment</t>
  </si>
  <si>
    <t>Electrical - Bulks</t>
  </si>
  <si>
    <t>Insulation - Pipe</t>
  </si>
  <si>
    <t>Insulation - Equipment</t>
  </si>
  <si>
    <t>Unit Material cost</t>
  </si>
  <si>
    <t>EquipmentMatl</t>
  </si>
  <si>
    <r>
      <t>CostElements</t>
    </r>
    <r>
      <rPr>
        <sz val="11"/>
        <color theme="1"/>
        <rFont val="Calibri"/>
        <family val="2"/>
      </rPr>
      <t>Unit</t>
    </r>
    <r>
      <rPr>
        <sz val="11"/>
        <color theme="1"/>
        <rFont val="等线"/>
        <family val="2"/>
        <scheme val="minor"/>
      </rPr>
      <t>Matl</t>
    </r>
  </si>
  <si>
    <r>
      <t>CostElements</t>
    </r>
    <r>
      <rPr>
        <sz val="11"/>
        <color theme="1"/>
        <rFont val="Calibri"/>
        <family val="2"/>
      </rPr>
      <t>Qty</t>
    </r>
  </si>
  <si>
    <t>Civil - Paving</t>
  </si>
  <si>
    <t>Civil - Other</t>
  </si>
  <si>
    <t>Instruments - Devices</t>
  </si>
  <si>
    <t>Insulation - Equipment FPR</t>
  </si>
  <si>
    <t>Insulation - Steel FPR</t>
  </si>
  <si>
    <t>Insulation - Other</t>
  </si>
  <si>
    <t>0_QtyRiskDirectCostSumry</t>
  </si>
  <si>
    <r>
      <rPr>
        <sz val="11"/>
        <color theme="1"/>
        <rFont val="Calibri"/>
        <family val="2"/>
      </rPr>
      <t>[THOURS]</t>
    </r>
    <r>
      <rPr>
        <sz val="11"/>
        <color theme="1"/>
        <rFont val="等线"/>
        <family val="2"/>
        <scheme val="minor"/>
      </rPr>
      <t xml:space="preserve"> &gt; 0</t>
    </r>
  </si>
  <si>
    <t>[WageRat] &gt; 0</t>
  </si>
  <si>
    <r>
      <t>[</t>
    </r>
    <r>
      <rPr>
        <sz val="11"/>
        <color theme="1"/>
        <rFont val="Calibri"/>
        <family val="2"/>
      </rPr>
      <t>ACCOUNT</t>
    </r>
    <r>
      <rPr>
        <sz val="11"/>
        <color theme="1"/>
        <rFont val="等线"/>
        <family val="2"/>
        <scheme val="minor"/>
      </rPr>
      <t xml:space="preserve">] </t>
    </r>
    <r>
      <rPr>
        <sz val="11"/>
        <color theme="1"/>
        <rFont val="Calibri"/>
        <family val="2"/>
      </rPr>
      <t>=2 AND [TMCOST]&gt;0</t>
    </r>
  </si>
  <si>
    <r>
      <t>[</t>
    </r>
    <r>
      <rPr>
        <sz val="11"/>
        <color theme="1"/>
        <rFont val="Calibri"/>
        <family val="2"/>
      </rPr>
      <t>ACCOUNT</t>
    </r>
    <r>
      <rPr>
        <sz val="11"/>
        <color theme="1"/>
        <rFont val="等线"/>
        <family val="2"/>
        <scheme val="minor"/>
      </rPr>
      <t xml:space="preserve">] </t>
    </r>
    <r>
      <rPr>
        <sz val="11"/>
        <color theme="1"/>
        <rFont val="Calibri"/>
        <family val="2"/>
      </rPr>
      <t>&lt;&gt;2 AND [TQUANT]&gt;0</t>
    </r>
  </si>
  <si>
    <r>
      <t>[</t>
    </r>
    <r>
      <rPr>
        <sz val="11"/>
        <color theme="1"/>
        <rFont val="Calibri"/>
        <family val="2"/>
      </rPr>
      <t>ACCOUNT</t>
    </r>
    <r>
      <rPr>
        <sz val="11"/>
        <color theme="1"/>
        <rFont val="等线"/>
        <family val="2"/>
        <scheme val="minor"/>
      </rPr>
      <t xml:space="preserve">] </t>
    </r>
    <r>
      <rPr>
        <sz val="11"/>
        <color theme="1"/>
        <rFont val="Calibri"/>
        <family val="2"/>
      </rPr>
      <t>&lt;&gt;2 AND [UNITMATL]&gt;0</t>
    </r>
  </si>
  <si>
    <r>
      <rPr>
        <sz val="11"/>
        <color theme="1"/>
        <rFont val="Calibri"/>
        <family val="2"/>
      </rPr>
      <t>ACCOUNT</t>
    </r>
    <r>
      <rPr>
        <sz val="11"/>
        <color theme="1"/>
        <rFont val="等线"/>
        <family val="2"/>
        <scheme val="minor"/>
      </rPr>
      <t xml:space="preserve"> ASC</t>
    </r>
  </si>
  <si>
    <t>ACCOUNT ASC</t>
  </si>
  <si>
    <t>&lt;#if(&lt;#FieldOffice.#RowCount&gt; = 0; &lt;#delete row&gt;;Field office)&gt;</t>
  </si>
  <si>
    <t>&lt;#EquipmentMatl.DESCR&gt;&lt;#Format cell(Desc1)&gt;</t>
  </si>
  <si>
    <t>&lt;#CostElementsQty.DESCR&gt;&lt;#Format cell(Desc1)&gt;</t>
  </si>
  <si>
    <t>&lt;#CostElementsUnitMatl.DESCR&gt;&lt;#Format cell(Desc1)&gt;</t>
  </si>
  <si>
    <t>&lt;#CostElementsMhr.DESCR&gt;&lt;#Format cell(Desc1)&gt;</t>
  </si>
  <si>
    <t>&lt;#CostElementsWageRate.DESCR&gt;&lt;#Format cell(Desc1)&gt;</t>
  </si>
  <si>
    <t>&lt;#if(&lt;#00_ICQ_FldOfcInd.#RowCount&gt; = 0; &lt;#delete row&gt;;)&gt;</t>
  </si>
  <si>
    <t>&lt;#if(&lt;#00_ICQ_Freight.#RowCount&gt; = 0; &lt;#delete row&gt;;)&gt;</t>
  </si>
  <si>
    <t>&lt;#CostElementsQty.TQUANT&gt;&lt;#Format cell(NumVal1)&gt;</t>
  </si>
  <si>
    <t>&lt;#CostElementsQty.UNITS&gt;&lt;#Format cell(Desc1)&gt;</t>
  </si>
  <si>
    <t>&lt;#CostElementsMhr.THOURS&gt;&lt;#Format cell(NumVal1)&gt;</t>
  </si>
  <si>
    <t>&lt;#CostElementsWageRate.WAGERAT&gt;&lt;#Format cell(NumVal2)&gt;</t>
  </si>
  <si>
    <r>
      <rPr>
        <sz val="11"/>
        <color theme="1"/>
        <rFont val="Calibri"/>
        <family val="2"/>
      </rPr>
      <t>[TCOST]</t>
    </r>
    <r>
      <rPr>
        <sz val="11"/>
        <color theme="1"/>
        <rFont val="等线"/>
        <family val="2"/>
        <scheme val="minor"/>
      </rPr>
      <t xml:space="preserve"> &gt; 0</t>
    </r>
  </si>
  <si>
    <t>&lt;#if(&lt;#OtherInd.#RowCount&gt; = 0; &lt;#delete row&gt;;Other project indirects)&gt;</t>
  </si>
  <si>
    <t>&lt;#TDCAcctSumry.*;&gt;&lt;#format range(__TDCAcctSumry__X;NumVal)&gt;&lt;#format range(B8:B8;Desc)&gt;&lt;#format range(D8:D8;Desc)&gt;&lt;#format range(F8:F8;NumVal2)&gt;&lt;#if(&lt;#TDCAcctSumry.UNITMATL&gt;&lt;10;&lt;#Format range(H8:H8;NumVal2)&gt;;)&gt;</t>
  </si>
  <si>
    <t>&lt;#EquipmentMatl.TMCOST&gt;&lt;#Format cell(NumVal1)&gt;</t>
  </si>
  <si>
    <t>&lt;#CostElementsUnitMatl.UNITMATL&gt;&lt;#Format cell(NumVal1)&gt;&lt;#if(&lt;#CostElementsUnitMatl.UNITMATL&gt;&lt;10;&lt;#Format cell(NumVal2)&gt;;)&gt;</t>
  </si>
  <si>
    <t>&lt;#00_ICQ_FldOfcInd.Code;&gt;&lt;#format range(__00_ICQ_FldOfcInd__X;NumVal)&gt;&lt;#format range(F14:F14;NumVal2)&gt;</t>
  </si>
  <si>
    <t>&lt;#00_ICQ_ConstInd.Code;&gt;&lt;#format range(__00_ICQ_ConstInd__X;NumVal)&gt;&lt;#format range(F17:F17;NumVal2)&gt;</t>
  </si>
  <si>
    <t>&lt;#00_ICQ_Freight.Code;&gt;&lt;#format range(__00_ICQ_Freight__X;NumVal)&gt;&lt;#format range(F27:F27;NumVal2)&gt;</t>
  </si>
  <si>
    <t>&lt;#00_ICQ_TaxesPermits.Code;&gt;&lt;#format range(__00_ICQ_TaxesPermits__X;NumVal)&gt;&lt;#format range(F30:F30;NumVal2)&gt;</t>
  </si>
  <si>
    <t>&lt;#00_ICQ_Engineering.Code;&gt;&lt;#format range(__00_ICQ_Engineering__X;NumVal)&gt;&lt;#format range(F33:F33;NumVal2)&gt;</t>
  </si>
  <si>
    <t>&lt;#00_ICQ_OtherProjCosts.Code;&gt;&lt;#format range(__00_ICQ_OtherProjCosts__X;NumVal)&gt;&lt;#format range(F36:F36;NumVal2)&gt;</t>
  </si>
  <si>
    <t>&lt;#00_ICQ_Contingency.Code;&gt;&lt;#format range(__00_ICQ_Contingency__X;NumVal)&gt;&lt;#format range(F39:F39;NumVal2)&gt;</t>
  </si>
  <si>
    <t>Instruments - Bulks</t>
  </si>
  <si>
    <t>Correlation Matrix Positive Definiteness Check</t>
  </si>
  <si>
    <t>Positive Def. Check:</t>
  </si>
  <si>
    <t xml:space="preserve">    a constant to the total cost.</t>
  </si>
  <si>
    <t xml:space="preserve">-   Modify the min and max percentage values in the column D and H</t>
  </si>
  <si>
    <t xml:space="preserve">-   Set the number of iterations (optional)</t>
  </si>
  <si>
    <t xml:space="preserve">-   Select correlated or uncorrelated analysis</t>
  </si>
  <si>
    <t xml:space="preserve">-   Input comments in column J (optional)</t>
  </si>
  <si>
    <t xml:space="preserve">-   If "Exclude" is selected, that cost element will not be involved in the Monte Carlo simulation but will be added as </t>
  </si>
  <si>
    <t xml:space="preserve">-   Select Include/Exclude option for each of the cost elements in column I</t>
  </si>
  <si>
    <t>Matrix Definiteness</t>
  </si>
  <si>
    <t xml:space="preserve">- Edit coefficient values in the lower half of the matrix only. </t>
  </si>
  <si>
    <t xml:space="preserve">- The correlation matrix has to be positive definite, i.e. cell B8 should show 'Positive' </t>
  </si>
  <si>
    <t>Number of Iterations</t>
  </si>
  <si>
    <t>Use Correlation Matrix?</t>
  </si>
  <si>
    <t>No</t>
  </si>
  <si>
    <t>- Set the correlation coefficients between cost elements.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</si>
</sst>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76" formatCode="0.0%"/>
    <numFmt numFmtId="177" formatCode="0.00_);[Red]\(0.00\)"/>
  </numFmts>
  <fonts count="32">
    <font>
      <sz val="11"/>
      <color theme="1"/>
      <name val="等线"/>
      <family val="2"/>
      <scheme val="minor"/>
    </font>
    <font>
      <b/>
      <i/>
      <sz val="12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auto="1"/>
      <name val="Arial"/>
      <family val="2"/>
    </font>
    <font>
      <sz val="8"/>
      <color indexed="62"/>
      <name val="Arial"/>
      <family val="2"/>
    </font>
    <font>
      <sz val="10"/>
      <color indexed="62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b/>
      <sz val="10"/>
      <color auto="1"/>
      <name val="Arial"/>
      <family val="2"/>
    </font>
    <font>
      <sz val="11"/>
      <color theme="1"/>
      <name val="Arial"/>
      <family val="2"/>
    </font>
    <font>
      <sz val="9"/>
      <color auto="1"/>
      <name val="Arial"/>
      <family val="2"/>
    </font>
    <font>
      <b/>
      <sz val="8"/>
      <color auto="1"/>
      <name val="Arial"/>
      <family val="2"/>
    </font>
    <font>
      <b/>
      <sz val="9"/>
      <color auto="1"/>
      <name val="Arial"/>
      <family val="2"/>
    </font>
    <font>
      <sz val="10"/>
      <color theme="1"/>
      <name val="Arial"/>
      <family val="2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auto="1"/>
      <name val="等线"/>
      <family val="2"/>
      <scheme val="minor"/>
    </font>
    <font>
      <b/>
      <sz val="11"/>
      <color theme="3"/>
      <name val="等线"/>
      <family val="2"/>
      <scheme val="minor"/>
    </font>
    <font>
      <sz val="11"/>
      <color rgb="FF3F3F76"/>
      <name val="等线"/>
      <family val="2"/>
      <scheme val="minor"/>
    </font>
    <font>
      <sz val="10"/>
      <color auto="1"/>
      <name val="Arial"/>
      <family val="2"/>
    </font>
    <font>
      <b/>
      <sz val="10"/>
      <color indexed="8"/>
      <name val="Arial"/>
      <family val="2"/>
    </font>
    <font>
      <sz val="10"/>
      <color rgb="FF3F3F76"/>
      <name val="Arial"/>
      <family val="2"/>
    </font>
    <font>
      <b/>
      <sz val="10"/>
      <color theme="3"/>
      <name val="Arial"/>
      <family val="2"/>
    </font>
    <font>
      <b/>
      <sz val="15"/>
      <color theme="3"/>
      <name val="等线"/>
      <family val="2"/>
      <scheme val="minor"/>
    </font>
    <font>
      <sz val="9"/>
      <color auto="1"/>
      <name val="Tahoma"/>
      <family val="2"/>
    </font>
    <font>
      <b/>
      <sz val="10"/>
      <color theme="1"/>
      <name val="Arial"/>
      <family val="2"/>
    </font>
    <font>
      <b/>
      <sz val="11"/>
      <color theme="3"/>
      <name val="Arial"/>
      <family val="2"/>
    </font>
    <font>
      <sz val="9"/>
      <color auto="1"/>
      <name val="等线"/>
      <family val="3"/>
      <charset val="134"/>
      <scheme val="minor"/>
    </font>
    <font>
      <sz val="11"/>
      <color theme="1"/>
      <name val="Calibri"/>
      <family val="2"/>
    </font>
    <font>
      <b/>
      <sz val="12"/>
      <color theme="3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99"/>
        <bgColor auto="1"/>
      </patternFill>
    </fill>
    <fill>
      <patternFill patternType="solid">
        <fgColor tint="-0.0499893185216834" theme="0"/>
        <bgColor auto="1"/>
      </patternFill>
    </fill>
    <fill>
      <patternFill patternType="solid">
        <fgColor tint="0.799890133365886" theme="9"/>
        <bgColor auto="1"/>
      </patternFill>
    </fill>
    <fill>
      <patternFill patternType="solid">
        <fgColor theme="8"/>
      </patternFill>
    </fill>
    <fill>
      <patternFill patternType="solid">
        <fgColor tint="0.799890133365886" theme="8"/>
        <bgColor auto="1"/>
      </patternFill>
    </fill>
    <fill>
      <patternFill patternType="solid">
        <fgColor rgb="FFFFCC99"/>
      </patternFill>
    </fill>
    <fill>
      <patternFill patternType="solid">
        <fgColor theme="0"/>
        <bgColor auto="1"/>
      </patternFill>
    </fill>
    <fill>
      <patternFill patternType="solid">
        <fgColor indexed="43"/>
        <bgColor auto="1"/>
      </patternFill>
    </fill>
    <fill>
      <patternFill patternType="solid">
        <fgColor tint="0.399884029663991" theme="4"/>
        <bgColor auto="1"/>
      </patternFill>
    </fill>
    <fill>
      <patternFill patternType="solid">
        <fgColor rgb="FF00B0F0"/>
        <bgColor auto="1"/>
      </patternFill>
    </fill>
    <fill>
      <patternFill patternType="solid">
        <fgColor rgb="FF92D050"/>
        <bgColor auto="1"/>
      </patternFill>
    </fill>
    <fill>
      <patternFill patternType="solid">
        <fgColor rgb="FFFFC000"/>
        <bgColor auto="1"/>
      </patternFill>
    </fill>
    <fill>
      <patternFill patternType="solid">
        <fgColor rgb="FFFFFF00"/>
        <bgColor auto="1"/>
      </patternFill>
    </fill>
    <fill>
      <patternFill patternType="solid">
        <fgColor tint="0.799798577837458" theme="9"/>
        <bgColor auto="1"/>
      </patternFill>
    </fill>
    <fill>
      <patternFill patternType="solid">
        <fgColor tint="-0.499984740745262" theme="0"/>
        <bgColor auto="1"/>
      </patternFill>
    </fill>
    <fill>
      <patternFill patternType="solid">
        <fgColor theme="0"/>
        <bgColor auto="1"/>
      </patternFill>
    </fill>
    <fill>
      <patternFill patternType="solid">
        <fgColor rgb="FFF4B184"/>
        <bgColor auto="1"/>
      </patternFill>
    </fill>
  </fills>
  <borders count="61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/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/>
      <top/>
      <bottom style="thin">
        <color indexed="2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3">
    <xf fontId="0" numFmtId="0" fillId="0" borderId="0"/>
    <xf applyFont="0" applyFill="0" applyBorder="0" applyAlignment="0" applyProtection="0" fontId="5" numFmtId="43" fillId="0" borderId="0"/>
    <xf applyFont="0" applyFill="0" applyBorder="0" applyAlignment="0" applyProtection="0" fontId="5" numFmtId="9" fillId="0" borderId="0"/>
    <xf fontId="8" numFmtId="0" fillId="0" borderId="0"/>
    <xf fontId="5" numFmtId="0" fillId="0" borderId="0"/>
    <xf applyNumberFormat="0" applyBorder="0" applyAlignment="0" applyProtection="0" fontId="16" numFmtId="0" fillId="10" borderId="0"/>
    <xf applyNumberFormat="0" applyBorder="0" applyAlignment="0" applyProtection="0" fontId="17" numFmtId="0" fillId="5" borderId="0"/>
    <xf applyNumberFormat="0" applyBorder="0" applyAlignment="0" applyProtection="0" fontId="16" numFmtId="0" fillId="6" borderId="0"/>
    <xf applyNumberFormat="0" applyFill="0" applyBorder="0" applyAlignment="0" applyProtection="0" fontId="19" numFmtId="0" fillId="0" borderId="0"/>
    <xf applyNumberFormat="0" applyAlignment="0" applyProtection="0" fontId="20" numFmtId="0" fillId="7" borderId="38"/>
    <xf fontId="16" numFmtId="0" fillId="0" borderId="0"/>
    <xf fontId="21" numFmtId="0" fillId="0" borderId="0"/>
    <xf applyNumberFormat="0" applyFill="0" applyAlignment="0" applyProtection="0" fontId="25" numFmtId="0" fillId="0" borderId="45"/>
  </cellStyleXfs>
  <cellXfs count="332">
    <xf fontId="0" numFmtId="0" fillId="0" borderId="0" xfId="0"/>
    <xf applyNumberFormat="1" applyFont="1" applyFill="1" applyBorder="1" applyAlignment="1" fontId="8" numFmtId="3" fillId="9" borderId="47" xfId="1">
      <alignment horizontal="center"/>
    </xf>
    <xf applyNumberFormat="1" applyFont="1" applyFill="1" applyBorder="1" applyAlignment="1" fontId="8" numFmtId="4" fillId="9" borderId="47" xfId="1">
      <alignment horizontal="center"/>
    </xf>
    <xf applyNumberFormat="1" applyFont="1" applyFill="1" applyBorder="1" applyAlignment="1" fontId="8" numFmtId="3" fillId="0" borderId="29" xfId="1"/>
    <xf applyNumberFormat="1" applyFont="1" applyFill="1" applyBorder="1" applyAlignment="1" applyProtection="1" fontId="5" numFmtId="176" fillId="0" borderId="0" xfId="2"/>
    <xf applyNumberFormat="1" applyFont="1" applyFill="1" applyBorder="1" applyAlignment="1" applyProtection="1" fontId="5" numFmtId="3" fillId="0" borderId="43" xfId="0"/>
    <xf applyNumberFormat="1" applyFont="1" applyBorder="1" applyAlignment="1" fontId="0" numFmtId="1" fillId="0" borderId="57" xfId="0"/>
    <xf applyNumberFormat="1" applyFont="1" applyFill="1" applyBorder="1" applyAlignment="1" applyProtection="1" fontId="11" numFmtId="3" fillId="0" borderId="0" xfId="0"/>
    <xf applyNumberFormat="1" applyFont="1" applyFill="1" applyBorder="1" applyAlignment="1" applyProtection="1" fontId="12" numFmtId="3" fillId="0" borderId="0" xfId="1">
      <alignment horizontal="right"/>
    </xf>
    <xf applyNumberFormat="1" applyFont="1" applyFill="1" applyBorder="1" applyAlignment="1" applyProtection="1" fontId="12" numFmtId="4" fillId="0" borderId="0" xfId="1"/>
    <xf applyNumberFormat="1" applyFont="1" applyFill="1" applyBorder="1" applyAlignment="1" applyProtection="1" fontId="13" numFmtId="176" fillId="0" borderId="0" xfId="2"/>
    <xf applyNumberFormat="1" applyFont="1" applyFill="1" applyBorder="1" applyAlignment="1" applyProtection="1" fontId="14" numFmtId="3" fillId="0" borderId="37" xfId="0"/>
    <xf applyNumberFormat="1" applyFont="1" applyFill="1" applyBorder="1" applyAlignment="1" fontId="8" numFmtId="1" fillId="9" borderId="56" xfId="3">
      <alignment horizontal="center"/>
    </xf>
    <xf applyNumberFormat="1" applyFont="1" applyFill="1" applyBorder="1" applyAlignment="1" fontId="8" numFmtId="3" fillId="9" borderId="8" xfId="3">
      <alignment horizontal="center"/>
    </xf>
    <xf applyNumberFormat="1" applyFont="1" applyFill="1" applyBorder="1" applyAlignment="1" applyProtection="1" fontId="5" numFmtId="176" fillId="0" borderId="42" xfId="2"/>
    <xf applyNumberFormat="1" applyFont="1" applyFill="1" applyBorder="1" applyAlignment="1" fontId="8" numFmtId="1" fillId="0" borderId="56" xfId="3">
      <alignment horizontal="center"/>
    </xf>
    <xf applyNumberFormat="1" applyFont="1" applyFill="1" applyBorder="1" applyAlignment="1" applyProtection="1" fontId="10" numFmtId="3" fillId="3" borderId="3" xfId="0">
      <alignment horizontal="right"/>
    </xf>
    <xf applyNumberFormat="1" applyFont="1" applyFill="1" applyBorder="1" applyAlignment="1" applyProtection="1" fontId="10" numFmtId="3" fillId="3" borderId="4" xfId="1"/>
    <xf applyNumberFormat="1" applyFont="1" applyFill="1" applyBorder="1" applyAlignment="1" applyProtection="1" fontId="10" numFmtId="4" fillId="3" borderId="5" xfId="1"/>
    <xf applyNumberFormat="1" applyFont="1" applyFill="1" applyBorder="1" applyAlignment="1" applyProtection="1" fontId="10" numFmtId="176" fillId="3" borderId="5" xfId="2"/>
    <xf applyNumberFormat="1" applyFont="1" applyFill="1" applyBorder="1" applyAlignment="1" applyProtection="1" fontId="10" numFmtId="3" fillId="3" borderId="6" xfId="0"/>
    <xf applyNumberFormat="1" applyFont="1" applyBorder="1" applyAlignment="1" fontId="15" numFmtId="1" fillId="0" borderId="57" xfId="0"/>
    <xf applyNumberFormat="1" applyFont="1" applyFill="1" applyBorder="1" applyAlignment="1" applyProtection="1" fontId="15" numFmtId="3" fillId="0" borderId="0" xfId="0"/>
    <xf applyNumberFormat="1" applyFont="1" applyFill="1" applyBorder="1" applyAlignment="1" applyProtection="1" fontId="5" numFmtId="3" fillId="0" borderId="37" xfId="0"/>
    <xf applyNumberFormat="1" applyFont="1" applyBorder="1" applyAlignment="1" fontId="15" numFmtId="3" fillId="0" borderId="0" xfId="0"/>
    <xf applyNumberFormat="1" applyFont="1" applyBorder="1" applyAlignment="1" fontId="5" numFmtId="3" fillId="0" borderId="0" xfId="1"/>
    <xf applyNumberFormat="1" applyFont="1" applyBorder="1" applyAlignment="1" fontId="5" numFmtId="4" fillId="0" borderId="0" xfId="1"/>
    <xf applyNumberFormat="1" applyFont="1" applyBorder="1" applyAlignment="1" fontId="15" numFmtId="3" fillId="0" borderId="0" xfId="1"/>
    <xf applyNumberFormat="1" applyFont="1" applyBorder="1" applyAlignment="1" fontId="0" numFmtId="3" fillId="0" borderId="0" xfId="1"/>
    <xf applyNumberFormat="1" applyFont="1" applyBorder="1" applyAlignment="1" fontId="10" numFmtId="176" fillId="0" borderId="0" xfId="2"/>
    <xf applyNumberFormat="1" applyFont="1" applyBorder="1" applyAlignment="1" fontId="10" numFmtId="3" fillId="0" borderId="37" xfId="0"/>
    <xf applyNumberFormat="1" applyFont="1" applyFill="1" applyBorder="1" applyAlignment="1" applyProtection="1" fontId="9" numFmtId="176" fillId="0" borderId="0" xfId="2"/>
    <xf applyNumberFormat="1" applyFont="1" applyFill="1" applyBorder="1" applyAlignment="1" applyProtection="1" fontId="12" numFmtId="3" fillId="0" borderId="37" xfId="0"/>
    <xf applyNumberFormat="1" applyFont="1" applyFill="1" applyBorder="1" applyAlignment="1" applyProtection="1" fontId="5" numFmtId="3" fillId="0" borderId="0" xfId="1"/>
    <xf applyNumberFormat="1" applyFont="1" applyFill="1" applyBorder="1" applyAlignment="1" applyProtection="1" fontId="5" numFmtId="4" fillId="0" borderId="0" xfId="1"/>
    <xf applyNumberFormat="1" applyFont="1" applyFill="1" applyBorder="1" applyAlignment="1" applyProtection="1" fontId="15" numFmtId="3" fillId="0" borderId="0" xfId="1"/>
    <xf applyNumberFormat="1" applyFont="1" applyFill="1" applyBorder="1" applyAlignment="1" fontId="8" numFmtId="1" fillId="9" borderId="7" xfId="3">
      <alignment horizontal="center"/>
    </xf>
    <xf applyNumberFormat="1" applyFont="1" applyFill="1" applyBorder="1" applyAlignment="1" fontId="8" numFmtId="3" fillId="9" borderId="8" xfId="3">
      <alignment horizontal="center"/>
    </xf>
    <xf applyNumberFormat="1" applyFont="1" applyFill="1" applyBorder="1" applyAlignment="1" fontId="8" numFmtId="3" fillId="9" borderId="8" xfId="1">
      <alignment horizontal="center"/>
    </xf>
    <xf applyNumberFormat="1" applyFont="1" applyFill="1" applyBorder="1" applyAlignment="1" fontId="8" numFmtId="4" fillId="9" borderId="8" xfId="1">
      <alignment horizontal="center"/>
    </xf>
    <xf applyNumberFormat="1" applyFont="1" applyBorder="1" fontId="10" numFmtId="3" fillId="0" borderId="48" xfId="4"/>
    <xf applyNumberFormat="1" applyFont="1" applyFill="1" applyBorder="1" applyAlignment="1" applyProtection="1" fontId="5" numFmtId="3" fillId="0" borderId="10" xfId="1"/>
    <xf applyNumberFormat="1" applyFont="1" applyFill="1" applyBorder="1" applyAlignment="1" applyProtection="1" fontId="5" numFmtId="176" fillId="0" borderId="11" xfId="2"/>
    <xf applyNumberFormat="1" applyFont="1" applyFill="1" applyBorder="1" applyAlignment="1" applyProtection="1" fontId="5" numFmtId="3" fillId="0" borderId="32" xfId="0"/>
    <xf applyNumberFormat="1" applyFont="1" applyFill="1" applyBorder="1" applyAlignment="1" fontId="8" numFmtId="1" fillId="0" borderId="12" xfId="3">
      <alignment horizontal="center"/>
    </xf>
    <xf applyNumberFormat="1" applyFont="1" applyFill="1" applyBorder="1" applyAlignment="1" applyProtection="1" fontId="5" numFmtId="176" fillId="0" borderId="48" xfId="2"/>
    <xf applyNumberFormat="1" applyFont="1" applyFill="1" applyBorder="1" applyAlignment="1" applyProtection="1" fontId="5" numFmtId="3" fillId="0" borderId="32" xfId="0"/>
    <xf applyNumberFormat="1" applyFont="1" applyBorder="1" fontId="10" numFmtId="3" fillId="0" borderId="14" xfId="4"/>
    <xf applyNumberFormat="1" applyFont="1" applyFill="1" applyBorder="1" applyAlignment="1" applyProtection="1" fontId="5" numFmtId="176" fillId="0" borderId="14" xfId="2"/>
    <xf applyNumberFormat="1" applyFont="1" applyFill="1" applyBorder="1" applyAlignment="1" applyProtection="1" fontId="10" numFmtId="3" fillId="0" borderId="14" xfId="0"/>
    <xf applyNumberFormat="1" applyFont="1" applyAlignment="1" fontId="10" numFmtId="176" fillId="0" borderId="0" xfId="2"/>
    <xf applyNumberFormat="1" applyFont="1" applyBorder="1" applyAlignment="1" fontId="10" numFmtId="3" fillId="0" borderId="32" xfId="0"/>
    <xf applyNumberFormat="1" applyFont="1" applyFill="1" applyBorder="1" applyAlignment="1" applyProtection="1" fontId="5" numFmtId="3" fillId="0" borderId="17" xfId="1"/>
    <xf applyNumberFormat="1" applyFont="1" applyFill="1" applyBorder="1" applyAlignment="1" applyProtection="1" fontId="5" numFmtId="176" fillId="0" borderId="18" xfId="2"/>
    <xf applyNumberFormat="1" applyFont="1" applyFill="1" applyBorder="1" applyAlignment="1" applyProtection="1" fontId="5" numFmtId="3" fillId="0" borderId="19" xfId="0"/>
    <xf applyNumberFormat="1" applyFont="1" applyFill="1" applyBorder="1" applyAlignment="1" applyProtection="1" fontId="5" numFmtId="3" fillId="0" borderId="22" xfId="1"/>
    <xf applyNumberFormat="1" applyFont="1" applyFill="1" applyBorder="1" applyAlignment="1" applyProtection="1" fontId="5" numFmtId="3" fillId="0" borderId="23" xfId="1"/>
    <xf applyNumberFormat="1" applyFont="1" applyBorder="1" applyAlignment="1" fontId="0" numFmtId="1" fillId="0" borderId="0" xfId="0"/>
    <xf applyNumberFormat="1" applyFont="1" applyFill="1" applyBorder="1" applyAlignment="1" applyProtection="1" fontId="10" numFmtId="3" fillId="0" borderId="59" xfId="0">
      <alignment horizontal="left"/>
    </xf>
    <xf applyNumberFormat="1" applyFont="1" applyFill="1" applyBorder="1" applyAlignment="1" applyProtection="1" fontId="12" numFmtId="3" fillId="0" borderId="59" xfId="1">
      <alignment horizontal="right"/>
    </xf>
    <xf applyNumberFormat="1" applyFont="1" applyFill="1" applyBorder="1" applyAlignment="1" applyProtection="1" fontId="12" numFmtId="4" fillId="0" borderId="59" xfId="1"/>
    <xf applyNumberFormat="1" applyFont="1" applyFill="1" applyBorder="1" applyAlignment="1" applyProtection="1" fontId="5" numFmtId="176" fillId="0" borderId="59" xfId="2"/>
    <xf applyNumberFormat="1" applyFont="1" applyFill="1" applyBorder="1" applyAlignment="1" applyProtection="1" fontId="5" numFmtId="3" fillId="0" borderId="60" xfId="0"/>
    <xf applyNumberFormat="1" applyFont="1" applyBorder="1" applyAlignment="1" fontId="0" numFmtId="1" fillId="0" borderId="39" xfId="0"/>
    <xf applyNumberFormat="1" applyFont="1" applyFill="1" applyBorder="1" applyAlignment="1" applyProtection="1" fontId="10" numFmtId="3" fillId="4" borderId="4" xfId="1"/>
    <xf applyNumberFormat="1" applyFont="1" applyFill="1" applyBorder="1" applyAlignment="1" applyProtection="1" fontId="10" numFmtId="4" fillId="4" borderId="8" xfId="1"/>
    <xf applyNumberFormat="1" applyFont="1" applyFill="1" applyBorder="1" applyAlignment="1" applyProtection="1" fontId="10" numFmtId="176" fillId="4" borderId="5" xfId="2"/>
    <xf applyNumberFormat="1" applyFont="1" applyFill="1" applyBorder="1" applyAlignment="1" applyProtection="1" fontId="10" numFmtId="3" fillId="4" borderId="6" xfId="0"/>
    <xf applyNumberFormat="1" applyFont="1" applyBorder="1" applyAlignment="1" fontId="15" numFmtId="1" fillId="0" borderId="8" xfId="0"/>
    <xf applyNumberFormat="1" applyFont="1" applyFill="1" applyBorder="1" applyAlignment="1" applyProtection="1" fontId="15" numFmtId="3" fillId="0" borderId="39" xfId="0"/>
    <xf applyNumberFormat="1" applyFont="1" applyFill="1" applyBorder="1" applyAlignment="1" applyProtection="1" fontId="5" numFmtId="3" fillId="0" borderId="39" xfId="1">
      <alignment horizontal="right"/>
    </xf>
    <xf applyNumberFormat="1" applyFont="1" applyFill="1" applyBorder="1" applyAlignment="1" applyProtection="1" fontId="5" numFmtId="4" fillId="0" borderId="39" xfId="1"/>
    <xf applyNumberFormat="1" applyFont="1" applyFill="1" applyBorder="1" applyAlignment="1" applyProtection="1" fontId="12" numFmtId="3" fillId="0" borderId="39" xfId="1">
      <alignment horizontal="right"/>
    </xf>
    <xf applyNumberFormat="1" applyFont="1" applyFill="1" applyBorder="1" applyAlignment="1" applyProtection="1" fontId="13" numFmtId="176" fillId="0" borderId="39" xfId="2"/>
    <xf applyNumberFormat="1" applyFont="1" applyFill="1" applyBorder="1" applyAlignment="1" applyProtection="1" fontId="14" numFmtId="3" fillId="0" borderId="44" xfId="0"/>
    <xf applyNumberFormat="1" applyFont="1" fontId="15" numFmtId="1" fillId="0" borderId="0" xfId="0"/>
    <xf applyFont="1" fontId="15" numFmtId="0" fillId="0" borderId="0" xfId="0"/>
    <xf applyNumberFormat="1" fontId="0" numFmtId="1" fillId="0" borderId="0" xfId="0"/>
    <xf applyNumberFormat="1" applyFont="1" applyFill="1" applyBorder="1" applyAlignment="1" applyProtection="1" fontId="10" numFmtId="3" fillId="0" borderId="26" xfId="0"/>
    <xf applyNumberFormat="1" applyFont="1" applyFill="1" applyBorder="1" applyAlignment="1" applyProtection="1" fontId="5" numFmtId="3" fillId="0" borderId="4" xfId="1"/>
    <xf applyNumberFormat="1" applyFont="1" applyFill="1" applyBorder="1" applyAlignment="1" applyProtection="1" fontId="5" numFmtId="4" fillId="0" borderId="5" xfId="1"/>
    <xf applyNumberFormat="1" applyFont="1" applyFill="1" applyBorder="1" applyAlignment="1" applyProtection="1" fontId="15" numFmtId="3" fillId="0" borderId="8" xfId="1"/>
    <xf applyNumberFormat="1" applyFont="1" applyFill="1" applyBorder="1" applyAlignment="1" applyProtection="1" fontId="15" numFmtId="3" fillId="0" borderId="3" xfId="1"/>
    <xf applyNumberFormat="1" applyFont="1" applyFill="1" applyBorder="1" applyAlignment="1" applyProtection="1" fontId="9" numFmtId="176" fillId="0" borderId="5" xfId="2"/>
    <xf applyNumberFormat="1" applyFont="1" applyFill="1" applyBorder="1" applyAlignment="1" applyProtection="1" fontId="12" numFmtId="3" fillId="0" borderId="6" xfId="0"/>
    <xf applyNumberFormat="1" applyFont="1" applyFill="1" applyBorder="1" applyAlignment="1" applyProtection="1" fontId="5" numFmtId="3" fillId="0" borderId="13" xfId="0"/>
    <xf applyNumberFormat="1" applyFont="1" applyFill="1" applyBorder="1" applyAlignment="1" applyProtection="1" fontId="5" numFmtId="4" fillId="0" borderId="27" xfId="1"/>
    <xf applyNumberFormat="1" applyFont="1" applyFill="1" applyBorder="1" applyAlignment="1" applyProtection="1" fontId="15" numFmtId="3" fillId="0" borderId="48" xfId="1"/>
    <xf applyNumberFormat="1" applyFont="1" applyFill="1" applyBorder="1" applyAlignment="1" applyProtection="1" fontId="15" numFmtId="3" fillId="0" borderId="42" xfId="1"/>
    <xf applyNumberFormat="1" applyFont="1" applyFill="1" applyBorder="1" applyAlignment="1" applyProtection="1" fontId="5" numFmtId="176" fillId="0" borderId="27" xfId="2"/>
    <xf applyNumberFormat="1" applyFont="1" applyFill="1" applyBorder="1" applyAlignment="1" applyProtection="1" fontId="5" numFmtId="3" fillId="0" borderId="28" xfId="0"/>
    <xf applyNumberFormat="1" applyFont="1" applyFill="1" applyBorder="1" applyAlignment="1" applyProtection="1" fontId="5" numFmtId="3" fillId="0" borderId="15" xfId="0"/>
    <xf applyNumberFormat="1" applyFont="1" applyFill="1" applyBorder="1" applyAlignment="1" applyProtection="1" fontId="5" numFmtId="3" fillId="0" borderId="29" xfId="1"/>
    <xf applyFont="1" applyFill="1" applyBorder="1" applyAlignment="1" applyProtection="1" fontId="5" numFmtId="9" fillId="0" borderId="30" xfId="2"/>
    <xf applyNumberFormat="1" applyFont="1" applyFill="1" applyBorder="1" applyAlignment="1" applyProtection="1" fontId="15" numFmtId="3" fillId="0" borderId="14" xfId="1"/>
    <xf applyNumberFormat="1" applyFont="1" applyFill="1" applyBorder="1" applyAlignment="1" applyProtection="1" fontId="15" numFmtId="3" fillId="0" borderId="31" xfId="1"/>
    <xf applyNumberFormat="1" applyFont="1" applyFill="1" applyBorder="1" applyAlignment="1" applyProtection="1" fontId="5" numFmtId="176" fillId="0" borderId="30" xfId="2"/>
    <xf applyNumberFormat="1" applyFont="1" applyFill="1" applyBorder="1" applyAlignment="1" applyProtection="1" fontId="5" numFmtId="3" fillId="0" borderId="32" xfId="0"/>
    <xf applyNumberFormat="1" applyFont="1" applyFill="1" applyBorder="1" applyAlignment="1" applyProtection="1" fontId="5" numFmtId="3" fillId="0" borderId="33" xfId="0"/>
    <xf applyNumberFormat="1" applyFont="1" applyFill="1" applyBorder="1" applyAlignment="1" fontId="8" numFmtId="3" fillId="0" borderId="34" xfId="1"/>
    <xf applyFont="1" applyFill="1" applyBorder="1" applyAlignment="1" fontId="8" numFmtId="9" fillId="0" borderId="34" xfId="2"/>
    <xf applyNumberFormat="1" applyFont="1" applyFill="1" applyBorder="1" applyAlignment="1" applyProtection="1" fontId="5" numFmtId="3" fillId="0" borderId="34" xfId="1"/>
    <xf applyNumberFormat="1" applyFont="1" applyFill="1" applyBorder="1" applyAlignment="1" applyProtection="1" fontId="5" numFmtId="176" fillId="0" borderId="35" xfId="2"/>
    <xf applyNumberFormat="1" applyFont="1" applyFill="1" applyBorder="1" applyAlignment="1" applyProtection="1" fontId="5" numFmtId="3" fillId="0" borderId="36" xfId="0"/>
    <xf applyNumberFormat="1" applyFont="1" applyFill="1" applyBorder="1" applyAlignment="1" applyProtection="1" fontId="5" numFmtId="176" fillId="0" borderId="0" xfId="2">
      <alignment horizontal="right"/>
    </xf>
    <xf fontId="17" numFmtId="0" fillId="5" borderId="0" xfId="6"/>
    <xf fontId="16" numFmtId="0" fillId="10" borderId="0" xfId="5"/>
    <xf fontId="16" numFmtId="0" fillId="6" borderId="0" xfId="7"/>
    <xf applyNumberFormat="1" applyFont="1" applyFill="1" applyBorder="1" applyAlignment="1" applyProtection="1" fontId="10" numFmtId="3" fillId="3" borderId="4" xfId="1">
      <alignment horizontal="right"/>
    </xf>
    <xf applyNumberFormat="1" applyFont="1" applyFill="1" applyBorder="1" applyAlignment="1" applyProtection="1" fontId="10" numFmtId="176" fillId="3" borderId="6" xfId="2"/>
    <xf applyNumberFormat="1" applyFont="1" applyFill="1" applyBorder="1" applyAlignment="1" fontId="15" numFmtId="1" fillId="3" borderId="56" xfId="0"/>
    <xf applyNumberFormat="1" applyFont="1" applyFill="1" applyBorder="1" applyAlignment="1" fontId="8" numFmtId="1" fillId="3" borderId="56" xfId="3">
      <alignment horizontal="center"/>
    </xf>
    <xf applyNumberFormat="1" applyFont="1" applyFill="1" applyBorder="1" applyAlignment="1" fontId="8" numFmtId="1" fillId="0" borderId="12" xfId="3">
      <alignment horizontal="center"/>
    </xf>
    <xf applyNumberFormat="1" applyFont="1" applyFill="1" applyBorder="1" applyAlignment="1" fontId="8" numFmtId="3" fillId="0" borderId="0" xfId="1">
      <alignment horizontal="right"/>
    </xf>
    <xf applyNumberFormat="1" applyFont="1" applyFill="1" applyBorder="1" applyAlignment="1" fontId="8" numFmtId="3" fillId="0" borderId="0" xfId="1"/>
    <xf applyNumberFormat="1" applyFill="1" applyBorder="1" applyAlignment="1" fontId="0" numFmtId="1" fillId="3" borderId="56" xfId="0"/>
    <xf applyNumberFormat="1" applyFont="1" applyFill="1" applyBorder="1" applyAlignment="1" applyProtection="1" fontId="5" numFmtId="3" fillId="0" borderId="37" xfId="0"/>
    <xf applyNumberFormat="1" applyFont="1" applyFill="1" applyBorder="1" applyAlignment="1" applyProtection="1" fontId="5" numFmtId="3" fillId="0" borderId="44" xfId="0"/>
    <xf applyNumberFormat="1" applyFont="1" applyFill="1" applyBorder="1" applyAlignment="1" fontId="8" numFmtId="3" fillId="2" borderId="8" xfId="1">
      <alignment horizontal="center"/>
    </xf>
    <xf applyNumberFormat="1" applyFont="1" applyFill="1" applyBorder="1" applyAlignment="1" fontId="8" numFmtId="3" fillId="0" borderId="58" xfId="3">
      <alignment horizontal="center"/>
    </xf>
    <xf applyNumberFormat="1" applyFont="1" applyFill="1" applyBorder="1" applyAlignment="1" fontId="8" numFmtId="3" fillId="0" borderId="20" xfId="3">
      <alignment horizontal="center"/>
    </xf>
    <xf applyNumberFormat="1" applyFont="1" applyFill="1" applyBorder="1" applyAlignment="1" fontId="8" numFmtId="3" fillId="0" borderId="41" xfId="3">
      <alignment horizontal="center"/>
    </xf>
    <xf applyNumberFormat="1" applyFont="1" applyFill="1" applyBorder="1" applyAlignment="1" fontId="8" numFmtId="3" fillId="0" borderId="12" xfId="3">
      <alignment horizontal="center"/>
    </xf>
    <xf applyNumberFormat="1" applyFont="1" applyFill="1" applyBorder="1" applyAlignment="1" fontId="8" numFmtId="3" fillId="0" borderId="12" xfId="3">
      <alignment horizontal="center"/>
    </xf>
    <xf applyNumberFormat="1" applyFont="1" applyFill="1" applyBorder="1" applyAlignment="1" applyProtection="1" fontId="15" numFmtId="3" fillId="0" borderId="16" xfId="0"/>
    <xf applyNumberFormat="1" applyFont="1" applyFill="1" applyBorder="1" applyAlignment="1" fontId="8" numFmtId="3" fillId="0" borderId="20" xfId="3">
      <alignment horizontal="center"/>
    </xf>
    <xf applyNumberFormat="1" applyFont="1" applyFill="1" applyBorder="1" applyAlignment="1" fontId="8" numFmtId="49" fillId="0" borderId="0" xfId="3"/>
    <xf applyNumberFormat="1" applyFont="1" applyFill="1" applyBorder="1" applyAlignment="1" fontId="8" numFmtId="49" fillId="0" borderId="0" xfId="3">
      <alignment horizontal="left"/>
    </xf>
    <xf applyNumberFormat="1" applyFont="1" applyFill="1" applyBorder="1" applyAlignment="1" fontId="8" numFmtId="49" fillId="0" borderId="31" xfId="3">
      <alignment horizontal="left"/>
    </xf>
    <xf applyNumberFormat="1" applyFont="1" applyBorder="1" fontId="5" numFmtId="49" fillId="0" borderId="48" xfId="4"/>
    <xf applyNumberFormat="1" applyFont="1" applyBorder="1" fontId="5" numFmtId="49" fillId="0" borderId="14" xfId="4"/>
    <xf applyNumberFormat="1" applyFont="1" applyFill="1" applyBorder="1" applyAlignment="1" applyProtection="1" fontId="15" numFmtId="49" fillId="0" borderId="21" xfId="0"/>
    <xf applyNumberFormat="1" applyFont="1" applyFill="1" applyBorder="1" applyAlignment="1" fontId="8" numFmtId="3" fillId="9" borderId="56" xfId="3">
      <alignment horizontal="center"/>
    </xf>
    <xf applyNumberFormat="1" applyFont="1" applyAlignment="1" fontId="18" numFmtId="3" fillId="0" borderId="0" xfId="0">
      <alignment horizontal="right"/>
    </xf>
    <xf fontId="16" numFmtId="0" fillId="0" borderId="0" xfId="10"/>
    <xf applyNumberFormat="1" applyFont="1" applyFill="1" applyBorder="1" applyAlignment="1" fontId="3" numFmtId="1" fillId="17" borderId="57" xfId="10">
      <alignment horizontal="right"/>
    </xf>
    <xf applyNumberFormat="1" applyFont="1" applyFill="1" applyBorder="1" applyAlignment="1" fontId="4" numFmtId="3" fillId="17" borderId="0" xfId="10">
      <alignment horizontal="left"/>
    </xf>
    <xf applyNumberFormat="1" applyFont="1" applyFill="1" applyBorder="1" applyAlignment="1" fontId="6" numFmtId="3" fillId="17" borderId="0" xfId="1">
      <alignment horizontal="left"/>
    </xf>
    <xf applyNumberFormat="1" applyFont="1" applyFill="1" applyBorder="1" applyAlignment="1" fontId="4" numFmtId="4" fillId="17" borderId="37" xfId="1"/>
    <xf applyNumberFormat="1" applyFont="1" applyFill="1" applyBorder="1" applyAlignment="1" fontId="3" numFmtId="1" fillId="17" borderId="57" xfId="1">
      <alignment horizontal="right"/>
    </xf>
    <xf applyNumberFormat="1" applyFont="1" applyFill="1" applyBorder="1" applyAlignment="1" fontId="4" numFmtId="3" fillId="17" borderId="0" xfId="1">
      <alignment horizontal="left"/>
    </xf>
    <xf applyNumberFormat="1" applyFont="1" applyFill="1" applyBorder="1" applyAlignment="1" fontId="3" numFmtId="3" fillId="17" borderId="0" xfId="10">
      <alignment horizontal="right"/>
    </xf>
    <xf applyBorder="1" fontId="20" numFmtId="0" fillId="7" borderId="0" xfId="9"/>
    <xf applyFill="1" applyBorder="1" fontId="16" numFmtId="0" fillId="17" borderId="0" xfId="10"/>
    <xf applyFill="1" applyBorder="1" fontId="16" numFmtId="0" fillId="17" borderId="37" xfId="10"/>
    <xf applyNumberFormat="1" applyFont="1" applyFill="1" applyBorder="1" applyAlignment="1" fontId="3" numFmtId="3" fillId="17" borderId="0" xfId="1">
      <alignment horizontal="right"/>
    </xf>
    <xf applyNumberFormat="1" applyFont="1" applyFill="1" applyBorder="1" applyAlignment="1" fontId="3" numFmtId="3" fillId="17" borderId="20" xfId="1">
      <alignment horizontal="right"/>
    </xf>
    <xf applyNumberFormat="1" applyFont="1" applyFill="1" applyBorder="1" applyAlignment="1" fontId="3" numFmtId="3" fillId="17" borderId="39" xfId="1">
      <alignment horizontal="right"/>
    </xf>
    <xf applyNumberFormat="1" applyFont="1" applyFill="1" applyBorder="1" applyAlignment="1" fontId="4" numFmtId="3" fillId="17" borderId="39" xfId="1">
      <alignment horizontal="left"/>
    </xf>
    <xf applyFill="1" applyBorder="1" fontId="16" numFmtId="0" fillId="17" borderId="44" xfId="10"/>
    <xf applyBorder="1" fontId="20" numFmtId="0" fillId="7" borderId="39" xfId="9"/>
    <xf applyBorder="1" fontId="20" numFmtId="0" fillId="7" borderId="44" xfId="9"/>
    <xf applyNumberFormat="1" applyFont="1" applyFill="1" applyBorder="1" applyAlignment="1" fontId="8" numFmtId="3" fillId="0" borderId="0" xfId="3">
      <alignment horizontal="left"/>
    </xf>
    <xf applyNumberFormat="1" fontId="16" numFmtId="1" fillId="0" borderId="0" xfId="10"/>
    <xf applyAlignment="1" fontId="0" numFmtId="0" fillId="0" borderId="0" xfId="0">
      <alignment horizontal="left"/>
    </xf>
    <xf applyNumberFormat="1" applyBorder="1" fontId="16" numFmtId="1" fillId="0" borderId="59" xfId="10"/>
    <xf applyBorder="1" fontId="16" numFmtId="0" fillId="0" borderId="59" xfId="10"/>
    <xf applyNumberFormat="1" applyFont="1" applyFill="1" applyBorder="1" applyAlignment="1" fontId="3" numFmtId="1" fillId="17" borderId="59" xfId="0">
      <alignment horizontal="right"/>
    </xf>
    <xf applyNumberFormat="1" applyFont="1" applyFill="1" applyBorder="1" applyAlignment="1" fontId="4" numFmtId="3" fillId="17" borderId="59" xfId="0">
      <alignment horizontal="left"/>
    </xf>
    <xf applyNumberFormat="1" applyFont="1" applyFill="1" applyBorder="1" applyAlignment="1" fontId="6" numFmtId="3" fillId="17" borderId="59" xfId="1">
      <alignment horizontal="left"/>
    </xf>
    <xf applyNumberFormat="1" applyFont="1" applyFill="1" applyBorder="1" applyAlignment="1" fontId="4" numFmtId="4" fillId="17" borderId="59" xfId="1"/>
    <xf applyNumberFormat="1" applyFont="1" applyFill="1" applyBorder="1" applyAlignment="1" fontId="7" numFmtId="3" fillId="17" borderId="59" xfId="1"/>
    <xf applyNumberFormat="1" applyFont="1" applyFill="1" applyBorder="1" applyAlignment="1" fontId="6" numFmtId="176" fillId="17" borderId="59" xfId="2"/>
    <xf applyNumberFormat="1" applyFont="1" applyFill="1" applyBorder="1" applyAlignment="1" fontId="4" numFmtId="3" fillId="17" borderId="60" xfId="0"/>
    <xf applyNumberFormat="1" applyFont="1" applyFill="1" applyBorder="1" applyAlignment="1" fontId="3" numFmtId="1" fillId="17" borderId="0" xfId="1">
      <alignment horizontal="right"/>
    </xf>
    <xf applyNumberFormat="1" applyFont="1" applyFill="1" applyBorder="1" applyAlignment="1" fontId="4" numFmtId="4" fillId="17" borderId="0" xfId="1"/>
    <xf applyNumberFormat="1" applyFont="1" applyFill="1" applyBorder="1" applyAlignment="1" fontId="3" numFmtId="3" fillId="17" borderId="0" xfId="0">
      <alignment horizontal="right"/>
    </xf>
    <xf applyNumberFormat="1" applyFont="1" applyFill="1" applyBorder="1" applyAlignment="1" fontId="6" numFmtId="176" fillId="17" borderId="0" xfId="2"/>
    <xf applyNumberFormat="1" applyFont="1" applyFill="1" applyBorder="1" applyAlignment="1" fontId="4" numFmtId="3" fillId="17" borderId="37" xfId="0"/>
    <xf applyNumberFormat="1" applyFont="1" applyFill="1" applyBorder="1" applyAlignment="1" fontId="3" numFmtId="1" fillId="17" borderId="0" xfId="0">
      <alignment horizontal="right"/>
    </xf>
    <xf applyNumberFormat="1" applyFont="1" applyFill="1" applyBorder="1" applyAlignment="1" fontId="4" numFmtId="3" fillId="17" borderId="0" xfId="0">
      <alignment horizontal="left"/>
    </xf>
    <xf applyNumberFormat="1" applyFont="1" applyFill="1" applyBorder="1" applyAlignment="1" fontId="6" numFmtId="3" fillId="17" borderId="39" xfId="1">
      <alignment horizontal="left"/>
    </xf>
    <xf applyNumberFormat="1" applyFont="1" applyFill="1" applyBorder="1" applyAlignment="1" fontId="4" numFmtId="3" fillId="17" borderId="44" xfId="0"/>
    <xf fontId="21" numFmtId="0" fillId="0" borderId="0" xfId="11"/>
    <xf applyNumberFormat="1" applyBorder="1" fontId="21" numFmtId="2" fillId="0" borderId="52" xfId="11"/>
    <xf applyFill="1" applyBorder="1" fontId="16" numFmtId="0" fillId="17" borderId="39" xfId="10"/>
    <xf applyNumberFormat="1" applyFont="1" applyFill="1" applyBorder="1" applyAlignment="1" fontId="4" numFmtId="3" fillId="17" borderId="39" xfId="10">
      <alignment horizontal="left"/>
    </xf>
    <xf applyFill="1" applyBorder="1" fontId="21" numFmtId="0" fillId="17" borderId="0" xfId="11"/>
    <xf applyFill="1" applyBorder="1" fontId="19" numFmtId="0" fillId="17" borderId="0" xfId="8"/>
    <xf applyNumberFormat="1" applyFont="1" applyBorder="1" fontId="23" numFmtId="10" fillId="7" borderId="0" xfId="9"/>
    <xf applyNumberFormat="1" applyFont="1" applyBorder="1" fontId="15" numFmtId="3" fillId="0" borderId="0" xfId="10"/>
    <xf applyFont="1" applyBorder="1" fontId="23" numFmtId="0" fillId="7" borderId="20" xfId="9" quotePrefix="1"/>
    <xf applyNumberFormat="1" applyFont="1" applyFill="1" applyBorder="1" applyAlignment="1" fontId="22" numFmtId="49" fillId="0" borderId="0" xfId="3"/>
    <xf applyNumberFormat="1" applyFont="1" applyFill="1" applyBorder="1" applyAlignment="1" fontId="8" numFmtId="3" fillId="0" borderId="41" xfId="3">
      <alignment horizontal="center"/>
    </xf>
    <xf applyNumberFormat="1" applyFont="1" applyFill="1" applyBorder="1" applyAlignment="1" applyProtection="1" fontId="5" numFmtId="176" fillId="0" borderId="42" xfId="2"/>
    <xf applyNumberFormat="1" applyFont="1" applyFill="1" applyBorder="1" applyAlignment="1" applyProtection="1" fontId="5" numFmtId="3" fillId="0" borderId="43" xfId="0"/>
    <xf applyNumberFormat="1" applyFont="1" fontId="0" numFmtId="1" fillId="0" borderId="0" xfId="10"/>
    <xf applyBorder="1" fontId="16" numFmtId="0" fillId="0" borderId="44" xfId="10"/>
    <xf applyNumberFormat="1" fontId="16" numFmtId="10" fillId="0" borderId="0" xfId="10"/>
    <xf applyFill="1" applyBorder="1" fontId="19" numFmtId="0" fillId="14" borderId="0" xfId="8" quotePrefix="1"/>
    <xf applyFill="1" applyBorder="1" fontId="19" numFmtId="0" fillId="14" borderId="0" xfId="8"/>
    <xf applyFill="1" applyBorder="1" fontId="21" numFmtId="0" fillId="14" borderId="0" xfId="11"/>
    <xf applyFill="1" applyBorder="1" fontId="21" numFmtId="0" fillId="14" borderId="37" xfId="11"/>
    <xf applyFont="1" applyFill="1" applyBorder="1" fontId="28" numFmtId="0" fillId="14" borderId="20" xfId="8" quotePrefix="1"/>
    <xf applyFill="1" applyBorder="1" fontId="21" numFmtId="0" fillId="14" borderId="39" xfId="11"/>
    <xf applyFill="1" applyBorder="1" fontId="21" numFmtId="0" fillId="14" borderId="44" xfId="11"/>
    <xf applyNumberFormat="1" applyFont="1" applyFill="1" applyBorder="1" applyAlignment="1" fontId="3" numFmtId="3" fillId="17" borderId="57" xfId="1">
      <alignment horizontal="right"/>
    </xf>
    <xf applyNumberFormat="1" applyFill="1" applyBorder="1" fontId="21" numFmtId="2" fillId="14" borderId="0" xfId="11"/>
    <xf applyNumberFormat="1" applyFont="1" applyAlignment="1" fontId="18" numFmtId="4" fillId="0" borderId="0" xfId="0">
      <alignment horizontal="right"/>
    </xf>
    <xf applyNumberFormat="1" applyFont="1" applyBorder="1" fontId="15" numFmtId="4" fillId="0" borderId="0" xfId="10"/>
    <xf applyNumberFormat="1" applyFont="1" applyFill="1" applyBorder="1" applyAlignment="1" applyProtection="1" fontId="10" numFmtId="3" fillId="4" borderId="3" xfId="0">
      <alignment horizontal="right"/>
    </xf>
    <xf applyNumberFormat="1" applyFont="1" applyFill="1" applyBorder="1" applyAlignment="1" fontId="8" numFmtId="49" fillId="0" borderId="31" xfId="3">
      <alignment horizontal="left"/>
    </xf>
    <xf applyNumberFormat="1" applyFont="1" applyBorder="1" fontId="10" numFmtId="3" fillId="0" borderId="0" xfId="4"/>
    <xf applyNumberFormat="1" applyFont="1" applyBorder="1" fontId="5" numFmtId="49" fillId="0" borderId="0" xfId="4"/>
    <xf applyNumberFormat="1" applyFont="1" applyFill="1" applyBorder="1" applyAlignment="1" applyProtection="1" fontId="10" numFmtId="3" fillId="0" borderId="0" xfId="0"/>
    <xf applyNumberFormat="1" applyFont="1" applyFill="1" applyBorder="1" applyAlignment="1" applyProtection="1" fontId="10" numFmtId="3" fillId="0" borderId="3" xfId="0"/>
    <xf applyNumberFormat="1" applyFont="1" applyFill="1" applyBorder="1" applyAlignment="1" applyProtection="1" fontId="5" numFmtId="3" fillId="0" borderId="42" xfId="0"/>
    <xf applyNumberFormat="1" applyFont="1" applyFill="1" applyBorder="1" applyAlignment="1" applyProtection="1" fontId="5" numFmtId="3" fillId="0" borderId="31" xfId="0"/>
    <xf applyNumberFormat="1" applyFont="1" applyFill="1" applyBorder="1" applyAlignment="1" applyProtection="1" fontId="5" numFmtId="3" fillId="0" borderId="46" xfId="0"/>
    <xf applyNumberFormat="1" applyFont="1" applyFill="1" applyBorder="1" applyAlignment="1" fontId="8" numFmtId="3" fillId="9" borderId="47" xfId="1">
      <alignment horizontal="center"/>
    </xf>
    <xf applyNumberFormat="1" applyFont="1" applyFill="1" applyBorder="1" applyAlignment="1" fontId="8" numFmtId="3" fillId="0" borderId="29" xfId="1"/>
    <xf applyNumberFormat="1" applyFont="1" applyFill="1" applyBorder="1" applyAlignment="1" applyProtection="1" fontId="15" numFmtId="3" fillId="0" borderId="48" xfId="1"/>
    <xf applyNumberFormat="1" applyFont="1" applyFill="1" applyBorder="1" fontId="10" numFmtId="2" fillId="16" borderId="52" xfId="11"/>
    <xf applyNumberFormat="1" applyFill="1" applyBorder="1" fontId="21" numFmtId="2" fillId="16" borderId="52" xfId="11"/>
    <xf applyFont="1" fontId="30" numFmtId="0" fillId="0" borderId="0" xfId="0"/>
    <xf applyNumberFormat="1" applyFont="1" applyFill="1" applyBorder="1" applyAlignment="1" fontId="22" numFmtId="3" fillId="9" borderId="52" xfId="3">
      <alignment horizontal="center"/>
    </xf>
    <xf applyNumberFormat="1" applyFill="1" applyBorder="1" applyAlignment="1" fontId="8" numFmtId="3" fillId="11" borderId="52" xfId="3">
      <alignment horizontal="left"/>
    </xf>
    <xf applyNumberFormat="1" applyFill="1" applyBorder="1" applyAlignment="1" fontId="8" numFmtId="3" fillId="10" borderId="52" xfId="3">
      <alignment horizontal="left"/>
    </xf>
    <xf applyNumberFormat="1" applyFill="1" applyBorder="1" applyAlignment="1" fontId="8" numFmtId="3" fillId="12" borderId="52" xfId="3">
      <alignment horizontal="left"/>
    </xf>
    <xf applyNumberFormat="1" applyFill="1" applyBorder="1" applyAlignment="1" fontId="8" numFmtId="3" fillId="13" borderId="52" xfId="3">
      <alignment horizontal="left"/>
    </xf>
    <xf applyNumberFormat="1" applyFill="1" applyBorder="1" applyAlignment="1" fontId="8" numFmtId="3" fillId="14" borderId="52" xfId="3">
      <alignment horizontal="left"/>
    </xf>
    <xf applyNumberFormat="1" applyFill="1" applyBorder="1" applyAlignment="1" fontId="8" numFmtId="3" fillId="15" borderId="52" xfId="3">
      <alignment horizontal="left"/>
    </xf>
    <xf applyNumberFormat="1" applyFont="1" applyFill="1" applyBorder="1" fontId="23" numFmtId="0" fillId="0" borderId="0" xfId="9"/>
    <xf applyNumberFormat="1" applyBorder="1" fontId="16" numFmtId="0" fillId="0" borderId="37" xfId="10"/>
    <xf applyFill="1" applyBorder="1" applyAlignment="1" fontId="21" numFmtId="0" fillId="10" borderId="52" xfId="11">
      <alignment horizontal="center" wrapText="1"/>
    </xf>
    <xf applyFill="1" applyBorder="1" applyAlignment="1" fontId="21" numFmtId="0" fillId="11" borderId="52" xfId="11">
      <alignment horizontal="center" wrapText="1"/>
    </xf>
    <xf applyNumberFormat="1" applyFill="1" applyBorder="1" applyAlignment="1" fontId="8" numFmtId="3" fillId="11" borderId="52" xfId="3">
      <alignment horizontal="center" wrapText="1"/>
    </xf>
    <xf applyFont="1" applyFill="1" applyBorder="1" applyAlignment="1" fontId="5" numFmtId="0" fillId="12" borderId="52" xfId="11">
      <alignment horizontal="center" wrapText="1"/>
    </xf>
    <xf applyFill="1" applyBorder="1" applyAlignment="1" fontId="21" numFmtId="0" fillId="13" borderId="52" xfId="11">
      <alignment horizontal="center" wrapText="1"/>
    </xf>
    <xf applyFill="1" applyBorder="1" applyAlignment="1" fontId="21" numFmtId="0" fillId="14" borderId="52" xfId="11">
      <alignment horizontal="center" wrapText="1"/>
    </xf>
    <xf applyFill="1" applyBorder="1" applyAlignment="1" fontId="21" numFmtId="0" fillId="15" borderId="52" xfId="11">
      <alignment horizontal="center" wrapText="1"/>
    </xf>
    <xf applyNumberFormat="1" applyFill="1" applyBorder="1" applyAlignment="1" fontId="8" numFmtId="3" fillId="10" borderId="52" xfId="3">
      <alignment horizontal="center" wrapText="1"/>
    </xf>
    <xf applyNumberFormat="1" applyFill="1" applyBorder="1" applyAlignment="1" fontId="8" numFmtId="3" fillId="11" borderId="52" xfId="3">
      <alignment horizontal="center" wrapText="1"/>
    </xf>
    <xf applyFill="1" applyBorder="1" applyAlignment="1" fontId="21" numFmtId="0" fillId="17" borderId="0" xfId="11"/>
    <xf applyFill="1" applyBorder="1" applyAlignment="1" fontId="21" numFmtId="0" fillId="12" borderId="51" xfId="11">
      <alignment horizontal="center" wrapText="1"/>
    </xf>
    <xf applyFill="1" applyBorder="1" applyAlignment="1" fontId="21" numFmtId="0" fillId="13" borderId="51" xfId="11">
      <alignment horizontal="center" wrapText="1"/>
    </xf>
    <xf applyFill="1" applyBorder="1" applyAlignment="1" fontId="21" numFmtId="0" fillId="14" borderId="51" xfId="11">
      <alignment horizontal="center" wrapText="1"/>
    </xf>
    <xf applyFill="1" applyBorder="1" applyAlignment="1" fontId="21" numFmtId="0" fillId="15" borderId="51" xfId="11">
      <alignment horizontal="center" wrapText="1"/>
    </xf>
    <xf applyFill="1" applyBorder="1" applyAlignment="1" fontId="21" numFmtId="0" fillId="17" borderId="0" xfId="11"/>
    <xf applyFill="1" applyBorder="1" applyAlignment="1" fontId="0" numFmtId="0" fillId="17" borderId="0" xfId="0"/>
    <xf applyFill="1" applyBorder="1" fontId="21" numFmtId="0" fillId="17" borderId="0" xfId="11"/>
    <xf applyFill="1" applyBorder="1" fontId="21" numFmtId="0" fillId="17" borderId="39" xfId="11"/>
    <xf applyFill="1" applyBorder="1" fontId="21" numFmtId="0" fillId="17" borderId="37" xfId="11"/>
    <xf applyFill="1" applyBorder="1" fontId="21" numFmtId="0" fillId="17" borderId="44" xfId="11"/>
    <xf applyFill="1" applyBorder="1" fontId="0" numFmtId="0" fillId="17" borderId="0" xfId="0"/>
    <xf applyNumberFormat="1" applyFont="1" applyFill="1" applyBorder="1" applyAlignment="1" fontId="4" numFmtId="3" fillId="17" borderId="0" xfId="10">
      <alignment horizontal="left"/>
    </xf>
    <xf applyNumberFormat="1" applyFont="1" applyFill="1" applyBorder="1" applyAlignment="1" fontId="6" numFmtId="3" fillId="17" borderId="0" xfId="1">
      <alignment horizontal="left"/>
    </xf>
    <xf applyFont="1" applyFill="1" applyBorder="1" fontId="5" numFmtId="0" fillId="17" borderId="0" xfId="11"/>
    <xf applyNumberFormat="1" applyFont="1" applyFill="1" applyBorder="1" applyAlignment="1" fontId="4" numFmtId="3" fillId="17" borderId="0" xfId="1">
      <alignment horizontal="left"/>
    </xf>
    <xf applyNumberFormat="1" applyFont="1" applyFill="1" applyBorder="1" applyAlignment="1" fontId="3" numFmtId="3" fillId="17" borderId="0" xfId="10">
      <alignment horizontal="right"/>
    </xf>
    <xf applyFill="1" applyBorder="1" fontId="16" numFmtId="0" fillId="17" borderId="0" xfId="10"/>
    <xf applyNumberFormat="1" applyFont="1" applyFill="1" applyBorder="1" applyAlignment="1" fontId="3" numFmtId="3" fillId="17" borderId="0" xfId="1">
      <alignment horizontal="right"/>
    </xf>
    <xf applyNumberFormat="1" applyFont="1" applyFill="1" applyBorder="1" applyAlignment="1" fontId="3" numFmtId="3" fillId="17" borderId="39" xfId="1">
      <alignment horizontal="right"/>
    </xf>
    <xf applyNumberFormat="1" applyFont="1" applyFill="1" applyBorder="1" applyAlignment="1" fontId="4" numFmtId="3" fillId="17" borderId="39" xfId="10">
      <alignment horizontal="left"/>
    </xf>
    <xf applyNumberFormat="1" applyFont="1" applyFill="1" applyBorder="1" applyAlignment="1" fontId="4" numFmtId="3" fillId="17" borderId="39" xfId="1">
      <alignment horizontal="left"/>
    </xf>
    <xf applyFill="1" applyBorder="1" fontId="16" numFmtId="0" fillId="17" borderId="39" xfId="10"/>
    <xf applyFill="1" applyBorder="1" fontId="0" numFmtId="0" fillId="17" borderId="39" xfId="0"/>
    <xf applyFill="1" applyBorder="1" fontId="0" numFmtId="0" fillId="17" borderId="37" xfId="0"/>
    <xf applyFill="1" applyBorder="1" fontId="0" numFmtId="0" fillId="17" borderId="44" xfId="0"/>
    <xf applyFill="1" applyBorder="1" fontId="0" numFmtId="0" fillId="17" borderId="59" xfId="0"/>
    <xf applyFill="1" applyBorder="1" fontId="0" numFmtId="0" fillId="17" borderId="60" xfId="0"/>
    <xf applyNumberFormat="1" applyFont="1" applyFill="1" applyBorder="1" applyAlignment="1" fontId="3" numFmtId="3" fillId="17" borderId="20" xfId="1">
      <alignment horizontal="right"/>
    </xf>
    <xf applyFont="1" fontId="5" numFmtId="0" fillId="0" borderId="0" xfId="11"/>
    <xf applyNumberFormat="1" applyFont="1" applyBorder="1" fontId="15" numFmtId="177" fillId="0" borderId="52" xfId="0"/>
    <xf applyNumberFormat="1" applyFont="1" applyBorder="1" fontId="15" numFmtId="177" fillId="0" borderId="56" xfId="0"/>
    <xf applyFont="1" applyFill="1" applyBorder="1" fontId="15" numFmtId="0" fillId="17" borderId="57" xfId="10" quotePrefix="1"/>
    <xf applyFont="1" applyFill="1" applyBorder="1" fontId="15" numFmtId="0" fillId="17" borderId="57" xfId="10" quotePrefix="1"/>
    <xf applyFill="1" applyBorder="1" fontId="16" numFmtId="0" fillId="17" borderId="37" xfId="10"/>
    <xf applyFont="1" applyBorder="1" fontId="23" numFmtId="0" fillId="7" borderId="57" xfId="9" quotePrefix="1"/>
    <xf applyBorder="1" fontId="20" numFmtId="0" fillId="7" borderId="37" xfId="9"/>
    <xf applyNumberFormat="1" applyFont="1" applyFill="1" applyBorder="1" applyAlignment="1" fontId="3" numFmtId="1" fillId="17" borderId="58" xfId="10">
      <alignment horizontal="right"/>
    </xf>
    <xf applyNumberFormat="1" applyFont="1" applyFill="1" applyBorder="1" applyAlignment="1" fontId="4" numFmtId="3" fillId="17" borderId="59" xfId="10">
      <alignment horizontal="left"/>
    </xf>
    <xf applyNumberFormat="1" applyFont="1" applyFill="1" applyBorder="1" applyAlignment="1" fontId="6" numFmtId="3" fillId="17" borderId="59" xfId="1">
      <alignment horizontal="left"/>
    </xf>
    <xf applyNumberFormat="1" applyFont="1" applyFill="1" applyBorder="1" applyAlignment="1" fontId="4" numFmtId="4" fillId="17" borderId="60" xfId="1"/>
    <xf applyNumberFormat="1" applyFont="1" applyFill="1" applyBorder="1" applyAlignment="1" fontId="3" numFmtId="1" fillId="17" borderId="57" xfId="1">
      <alignment horizontal="right"/>
    </xf>
    <xf applyNumberFormat="1" applyFont="1" applyFill="1" applyBorder="1" applyAlignment="1" fontId="3" numFmtId="1" fillId="17" borderId="57" xfId="10">
      <alignment horizontal="right"/>
    </xf>
    <xf applyNumberFormat="1" applyFont="1" applyFill="1" applyBorder="1" applyAlignment="1" fontId="3" numFmtId="1" fillId="17" borderId="57" xfId="10">
      <alignment horizontal="right"/>
    </xf>
    <xf applyFill="1" applyBorder="1" fontId="21" numFmtId="0" fillId="17" borderId="57" xfId="11"/>
    <xf applyNumberFormat="1" applyFont="1" applyFill="1" applyBorder="1" applyAlignment="1" fontId="3" numFmtId="1" fillId="17" borderId="57" xfId="1">
      <alignment horizontal="right"/>
    </xf>
    <xf applyNumberFormat="1" applyFont="1" applyFill="1" applyBorder="1" applyAlignment="1" fontId="3" numFmtId="3" fillId="17" borderId="57" xfId="1">
      <alignment horizontal="right"/>
    </xf>
    <xf applyNumberFormat="1" applyFont="1" applyFill="1" applyBorder="1" fontId="4" numFmtId="4" fillId="17" borderId="0" xfId="1"/>
    <xf applyNumberFormat="1" applyFont="1" applyFill="1" applyBorder="1" fontId="15" numFmtId="11" fillId="0" borderId="52" xfId="11"/>
    <xf applyNumberFormat="1" applyFont="1" applyFill="1" applyBorder="1" applyAlignment="1" fontId="22" numFmtId="3" fillId="9" borderId="52" xfId="3">
      <alignment horizontal="center"/>
    </xf>
    <xf applyNumberFormat="1" applyFill="1" applyBorder="1" applyAlignment="1" fontId="8" numFmtId="3" fillId="10" borderId="52" xfId="3">
      <alignment horizontal="left"/>
    </xf>
    <xf applyNumberFormat="1" applyFill="1" applyBorder="1" applyAlignment="1" fontId="8" numFmtId="3" fillId="11" borderId="52" xfId="3">
      <alignment horizontal="left"/>
    </xf>
    <xf applyNumberFormat="1" applyFill="1" applyBorder="1" applyAlignment="1" fontId="8" numFmtId="3" fillId="12" borderId="52" xfId="3">
      <alignment horizontal="left"/>
    </xf>
    <xf applyNumberFormat="1" applyFill="1" applyBorder="1" applyAlignment="1" fontId="8" numFmtId="3" fillId="13" borderId="52" xfId="3">
      <alignment horizontal="left"/>
    </xf>
    <xf applyNumberFormat="1" applyFill="1" applyBorder="1" applyAlignment="1" fontId="8" numFmtId="3" fillId="14" borderId="52" xfId="3">
      <alignment horizontal="left"/>
    </xf>
    <xf applyNumberFormat="1" applyFill="1" applyBorder="1" applyAlignment="1" fontId="8" numFmtId="3" fillId="15" borderId="52" xfId="3">
      <alignment horizontal="left"/>
    </xf>
    <xf applyFont="1" applyFill="1" applyBorder="1" fontId="28" numFmtId="0" fillId="14" borderId="58" xfId="8" quotePrefix="1"/>
    <xf applyFill="1" applyBorder="1" fontId="21" numFmtId="0" fillId="14" borderId="59" xfId="11"/>
    <xf applyFill="1" applyBorder="1" fontId="21" numFmtId="0" fillId="14" borderId="60" xfId="11"/>
    <xf applyFont="1" applyFill="1" applyBorder="1" fontId="28" numFmtId="0" fillId="14" borderId="57" xfId="8" quotePrefix="1"/>
    <xf applyNumberFormat="1" applyFont="1" applyFill="1" applyBorder="1" applyAlignment="1" fontId="8" numFmtId="3" fillId="0" borderId="57" xfId="3">
      <alignment horizontal="left"/>
    </xf>
    <xf applyNumberFormat="1" applyFont="1" applyFill="1" applyBorder="1" applyAlignment="1" fontId="8" numFmtId="3" fillId="9" borderId="58" xfId="3">
      <alignment horizontal="center"/>
    </xf>
    <xf applyNumberFormat="1" applyFont="1" applyFill="1" applyBorder="1" applyAlignment="1" fontId="8" numFmtId="3" fillId="9" borderId="59" xfId="3">
      <alignment horizontal="center"/>
    </xf>
    <xf applyNumberFormat="1" applyFont="1" applyFill="1" applyBorder="1" applyAlignment="1" fontId="8" numFmtId="3" fillId="9" borderId="60" xfId="3">
      <alignment horizontal="center"/>
    </xf>
    <xf applyBorder="1" fontId="16" numFmtId="0" fillId="0" borderId="0" xfId="10"/>
    <xf applyFont="1" applyFill="1" applyBorder="1" fontId="24" numFmtId="0" fillId="17" borderId="58" xfId="8"/>
    <xf applyFill="1" applyBorder="1" fontId="19" numFmtId="0" fillId="17" borderId="59" xfId="8"/>
    <xf applyFill="1" applyBorder="1" fontId="16" numFmtId="0" fillId="17" borderId="59" xfId="10"/>
    <xf applyFill="1" applyBorder="1" fontId="16" numFmtId="0" fillId="17" borderId="60" xfId="10"/>
    <xf applyFill="1" fontId="25" numFmtId="0" fillId="0" borderId="45" xfId="12"/>
    <xf applyNumberFormat="1" applyFont="1" applyFill="1" applyBorder="1" applyAlignment="1" fontId="3" numFmtId="3" fillId="0" borderId="0" xfId="1">
      <alignment horizontal="right"/>
    </xf>
    <xf applyNumberFormat="1" applyFont="1" applyFill="1" applyBorder="1" applyAlignment="1" fontId="4" numFmtId="3" fillId="0" borderId="0" xfId="1">
      <alignment horizontal="left"/>
    </xf>
    <xf applyFill="1" applyBorder="1" fontId="16" numFmtId="0" fillId="0" borderId="0" xfId="10"/>
    <xf applyNumberFormat="1" applyFont="1" applyFill="1" applyBorder="1" applyAlignment="1" fontId="3" numFmtId="3" fillId="0" borderId="57" xfId="1">
      <alignment horizontal="right"/>
    </xf>
    <xf applyNumberFormat="1" applyFont="1" applyFill="1" applyBorder="1" applyAlignment="1" fontId="4" numFmtId="3" fillId="0" borderId="0" xfId="10">
      <alignment horizontal="left"/>
    </xf>
    <xf applyNumberFormat="1" applyFont="1" applyFill="1" fontId="31" numFmtId="1" fillId="0" borderId="45" xfId="12"/>
    <xf applyFill="1" fontId="20" numFmtId="0" fillId="18" borderId="38" xfId="9"/>
    <xf applyNumberFormat="1" applyFont="1" applyFill="1" applyBorder="1" applyAlignment="1" applyProtection="1" fontId="5" numFmtId="3" fillId="9" borderId="3" xfId="0">
      <alignment horizontal="center"/>
    </xf>
    <xf applyNumberFormat="1" applyFont="1" applyFill="1" applyBorder="1" applyAlignment="1" applyProtection="1" fontId="5" numFmtId="3" fillId="9" borderId="9" xfId="0">
      <alignment horizontal="center"/>
    </xf>
    <xf applyNumberFormat="1" applyFont="1" applyFill="1" applyBorder="1" applyAlignment="1" applyProtection="1" fontId="10" numFmtId="3" fillId="4" borderId="58" xfId="0">
      <alignment horizontal="right"/>
    </xf>
    <xf applyNumberFormat="1" applyFont="1" applyFill="1" applyBorder="1" applyAlignment="1" applyProtection="1" fontId="10" numFmtId="3" fillId="4" borderId="3" xfId="0">
      <alignment horizontal="right"/>
    </xf>
    <xf applyNumberFormat="1" applyFont="1" applyFill="1" applyBorder="1" applyAlignment="1" fontId="1" numFmtId="3" fillId="17" borderId="58" xfId="0">
      <alignment horizontal="center"/>
    </xf>
    <xf applyFill="1" applyBorder="1" applyAlignment="1" fontId="0" numFmtId="0" fillId="17" borderId="59" xfId="0">
      <alignment horizontal="center"/>
    </xf>
    <xf applyFill="1" applyBorder="1" applyAlignment="1" fontId="0" numFmtId="0" fillId="17" borderId="60" xfId="0">
      <alignment horizontal="center"/>
    </xf>
    <xf applyNumberFormat="1" applyFont="1" applyFill="1" applyBorder="1" applyAlignment="1" fontId="2" numFmtId="3" fillId="17" borderId="20" xfId="0">
      <alignment horizontal="center"/>
    </xf>
    <xf applyFill="1" applyBorder="1" applyAlignment="1" fontId="0" numFmtId="0" fillId="17" borderId="39" xfId="0">
      <alignment horizontal="center"/>
    </xf>
    <xf applyFill="1" applyBorder="1" applyAlignment="1" fontId="0" numFmtId="0" fillId="17" borderId="44" xfId="0">
      <alignment horizontal="center"/>
    </xf>
    <xf applyNumberFormat="1" applyFont="1" applyFill="1" applyBorder="1" applyAlignment="1" fontId="1" numFmtId="3" fillId="17" borderId="58" xfId="10">
      <alignment horizontal="center"/>
    </xf>
    <xf applyFill="1" applyBorder="1" applyAlignment="1" fontId="21" numFmtId="0" fillId="17" borderId="59" xfId="11">
      <alignment horizontal="center"/>
    </xf>
    <xf applyFill="1" applyBorder="1" applyAlignment="1" fontId="21" numFmtId="0" fillId="17" borderId="60" xfId="11">
      <alignment horizontal="center"/>
    </xf>
    <xf applyNumberFormat="1" applyFont="1" applyFill="1" applyBorder="1" applyAlignment="1" fontId="2" numFmtId="3" fillId="17" borderId="20" xfId="10">
      <alignment horizontal="center"/>
    </xf>
    <xf applyFill="1" applyBorder="1" applyAlignment="1" fontId="21" numFmtId="0" fillId="17" borderId="39" xfId="11">
      <alignment horizontal="center"/>
    </xf>
    <xf applyFill="1" applyBorder="1" applyAlignment="1" fontId="21" numFmtId="0" fillId="17" borderId="44" xfId="11">
      <alignment horizontal="center"/>
    </xf>
    <xf applyNumberFormat="1" applyFont="1" applyFill="1" applyBorder="1" applyAlignment="1" fontId="2" numFmtId="3" fillId="17" borderId="0" xfId="10">
      <alignment horizontal="center"/>
    </xf>
    <xf applyNumberFormat="1" applyFont="1" applyFill="1" applyBorder="1" applyAlignment="1" fontId="1" numFmtId="3" fillId="17" borderId="0" xfId="10">
      <alignment horizontal="center"/>
    </xf>
    <xf applyNumberFormat="1" applyFont="1" applyFill="1" applyBorder="1" applyAlignment="1" fontId="1" numFmtId="3" fillId="17" borderId="58" xfId="10">
      <alignment horizontal="center"/>
    </xf>
    <xf applyNumberFormat="1" applyFont="1" applyFill="1" applyBorder="1" applyAlignment="1" fontId="1" numFmtId="3" fillId="17" borderId="59" xfId="10">
      <alignment horizontal="center"/>
    </xf>
    <xf applyNumberFormat="1" applyFont="1" applyFill="1" applyBorder="1" applyAlignment="1" fontId="2" numFmtId="3" fillId="17" borderId="0" xfId="10">
      <alignment horizontal="center"/>
    </xf>
    <xf applyFont="1" applyBorder="1" applyAlignment="1" fontId="30" numFmtId="0" fillId="0" borderId="52" xfId="0">
      <alignment horizontal="center" wrapText="1"/>
    </xf>
  </cellXfs>
  <cellStyles count="13">
    <cellStyle name="20% - Accent5" xfId="7" builtinId="46"/>
    <cellStyle name="60% - Accent1" xfId="5" builtinId="32"/>
    <cellStyle name="Accent5" xfId="6" builtinId="45"/>
    <cellStyle name="Comma 2" xfId="1"/>
    <cellStyle name="Heading 1" xfId="12" builtinId="16"/>
    <cellStyle name="Heading 4" xfId="8" builtinId="19"/>
    <cellStyle name="Input" xfId="9" builtinId="20"/>
    <cellStyle name="Normal" xfId="0" builtinId="0"/>
    <cellStyle name="Normal 2" xfId="4"/>
    <cellStyle name="Normal 2 3" xfId="10"/>
    <cellStyle name="Normal 3" xfId="11"/>
    <cellStyle name="Normal_KbProject Proj Cost Sumry" xfId="3"/>
    <cellStyle name="Percent 2" xfId="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78" formatCode="0.00_ "/>
    </dxf>
    <dxf>
      <numFmt numFmtId="178" formatCode="0.00_ "/>
    </dxf>
  </dxfs>
  <tableStyles count="0" defaultTableStyle="TableStyleMedium2" defaultPivotStyle="PivotStyleLight16"/>
  <colors>
    <mruColors xmlns="http://schemas.openxmlformats.org/spreadsheetml/2006/main">
      <color rgb="FFF4B184"/>
    </mruColors>
  </colors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6" Type="http://schemas.openxmlformats.org/officeDocument/2006/relationships/sharedStrings" Target="sharedStrings.xml" /><Relationship Id="flId8" Type="http://schemas.openxmlformats.org/officeDocument/2006/relationships/theme" Target="theme/theme1.xml" /><Relationship Id="flId7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Relationship Id="flId3" Type="http://schemas.openxmlformats.org/officeDocument/2006/relationships/worksheet" Target="worksheets/sheet3.xml" /><Relationship Id="flId4" Type="http://schemas.openxmlformats.org/officeDocument/2006/relationships/worksheet" Target="worksheets/sheet4.xml" /><Relationship Id="flId5" Type="http://schemas.openxmlformats.org/officeDocument/2006/relationships/worksheet" Target="worksheets/sheet5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_rels/drawing2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_rels/drawing3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_rels/drawing4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28575</xdr:colOff>
      <xdr:row>0</xdr:row>
      <xdr:rowOff>28575</xdr:rowOff>
    </xdr:from>
    <xdr:to>
      <xdr:col>0</xdr:col>
      <xdr:colOff>666750</xdr:colOff>
      <xdr:row>1</xdr:row>
      <xdr:rowOff>200025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2CC9B80A-4D75-4C1C-B357-58A1300392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28575</xdr:colOff>
      <xdr:row>0</xdr:row>
      <xdr:rowOff>28575</xdr:rowOff>
    </xdr:from>
    <xdr:to>
      <xdr:col>0</xdr:col>
      <xdr:colOff>666750</xdr:colOff>
      <xdr:row>1</xdr:row>
      <xdr:rowOff>200025</xdr:rowOff>
    </xdr:to>
    <xdr:pic>
      <xdr:nvPicPr>
        <xdr:cNvPr id="2059" name="&lt;#Logo&gt;">
          <a:extLst>
            <a:ext xmlns:a="http://schemas.openxmlformats.org/drawingml/2006/main" uri="{FF2B5EF4-FFF2-40B4-BE49-F238E27FC236}">
              <a16:creationId xmlns:a16="http://schemas.microsoft.com/office/drawing/2014/main" id="{CF2B483A-EEB9-415C-87F4-8EFC753248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276225</xdr:rowOff>
    </xdr:to>
    <xdr:pic>
      <xdr:nvPicPr>
        <xdr:cNvPr id="3073" name="&lt;#Logo&gt;">
          <a:extLst>
            <a:ext xmlns:a="http://schemas.openxmlformats.org/drawingml/2006/main" uri="{FF2B5EF4-FFF2-40B4-BE49-F238E27FC236}">
              <a16:creationId xmlns:a16="http://schemas.microsoft.com/office/drawing/2014/main" id="{F7D7BB4C-7D8A-4B55-A352-2F39DB7E14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285750</xdr:rowOff>
    </xdr:to>
    <xdr:pic>
      <xdr:nvPicPr>
        <xdr:cNvPr id="4097" name="&lt;#Logo&gt;">
          <a:extLst>
            <a:ext xmlns:a="http://schemas.openxmlformats.org/drawingml/2006/main" uri="{FF2B5EF4-FFF2-40B4-BE49-F238E27FC236}">
              <a16:creationId xmlns:a16="http://schemas.microsoft.com/office/drawing/2014/main" id="{F9F24B62-A2A3-43BA-A839-9DD2BBE2F7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Relationship Id="flId2" Type="http://schemas.openxmlformats.org/officeDocument/2006/relationships/drawing" Target="../drawings/drawing2.xml" /><Relationship Id="flId3" Type="http://schemas.openxmlformats.org/officeDocument/2006/relationships/vmlDrawing" Target="../drawings/vmlDrawing1.vml" /><Relationship Id="flId4" Type="http://schemas.openxmlformats.org/officeDocument/2006/relationships/comments" Target="../comments2.xml" /></Relationships>
</file>

<file path=xl/worksheets/_rels/sheet3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3.bin" /><Relationship Id="flId2" Type="http://schemas.openxmlformats.org/officeDocument/2006/relationships/drawing" Target="../drawings/drawing3.xml" /></Relationships>
</file>

<file path=xl/worksheets/_rels/sheet4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4.bin" /><Relationship Id="flId2" Type="http://schemas.openxmlformats.org/officeDocument/2006/relationships/drawing" Target="../drawings/drawing4.xml" /></Relationships>
</file>

<file path=xl/worksheets/_rels/sheet5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5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1"/>
  <dimension ref="A1:L52"/>
  <sheetViews>
    <sheetView tabSelected="1" topLeftCell="A1" workbookViewId="0">
      <selection activeCell="A1" sqref="A1:L1"/>
    </sheetView>
  </sheetViews>
  <sheetFormatPr defaultColWidth="9" defaultRowHeight="12.75" customHeight="1"/>
  <cols>
    <col min="1" max="1" width="12" style="77" customWidth="1"/>
    <col min="2" max="2" width="30.75" customWidth="1"/>
    <col min="3" max="3" width="15.375" customWidth="1"/>
    <col min="4" max="4" width="11.625" customWidth="1"/>
    <col min="5" max="5" width="14" customWidth="1"/>
    <col min="6" max="6" width="15.25" customWidth="1"/>
    <col min="7" max="7" width="14.625" customWidth="1"/>
    <col min="8" max="8" width="12.5" customWidth="1"/>
    <col min="9" max="9" width="16.125" customWidth="1"/>
    <col min="10" max="10" width="17.375" customWidth="1"/>
    <col min="12" max="12" width="7.875" customWidth="1"/>
  </cols>
  <sheetData>
    <row r="1" ht="37.5" customHeight="1">
      <c r="A1" s="314" t="s">
        <v>54</v>
      </c>
      <c r="B1" s="315"/>
      <c r="C1" s="315"/>
      <c r="D1" s="315"/>
      <c r="E1" s="315"/>
      <c r="F1" s="315"/>
      <c r="G1" s="315"/>
      <c r="H1" s="315"/>
      <c r="I1" s="315"/>
      <c r="J1" s="315"/>
      <c r="K1" s="315"/>
      <c r="L1" s="316"/>
    </row>
    <row r="2" ht="21" customHeight="1">
      <c r="A2" s="317" t="s">
        <v>55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9"/>
    </row>
    <row r="3" ht="14.25">
      <c r="A3" s="157" t="s">
        <v>0</v>
      </c>
      <c r="B3" s="158" t="s">
        <v>120</v>
      </c>
      <c r="C3" s="158"/>
      <c r="D3" s="158"/>
      <c r="E3" s="159"/>
      <c r="F3" s="160"/>
      <c r="G3" s="161"/>
      <c r="H3" s="161"/>
      <c r="I3" s="160"/>
      <c r="J3" s="160"/>
      <c r="K3" s="162"/>
      <c r="L3" s="163"/>
    </row>
    <row r="4" ht="14.25">
      <c r="A4" s="164" t="s">
        <v>1</v>
      </c>
      <c r="B4" s="140" t="s">
        <v>121</v>
      </c>
      <c r="C4" s="140"/>
      <c r="D4" s="140"/>
      <c r="E4" s="137"/>
      <c r="F4" s="166" t="s">
        <v>2</v>
      </c>
      <c r="G4" s="140" t="s">
        <v>124</v>
      </c>
      <c r="H4" s="140"/>
      <c r="J4" s="137"/>
      <c r="K4" s="167"/>
      <c r="L4" s="168"/>
    </row>
    <row r="5" ht="14.25">
      <c r="A5" s="169" t="s">
        <v>3</v>
      </c>
      <c r="B5" s="170" t="s">
        <v>122</v>
      </c>
      <c r="C5" s="170"/>
      <c r="D5" s="170"/>
      <c r="E5" s="137"/>
      <c r="F5" s="145" t="s">
        <v>4</v>
      </c>
      <c r="G5" s="140" t="s">
        <v>125</v>
      </c>
      <c r="H5" s="140"/>
      <c r="I5" s="137"/>
      <c r="J5" s="145" t="s">
        <v>5</v>
      </c>
      <c r="K5" s="140" t="s">
        <v>127</v>
      </c>
      <c r="L5" s="168"/>
    </row>
    <row r="6" ht="14.25">
      <c r="A6" s="169" t="s">
        <v>6</v>
      </c>
      <c r="B6" s="170" t="s">
        <v>123</v>
      </c>
      <c r="C6" s="170"/>
      <c r="D6" s="170"/>
      <c r="E6" s="137"/>
      <c r="F6" s="145" t="s">
        <v>7</v>
      </c>
      <c r="G6" s="170" t="s">
        <v>126</v>
      </c>
      <c r="H6" s="170"/>
      <c r="I6" s="171"/>
      <c r="J6" s="145" t="s">
        <v>8</v>
      </c>
      <c r="K6" s="170" t="s">
        <v>128</v>
      </c>
      <c r="L6" s="172"/>
    </row>
    <row r="7" ht="14.25">
      <c r="A7" s="132" t="s">
        <v>9</v>
      </c>
      <c r="B7" s="37" t="s">
        <v>10</v>
      </c>
      <c r="C7" s="37" t="s">
        <v>164</v>
      </c>
      <c r="D7" s="37" t="s">
        <v>165</v>
      </c>
      <c r="E7" s="38" t="s">
        <v>11</v>
      </c>
      <c r="F7" s="38" t="s">
        <v>12</v>
      </c>
      <c r="G7" s="118" t="s">
        <v>13</v>
      </c>
      <c r="H7" s="118" t="s">
        <v>166</v>
      </c>
      <c r="I7" s="38" t="s">
        <v>14</v>
      </c>
      <c r="J7" s="38" t="s">
        <v>15</v>
      </c>
      <c r="K7" s="310" t="s">
        <v>16</v>
      </c>
      <c r="L7" s="311"/>
    </row>
    <row r="8" ht="14.25">
      <c r="A8" s="119" t="s">
        <v>217</v>
      </c>
      <c r="B8" s="126"/>
      <c r="C8" s="126"/>
      <c r="D8" s="126"/>
      <c r="E8" s="113"/>
      <c r="F8" s="113"/>
      <c r="G8" s="113"/>
      <c r="H8" s="113"/>
      <c r="I8" s="113"/>
      <c r="J8" s="113"/>
      <c r="K8" s="104">
        <f>IFERROR($J8/$J$10, 0)</f>
        <v>0</v>
      </c>
      <c r="L8" s="116" t="str">
        <f>"of TDC"</f>
        <v>of TDC</v>
      </c>
    </row>
    <row r="9" ht="14.25">
      <c r="A9" s="120"/>
      <c r="B9" s="127"/>
      <c r="C9" s="127"/>
      <c r="D9" s="127"/>
      <c r="E9" s="114"/>
      <c r="F9" s="114"/>
      <c r="G9" s="114"/>
      <c r="H9" s="114"/>
      <c r="I9" s="114"/>
      <c r="J9" s="114"/>
      <c r="K9" s="4"/>
      <c r="L9" s="117"/>
    </row>
    <row r="10" ht="14.25">
      <c r="A10" s="115"/>
      <c r="B10" s="16" t="s">
        <v>18</v>
      </c>
      <c r="C10" s="16"/>
      <c r="D10" s="16"/>
      <c r="E10" s="17">
        <f>SUM(E8:E9)</f>
        <v>0</v>
      </c>
      <c r="F10" s="18"/>
      <c r="G10" s="17">
        <f>SUM(G8:G9)</f>
        <v>0</v>
      </c>
      <c r="H10" s="17"/>
      <c r="I10" s="17">
        <f>SUM(I8:I9)</f>
        <v>0</v>
      </c>
      <c r="J10" s="108">
        <f>SUM(J8:J9)</f>
        <v>0</v>
      </c>
      <c r="K10" s="19">
        <f>IFERROR(($G$10+$I$10)/$J$10, 0)</f>
        <v>0</v>
      </c>
      <c r="L10" s="109" t="s">
        <v>17</v>
      </c>
    </row>
    <row r="11" ht="14.25">
      <c r="A11" s="6"/>
      <c r="B11" s="7"/>
      <c r="C11" s="7"/>
      <c r="D11" s="7"/>
      <c r="E11" s="8" t="s">
        <v>19</v>
      </c>
      <c r="F11" s="9"/>
      <c r="G11" s="8" t="s">
        <v>20</v>
      </c>
      <c r="H11" s="8"/>
      <c r="I11" s="8" t="s">
        <v>21</v>
      </c>
      <c r="J11" s="8" t="s">
        <v>22</v>
      </c>
      <c r="K11" s="10"/>
      <c r="L11" s="11"/>
    </row>
    <row r="12" ht="14.25">
      <c r="A12" s="12" t="s">
        <v>23</v>
      </c>
      <c r="B12" s="13" t="s">
        <v>24</v>
      </c>
      <c r="C12" s="37"/>
      <c r="D12" s="37"/>
      <c r="E12" s="1" t="s">
        <v>11</v>
      </c>
      <c r="F12" s="2" t="s">
        <v>25</v>
      </c>
      <c r="G12" s="1"/>
      <c r="H12" s="209"/>
      <c r="I12" s="1"/>
      <c r="J12" s="1" t="s">
        <v>26</v>
      </c>
      <c r="K12" s="310" t="s">
        <v>16</v>
      </c>
      <c r="L12" s="311"/>
    </row>
    <row r="13" ht="14.25">
      <c r="A13" s="121" t="s">
        <v>209</v>
      </c>
      <c r="B13" s="182" t="s">
        <v>91</v>
      </c>
      <c r="C13" s="182"/>
      <c r="D13" s="182"/>
      <c r="E13" s="113"/>
      <c r="F13" s="113"/>
      <c r="G13" s="113"/>
      <c r="H13" s="113"/>
      <c r="I13" s="113"/>
      <c r="J13" s="113"/>
      <c r="K13" s="14"/>
      <c r="L13" s="5"/>
    </row>
    <row r="14" ht="14.25">
      <c r="A14" s="121" t="s">
        <v>220</v>
      </c>
      <c r="B14" s="127" t="s">
        <v>94</v>
      </c>
      <c r="C14" s="127"/>
      <c r="D14" s="127"/>
      <c r="E14" s="113" t="s">
        <v>140</v>
      </c>
      <c r="F14" s="113" t="e">
        <f>IF(E14&gt;0,J14/E14,"")</f>
        <v>#VALUE!</v>
      </c>
      <c r="G14" s="113"/>
      <c r="H14" s="113"/>
      <c r="I14" s="113"/>
      <c r="J14" s="113" t="s">
        <v>95</v>
      </c>
      <c r="K14" s="14">
        <f>IFERROR($J14/$J$19, 0)</f>
        <v>0</v>
      </c>
      <c r="L14" s="5" t="str">
        <f>"of IFC"</f>
        <v>of IFC</v>
      </c>
    </row>
    <row r="15" ht="14.25">
      <c r="A15" s="183"/>
      <c r="B15" s="126"/>
      <c r="C15" s="126"/>
      <c r="D15" s="126"/>
      <c r="E15" s="113"/>
      <c r="F15" s="113"/>
      <c r="G15" s="113"/>
      <c r="H15" s="113"/>
      <c r="I15" s="113"/>
      <c r="J15" s="113"/>
      <c r="K15" s="184"/>
      <c r="L15" s="185"/>
    </row>
    <row r="16" ht="14.25">
      <c r="A16" s="183" t="s">
        <v>93</v>
      </c>
      <c r="B16" s="182" t="s">
        <v>92</v>
      </c>
      <c r="C16" s="182"/>
      <c r="D16" s="182"/>
      <c r="E16" s="113"/>
      <c r="F16" s="113"/>
      <c r="G16" s="113"/>
      <c r="H16" s="113"/>
      <c r="I16" s="113"/>
      <c r="J16" s="113"/>
      <c r="K16" s="184"/>
      <c r="L16" s="185"/>
    </row>
    <row r="17" ht="14.25">
      <c r="A17" s="183" t="s">
        <v>221</v>
      </c>
      <c r="B17" s="127" t="s">
        <v>96</v>
      </c>
      <c r="C17" s="127"/>
      <c r="D17" s="127"/>
      <c r="E17" s="113" t="s">
        <v>141</v>
      </c>
      <c r="F17" s="113" t="e">
        <f>IF(E17&gt;0,J17/E17,"")</f>
        <v>#VALUE!</v>
      </c>
      <c r="G17" s="113"/>
      <c r="H17" s="113"/>
      <c r="I17" s="113"/>
      <c r="J17" s="113" t="s">
        <v>97</v>
      </c>
      <c r="K17" s="14">
        <f>IFERROR($J17/$J$19, 0)</f>
        <v>0</v>
      </c>
      <c r="L17" s="5" t="str">
        <f>"of IFC"</f>
        <v>of IFC</v>
      </c>
    </row>
    <row r="18" ht="14.25">
      <c r="A18" s="122"/>
      <c r="B18" s="128"/>
      <c r="C18" s="201"/>
      <c r="D18" s="201"/>
      <c r="E18" s="3"/>
      <c r="F18" s="3"/>
      <c r="G18" s="3"/>
      <c r="H18" s="210"/>
      <c r="I18" s="3"/>
      <c r="J18" s="3"/>
      <c r="K18" s="14"/>
      <c r="L18" s="5"/>
    </row>
    <row r="19" ht="14.25">
      <c r="A19" s="15"/>
      <c r="B19" s="16" t="s">
        <v>27</v>
      </c>
      <c r="C19" s="16"/>
      <c r="D19" s="16"/>
      <c r="E19" s="17">
        <f>SUM(E13:E18)</f>
        <v>0</v>
      </c>
      <c r="F19" s="18"/>
      <c r="G19" s="17"/>
      <c r="H19" s="17"/>
      <c r="I19" s="17"/>
      <c r="J19" s="17">
        <f>SUM(J13:J18)</f>
        <v>0</v>
      </c>
      <c r="K19" s="19">
        <f>IFERROR($J$19/$G$10,0)</f>
        <v>0</v>
      </c>
      <c r="L19" s="20" t="s">
        <v>28</v>
      </c>
    </row>
    <row r="20" ht="14.25">
      <c r="A20" s="21"/>
      <c r="B20" s="22"/>
      <c r="C20" s="22"/>
      <c r="D20" s="22"/>
      <c r="E20" s="8" t="s">
        <v>29</v>
      </c>
      <c r="F20" s="9"/>
      <c r="G20" s="8"/>
      <c r="H20" s="8"/>
      <c r="I20" s="8"/>
      <c r="J20" s="8" t="s">
        <v>30</v>
      </c>
      <c r="K20" s="4"/>
      <c r="L20" s="23"/>
    </row>
    <row r="21" ht="14.25">
      <c r="A21" s="21"/>
      <c r="B21" s="24"/>
      <c r="C21" s="24"/>
      <c r="D21" s="24"/>
      <c r="E21" s="25"/>
      <c r="F21" s="26"/>
      <c r="G21" s="25"/>
      <c r="H21" s="25"/>
      <c r="I21" s="27"/>
      <c r="J21" s="28"/>
      <c r="K21" s="29"/>
      <c r="L21" s="30"/>
    </row>
    <row r="22" ht="14.25">
      <c r="A22" s="110"/>
      <c r="B22" s="16" t="s">
        <v>31</v>
      </c>
      <c r="C22" s="16"/>
      <c r="D22" s="16"/>
      <c r="E22" s="17">
        <f>E19+E10</f>
        <v>0</v>
      </c>
      <c r="F22" s="17"/>
      <c r="G22" s="17">
        <f>G10</f>
        <v>0</v>
      </c>
      <c r="H22" s="17"/>
      <c r="I22" s="17">
        <f>I10</f>
        <v>0</v>
      </c>
      <c r="J22" s="17">
        <f>J19+J10</f>
        <v>0</v>
      </c>
      <c r="K22" s="19">
        <f>IFERROR($J$22/$J$44,0)</f>
        <v>0</v>
      </c>
      <c r="L22" s="20" t="s">
        <v>32</v>
      </c>
    </row>
    <row r="23" ht="14.25">
      <c r="A23" s="21"/>
      <c r="B23" s="22"/>
      <c r="C23" s="22"/>
      <c r="D23" s="22"/>
      <c r="E23" s="8" t="s">
        <v>33</v>
      </c>
      <c r="F23" s="9"/>
      <c r="G23" s="8" t="s">
        <v>34</v>
      </c>
      <c r="H23" s="8"/>
      <c r="I23" s="8" t="s">
        <v>35</v>
      </c>
      <c r="J23" s="8" t="s">
        <v>36</v>
      </c>
      <c r="K23" s="31"/>
      <c r="L23" s="32"/>
    </row>
    <row r="24" ht="14.25">
      <c r="A24" s="21"/>
      <c r="B24" s="22"/>
      <c r="C24" s="22"/>
      <c r="D24" s="22"/>
      <c r="E24" s="33"/>
      <c r="F24" s="34"/>
      <c r="G24" s="33"/>
      <c r="H24" s="33"/>
      <c r="I24" s="35"/>
      <c r="J24" s="35"/>
      <c r="K24" s="31"/>
      <c r="L24" s="32"/>
    </row>
    <row r="25" ht="14.25">
      <c r="A25" s="36" t="s">
        <v>23</v>
      </c>
      <c r="B25" s="37" t="s">
        <v>24</v>
      </c>
      <c r="C25" s="37"/>
      <c r="D25" s="37"/>
      <c r="E25" s="38" t="s">
        <v>11</v>
      </c>
      <c r="F25" s="39" t="s">
        <v>25</v>
      </c>
      <c r="G25" s="38"/>
      <c r="H25" s="38"/>
      <c r="I25" s="38"/>
      <c r="J25" s="38" t="s">
        <v>26</v>
      </c>
      <c r="K25" s="310" t="s">
        <v>16</v>
      </c>
      <c r="L25" s="311"/>
    </row>
    <row r="26" ht="14.25">
      <c r="A26" s="112" t="s">
        <v>210</v>
      </c>
      <c r="B26" s="40" t="s">
        <v>37</v>
      </c>
      <c r="C26" s="202"/>
      <c r="D26" s="202"/>
      <c r="E26" s="41"/>
      <c r="F26" s="41"/>
      <c r="G26" s="41"/>
      <c r="H26" s="41"/>
      <c r="I26" s="41"/>
      <c r="J26" s="41"/>
      <c r="K26" s="42"/>
      <c r="L26" s="43"/>
    </row>
    <row r="27" ht="14.25">
      <c r="A27" s="123" t="s">
        <v>222</v>
      </c>
      <c r="B27" s="126" t="s">
        <v>135</v>
      </c>
      <c r="C27" s="126"/>
      <c r="D27" s="126"/>
      <c r="E27" s="113" t="s">
        <v>136</v>
      </c>
      <c r="F27" s="113" t="e">
        <f>IF(E27&gt;0,J27/E27,"")</f>
        <v>#VALUE!</v>
      </c>
      <c r="G27" s="113"/>
      <c r="H27" s="113"/>
      <c r="I27" s="113"/>
      <c r="J27" s="113" t="s">
        <v>137</v>
      </c>
      <c r="K27" s="45">
        <f>IFERROR($J27/$I$10, 0)</f>
        <v>0</v>
      </c>
      <c r="L27" s="46" t="str">
        <f>"of TDM"</f>
        <v>of TDM</v>
      </c>
    </row>
    <row r="28" ht="14.25">
      <c r="A28" s="123"/>
      <c r="B28" s="129"/>
      <c r="C28" s="203"/>
      <c r="D28" s="203"/>
      <c r="E28" s="33"/>
      <c r="F28" s="33"/>
      <c r="G28" s="33"/>
      <c r="H28" s="33"/>
      <c r="I28" s="33"/>
      <c r="J28" s="33"/>
      <c r="K28" s="45"/>
      <c r="L28" s="46"/>
    </row>
    <row r="29" ht="14.25">
      <c r="A29" s="44" t="s">
        <v>142</v>
      </c>
      <c r="B29" s="47" t="s">
        <v>38</v>
      </c>
      <c r="C29" s="202"/>
      <c r="D29" s="202"/>
      <c r="E29" s="33"/>
      <c r="F29" s="33"/>
      <c r="G29" s="33"/>
      <c r="H29" s="33"/>
      <c r="I29" s="33"/>
      <c r="J29" s="33"/>
      <c r="K29" s="48"/>
      <c r="L29" s="46"/>
    </row>
    <row r="30" ht="14.25">
      <c r="A30" s="123" t="s">
        <v>223</v>
      </c>
      <c r="B30" s="126" t="s">
        <v>143</v>
      </c>
      <c r="C30" s="126"/>
      <c r="D30" s="126"/>
      <c r="E30" s="113" t="s">
        <v>145</v>
      </c>
      <c r="F30" s="113" t="e">
        <f>IF(E30&gt;0,J30/E30,"")</f>
        <v>#VALUE!</v>
      </c>
      <c r="G30" s="113"/>
      <c r="H30" s="113"/>
      <c r="I30" s="113"/>
      <c r="J30" s="113" t="s">
        <v>144</v>
      </c>
      <c r="K30" s="48">
        <f>IFERROR($J30/$J$10, 0)</f>
        <v>0</v>
      </c>
      <c r="L30" s="46" t="str">
        <f>" of TDC"</f>
        <v xml:space="preserve"> of TDC</v>
      </c>
    </row>
    <row r="31" ht="14.25">
      <c r="A31" s="123"/>
      <c r="B31" s="130"/>
      <c r="C31" s="203"/>
      <c r="D31" s="203"/>
      <c r="E31" s="33"/>
      <c r="F31" s="33"/>
      <c r="G31" s="33"/>
      <c r="H31" s="33"/>
      <c r="I31" s="33"/>
      <c r="J31" s="33"/>
      <c r="K31" s="48"/>
      <c r="L31" s="46"/>
    </row>
    <row r="32" ht="14.25">
      <c r="A32" s="44" t="s">
        <v>147</v>
      </c>
      <c r="B32" s="49" t="s">
        <v>39</v>
      </c>
      <c r="C32" s="204"/>
      <c r="D32" s="204"/>
      <c r="E32" s="33"/>
      <c r="F32" s="33"/>
      <c r="G32" s="33"/>
      <c r="H32" s="33"/>
      <c r="I32" s="33"/>
      <c r="J32" s="33"/>
      <c r="K32" s="48"/>
      <c r="L32" s="46"/>
    </row>
    <row r="33" ht="14.25">
      <c r="A33" s="123" t="s">
        <v>224</v>
      </c>
      <c r="B33" s="126" t="s">
        <v>148</v>
      </c>
      <c r="C33" s="126"/>
      <c r="D33" s="126"/>
      <c r="E33" s="113" t="s">
        <v>149</v>
      </c>
      <c r="F33" s="113" t="e">
        <f>IF(E33&gt;0,J33/E33,"")</f>
        <v>#VALUE!</v>
      </c>
      <c r="G33" s="113"/>
      <c r="H33" s="113"/>
      <c r="I33" s="113"/>
      <c r="J33" s="113" t="s">
        <v>150</v>
      </c>
      <c r="K33" s="48">
        <f>IFERROR($J33/$J$22, 0)</f>
        <v>0</v>
      </c>
      <c r="L33" s="46" t="str">
        <f>"of TFC"</f>
        <v>of TFC</v>
      </c>
    </row>
    <row r="34" ht="14.25">
      <c r="A34" s="123"/>
      <c r="B34" s="130"/>
      <c r="C34" s="203"/>
      <c r="D34" s="203"/>
      <c r="E34" s="33"/>
      <c r="F34" s="33"/>
      <c r="G34" s="33"/>
      <c r="H34" s="33"/>
      <c r="I34" s="33"/>
      <c r="J34" s="33"/>
      <c r="K34" s="48"/>
      <c r="L34" s="46"/>
    </row>
    <row r="35" ht="14.25">
      <c r="A35" s="44" t="s">
        <v>152</v>
      </c>
      <c r="B35" s="49" t="s">
        <v>40</v>
      </c>
      <c r="C35" s="204"/>
      <c r="D35" s="204"/>
      <c r="E35" s="33"/>
      <c r="F35" s="33"/>
      <c r="G35" s="33"/>
      <c r="H35" s="33"/>
      <c r="I35" s="33"/>
      <c r="J35" s="33"/>
      <c r="K35" s="48"/>
      <c r="L35" s="46"/>
    </row>
    <row r="36" ht="14.25">
      <c r="A36" s="123" t="s">
        <v>225</v>
      </c>
      <c r="B36" s="126" t="s">
        <v>158</v>
      </c>
      <c r="C36" s="126"/>
      <c r="D36" s="126"/>
      <c r="E36" s="113" t="s">
        <v>153</v>
      </c>
      <c r="F36" s="113" t="e">
        <f>IF(E36&gt;0,J36/E36,"")</f>
        <v>#VALUE!</v>
      </c>
      <c r="G36" s="113"/>
      <c r="H36" s="113"/>
      <c r="I36" s="113"/>
      <c r="J36" s="113" t="s">
        <v>154</v>
      </c>
      <c r="K36" s="48">
        <f>IFERROR($J36/$J$22, 0)</f>
        <v>0</v>
      </c>
      <c r="L36" s="46" t="str">
        <f>"of TFC"</f>
        <v>of TFC</v>
      </c>
    </row>
    <row r="37" ht="14.25">
      <c r="A37" s="123"/>
      <c r="B37" s="130"/>
      <c r="C37" s="203"/>
      <c r="D37" s="203"/>
      <c r="E37" s="33"/>
      <c r="F37" s="33"/>
      <c r="G37" s="33"/>
      <c r="H37" s="33"/>
      <c r="I37" s="33"/>
      <c r="J37" s="33"/>
      <c r="K37" s="48"/>
      <c r="L37" s="46"/>
    </row>
    <row r="38" ht="14.25">
      <c r="A38" s="44" t="s">
        <v>156</v>
      </c>
      <c r="B38" s="49" t="s">
        <v>41</v>
      </c>
      <c r="C38" s="204"/>
      <c r="D38" s="204"/>
      <c r="E38" s="33"/>
      <c r="F38" s="33"/>
      <c r="G38" s="33"/>
      <c r="H38" s="33"/>
      <c r="I38" s="33"/>
      <c r="J38" s="33"/>
      <c r="K38" s="50"/>
      <c r="L38" s="51"/>
    </row>
    <row r="39" ht="14.25">
      <c r="A39" s="124" t="s">
        <v>226</v>
      </c>
      <c r="B39" s="126" t="s">
        <v>159</v>
      </c>
      <c r="C39" s="126"/>
      <c r="D39" s="126"/>
      <c r="E39" s="113" t="s">
        <v>157</v>
      </c>
      <c r="F39" s="113" t="e">
        <f>IF(E39&gt;0,J39/E39,"")</f>
        <v>#VALUE!</v>
      </c>
      <c r="G39" s="113"/>
      <c r="H39" s="113"/>
      <c r="I39" s="113"/>
      <c r="J39" s="113" t="s">
        <v>160</v>
      </c>
      <c r="K39" s="53">
        <f>IFERROR($J39/$J$44, 0)</f>
        <v>0</v>
      </c>
      <c r="L39" s="54" t="str">
        <f>"of TIC"</f>
        <v>of TIC</v>
      </c>
    </row>
    <row r="40" ht="14.25">
      <c r="A40" s="125"/>
      <c r="B40" s="131"/>
      <c r="C40" s="131"/>
      <c r="D40" s="131"/>
      <c r="E40" s="55"/>
      <c r="F40" s="56"/>
      <c r="G40" s="55"/>
      <c r="H40" s="55"/>
      <c r="I40" s="55"/>
      <c r="J40" s="55"/>
      <c r="K40" s="53"/>
      <c r="L40" s="54"/>
    </row>
    <row r="41" ht="14.25">
      <c r="A41" s="111"/>
      <c r="B41" s="16" t="s">
        <v>42</v>
      </c>
      <c r="C41" s="16"/>
      <c r="D41" s="16"/>
      <c r="E41" s="17">
        <f>SUM(E26:E40)</f>
        <v>0</v>
      </c>
      <c r="F41" s="18"/>
      <c r="G41" s="17"/>
      <c r="H41" s="17"/>
      <c r="I41" s="17"/>
      <c r="J41" s="17">
        <f>SUM(J26:J40)</f>
        <v>0</v>
      </c>
      <c r="K41" s="19">
        <f>IFERROR($J$41/$J$44,0)</f>
        <v>0</v>
      </c>
      <c r="L41" s="20" t="s">
        <v>32</v>
      </c>
    </row>
    <row r="42" ht="14.25">
      <c r="A42" s="57"/>
      <c r="B42" s="58"/>
      <c r="C42" s="58"/>
      <c r="D42" s="58"/>
      <c r="E42" s="59" t="s">
        <v>43</v>
      </c>
      <c r="F42" s="60"/>
      <c r="G42" s="59"/>
      <c r="H42" s="59"/>
      <c r="I42" s="59"/>
      <c r="J42" s="59" t="s">
        <v>44</v>
      </c>
      <c r="K42" s="61"/>
      <c r="L42" s="62"/>
    </row>
    <row r="43" ht="14.25">
      <c r="A43" s="63"/>
      <c r="B43" s="22"/>
      <c r="C43" s="22"/>
      <c r="D43" s="22"/>
      <c r="E43" s="33"/>
      <c r="F43" s="34"/>
      <c r="G43" s="35"/>
      <c r="H43" s="35"/>
      <c r="I43" s="35"/>
      <c r="J43" s="35"/>
      <c r="K43" s="4"/>
      <c r="L43" s="23"/>
    </row>
    <row r="44" ht="14.25">
      <c r="A44" s="312" t="s">
        <v>45</v>
      </c>
      <c r="B44" s="313"/>
      <c r="C44" s="200"/>
      <c r="D44" s="200"/>
      <c r="E44" s="64">
        <f>E41+E22</f>
        <v>0</v>
      </c>
      <c r="F44" s="65"/>
      <c r="G44" s="64">
        <f>G41+G22</f>
        <v>0</v>
      </c>
      <c r="H44" s="64"/>
      <c r="I44" s="64">
        <f>I41+I22</f>
        <v>0</v>
      </c>
      <c r="J44" s="64">
        <f>J41+J22</f>
        <v>0</v>
      </c>
      <c r="K44" s="66">
        <f>IFERROR(J44/J10,0)</f>
        <v>0</v>
      </c>
      <c r="L44" s="67" t="s">
        <v>17</v>
      </c>
    </row>
    <row r="45" ht="14.25">
      <c r="A45" s="68"/>
      <c r="B45" s="69"/>
      <c r="C45" s="69"/>
      <c r="D45" s="69"/>
      <c r="E45" s="70" t="s">
        <v>46</v>
      </c>
      <c r="F45" s="71"/>
      <c r="G45" s="70" t="s">
        <v>47</v>
      </c>
      <c r="H45" s="70"/>
      <c r="I45" s="70" t="s">
        <v>48</v>
      </c>
      <c r="J45" s="72" t="s">
        <v>49</v>
      </c>
      <c r="K45" s="73"/>
      <c r="L45" s="74"/>
    </row>
    <row r="46" ht="14.25">
      <c r="A46" s="75"/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</row>
    <row r="47" ht="14.25">
      <c r="A47" s="75"/>
      <c r="B47" s="76"/>
      <c r="C47" s="76"/>
      <c r="D47" s="76"/>
      <c r="E47" s="76"/>
      <c r="F47" s="76"/>
      <c r="G47" s="76"/>
      <c r="H47" s="76"/>
      <c r="I47" s="76"/>
      <c r="J47" s="76"/>
      <c r="K47" s="76"/>
      <c r="L47" s="76"/>
    </row>
    <row r="48" ht="14.25">
      <c r="A48" s="75"/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</row>
    <row r="49" ht="14.25">
      <c r="B49" s="78" t="s">
        <v>50</v>
      </c>
      <c r="C49" s="205"/>
      <c r="D49" s="205"/>
      <c r="E49" s="79"/>
      <c r="F49" s="80"/>
      <c r="G49" s="81"/>
      <c r="H49" s="81"/>
      <c r="I49" s="82"/>
      <c r="J49" s="79"/>
      <c r="K49" s="83"/>
      <c r="L49" s="84"/>
    </row>
    <row r="50" ht="14.25">
      <c r="A50" s="75"/>
      <c r="B50" s="85" t="s">
        <v>51</v>
      </c>
      <c r="C50" s="206"/>
      <c r="D50" s="206"/>
      <c r="E50" s="52"/>
      <c r="F50" s="86">
        <f>IFERROR(J44/SUMIF(A$8:A9,2,I$8:I9),0)</f>
        <v>0</v>
      </c>
      <c r="G50" s="87"/>
      <c r="H50" s="211"/>
      <c r="I50" s="88"/>
      <c r="J50" s="52"/>
      <c r="K50" s="89"/>
      <c r="L50" s="90"/>
    </row>
    <row r="51" ht="14.25">
      <c r="A51" s="75"/>
      <c r="B51" s="91" t="s">
        <v>52</v>
      </c>
      <c r="C51" s="207"/>
      <c r="D51" s="207"/>
      <c r="E51" s="92"/>
      <c r="F51" s="93">
        <f>IFERROR(J10/J44,0)</f>
        <v>0</v>
      </c>
      <c r="G51" s="94"/>
      <c r="H51" s="94"/>
      <c r="I51" s="95"/>
      <c r="J51" s="92"/>
      <c r="K51" s="96"/>
      <c r="L51" s="97"/>
    </row>
    <row r="52" ht="14.25">
      <c r="A52" s="75"/>
      <c r="B52" s="98" t="s">
        <v>53</v>
      </c>
      <c r="C52" s="208"/>
      <c r="D52" s="208"/>
      <c r="E52" s="99"/>
      <c r="F52" s="100">
        <f>IFERROR(J41/J44,0)</f>
        <v>0</v>
      </c>
      <c r="G52" s="99"/>
      <c r="H52" s="99"/>
      <c r="I52" s="99"/>
      <c r="J52" s="101"/>
      <c r="K52" s="102"/>
      <c r="L52" s="103"/>
    </row>
  </sheetData>
  <mergeCells>
    <mergeCell ref="K25:L25"/>
    <mergeCell ref="A44:B44"/>
    <mergeCell ref="A1:L1"/>
    <mergeCell ref="A2:L2"/>
    <mergeCell ref="K7:L7"/>
    <mergeCell ref="K12:L12"/>
  </mergeCells>
  <pageMargins left="0.7" right="0.7" top="0.75" bottom="0.75" header="0.3" footer="0.3"/>
  <pageSetup scale="37" orientation="portrait" r:id="flId1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tabColor rgb="FFFFFF00"/>
  </sheetPr>
  <dimension ref="A1:U26"/>
  <sheetViews>
    <sheetView topLeftCell="A1" zoomScaleNormal="100" workbookViewId="0">
      <pane ySplit="13" topLeftCell="A14" activePane="bottomLeft" state="frozen"/>
      <selection pane="bottomLeft" activeCell="A1" sqref="A1:J1"/>
    </sheetView>
  </sheetViews>
  <sheetFormatPr defaultColWidth="9.125" defaultRowHeight="12.75" customHeight="1"/>
  <cols>
    <col min="1" max="1" width="26.625" style="153" customWidth="1"/>
    <col min="2" max="2" width="26.625" style="134" customWidth="1"/>
    <col min="3" max="3" width="16.625" style="134" customWidth="1"/>
    <col min="4" max="4" width="10.625" style="134" customWidth="1"/>
    <col min="5" max="7" width="20.625" style="134" customWidth="1"/>
    <col min="8" max="8" width="10.625" style="134" customWidth="1"/>
    <col min="9" max="9" width="16.625" style="134" customWidth="1"/>
    <col min="10" max="10" width="38.625" style="134" customWidth="1"/>
    <col min="11" max="12" width="9.125" style="134" customWidth="1"/>
    <col min="13" max="13" width="9.125" style="134"/>
    <col min="14" max="15" width="9.125" style="134" customWidth="1"/>
    <col min="16" max="20" width="9.125" style="134"/>
    <col min="21" max="21" width="12.25" style="134" customWidth="1"/>
    <col min="22" max="16384" width="9.125" style="134"/>
  </cols>
  <sheetData>
    <row r="1" ht="37.5" customHeight="1">
      <c r="A1" s="320" t="s">
        <v>54</v>
      </c>
      <c r="B1" s="321"/>
      <c r="C1" s="321"/>
      <c r="D1" s="321"/>
      <c r="E1" s="321"/>
      <c r="F1" s="321"/>
      <c r="G1" s="321"/>
      <c r="H1" s="321"/>
      <c r="I1" s="321"/>
      <c r="J1" s="322"/>
    </row>
    <row r="2" ht="21" customHeight="1">
      <c r="A2" s="323" t="s">
        <v>73</v>
      </c>
      <c r="B2" s="324"/>
      <c r="C2" s="324"/>
      <c r="D2" s="324"/>
      <c r="E2" s="324"/>
      <c r="F2" s="324"/>
      <c r="G2" s="324"/>
      <c r="H2" s="324"/>
      <c r="I2" s="324"/>
      <c r="J2" s="325"/>
    </row>
    <row r="3" ht="15">
      <c r="A3" s="270" t="s">
        <v>0</v>
      </c>
      <c r="B3" s="271" t="s">
        <v>120</v>
      </c>
      <c r="C3" s="271"/>
      <c r="D3" s="271"/>
      <c r="E3" s="272"/>
      <c r="F3" s="272"/>
      <c r="G3" s="272"/>
      <c r="H3" s="272"/>
      <c r="I3" s="272"/>
      <c r="J3" s="273"/>
      <c r="L3" s="298" t="s">
        <v>74</v>
      </c>
      <c r="M3" s="299"/>
      <c r="N3" s="300"/>
      <c r="O3" s="300"/>
      <c r="P3" s="300"/>
      <c r="Q3" s="300"/>
      <c r="R3" s="300"/>
      <c r="S3" s="300"/>
      <c r="T3" s="300"/>
      <c r="U3" s="301"/>
    </row>
    <row r="4" ht="14.25">
      <c r="A4" s="274" t="s">
        <v>1</v>
      </c>
      <c r="B4" s="140" t="s">
        <v>121</v>
      </c>
      <c r="C4" s="140"/>
      <c r="D4" s="140"/>
      <c r="E4" s="141" t="s">
        <v>2</v>
      </c>
      <c r="F4" s="140" t="s">
        <v>124</v>
      </c>
      <c r="G4" s="137"/>
      <c r="H4" s="137"/>
      <c r="I4" s="137"/>
      <c r="J4" s="138"/>
      <c r="L4" s="268" t="s">
        <v>232</v>
      </c>
      <c r="M4" s="142"/>
      <c r="N4" s="142"/>
      <c r="O4" s="142"/>
      <c r="P4" s="142"/>
      <c r="Q4" s="142"/>
      <c r="R4" s="142"/>
      <c r="S4" s="142"/>
      <c r="T4" s="142"/>
      <c r="U4" s="269"/>
    </row>
    <row r="5" ht="14.25">
      <c r="A5" s="275" t="s">
        <v>3</v>
      </c>
      <c r="B5" s="136" t="s">
        <v>122</v>
      </c>
      <c r="C5" s="136"/>
      <c r="D5" s="136"/>
      <c r="E5" s="145" t="s">
        <v>4</v>
      </c>
      <c r="F5" s="140" t="s">
        <v>125</v>
      </c>
      <c r="G5" s="143"/>
      <c r="H5" s="143"/>
      <c r="I5" s="143"/>
      <c r="J5" s="144"/>
      <c r="L5" s="268" t="s">
        <v>233</v>
      </c>
      <c r="M5" s="142"/>
      <c r="N5" s="142"/>
      <c r="O5" s="142"/>
      <c r="P5" s="142"/>
      <c r="Q5" s="142"/>
      <c r="R5" s="142"/>
      <c r="S5" s="142"/>
      <c r="T5" s="142"/>
      <c r="U5" s="269"/>
    </row>
    <row r="6" ht="14.25">
      <c r="A6" s="275" t="s">
        <v>6</v>
      </c>
      <c r="B6" s="136" t="s">
        <v>123</v>
      </c>
      <c r="C6" s="136"/>
      <c r="D6" s="136"/>
      <c r="E6" s="145" t="s">
        <v>7</v>
      </c>
      <c r="F6" s="136" t="s">
        <v>126</v>
      </c>
      <c r="G6" s="143"/>
      <c r="H6" s="143"/>
      <c r="I6" s="143"/>
      <c r="J6" s="144"/>
      <c r="L6" s="268" t="s">
        <v>231</v>
      </c>
      <c r="M6" s="142"/>
      <c r="N6" s="142"/>
      <c r="O6" s="142"/>
      <c r="P6" s="142"/>
      <c r="Q6" s="142"/>
      <c r="R6" s="142"/>
      <c r="S6" s="142"/>
      <c r="T6" s="142"/>
      <c r="U6" s="269"/>
    </row>
    <row r="7" ht="14.25">
      <c r="A7" s="146" t="s">
        <v>8</v>
      </c>
      <c r="B7" s="176" t="s">
        <v>128</v>
      </c>
      <c r="C7" s="176"/>
      <c r="D7" s="176"/>
      <c r="E7" s="147" t="s">
        <v>5</v>
      </c>
      <c r="F7" s="148" t="s">
        <v>127</v>
      </c>
      <c r="G7" s="175"/>
      <c r="H7" s="175"/>
      <c r="I7" s="175"/>
      <c r="J7" s="149"/>
      <c r="L7" s="265" t="s">
        <v>130</v>
      </c>
      <c r="M7" s="143"/>
      <c r="N7" s="143"/>
      <c r="O7" s="143"/>
      <c r="P7" s="143"/>
      <c r="Q7" s="143"/>
      <c r="R7" s="143"/>
      <c r="S7" s="143"/>
      <c r="T7" s="143"/>
      <c r="U7" s="144"/>
    </row>
    <row r="8" ht="14.25">
      <c r="A8" s="306"/>
      <c r="B8" s="307"/>
      <c r="C8" s="307"/>
      <c r="D8" s="307"/>
      <c r="E8" s="303"/>
      <c r="F8" s="304"/>
      <c r="G8" s="305"/>
      <c r="H8" s="305"/>
      <c r="I8" s="305"/>
      <c r="J8" s="305"/>
      <c r="K8" s="297"/>
      <c r="L8" s="265" t="s">
        <v>131</v>
      </c>
      <c r="M8" s="143"/>
      <c r="N8" s="143"/>
      <c r="O8" s="143"/>
      <c r="P8" s="143"/>
      <c r="Q8" s="143"/>
      <c r="R8" s="143"/>
      <c r="S8" s="143"/>
      <c r="T8" s="143"/>
      <c r="U8" s="144"/>
    </row>
    <row r="9" ht="20.25" thickBot="1">
      <c r="A9" s="308" t="s">
        <v>240</v>
      </c>
      <c r="B9" s="302"/>
      <c r="C9" s="302"/>
      <c r="D9" s="309">
        <v>10000</v>
      </c>
      <c r="E9" s="303"/>
      <c r="F9" s="304"/>
      <c r="G9" s="305"/>
      <c r="H9" s="305"/>
      <c r="I9" s="305"/>
      <c r="J9" s="305"/>
      <c r="L9" s="268" t="s">
        <v>236</v>
      </c>
      <c r="M9" s="142"/>
      <c r="N9" s="142"/>
      <c r="O9" s="142"/>
      <c r="P9" s="142"/>
      <c r="Q9" s="142"/>
      <c r="R9" s="142"/>
      <c r="S9" s="142"/>
      <c r="T9" s="142"/>
      <c r="U9" s="269"/>
    </row>
    <row r="10" ht="15" thickTop="1">
      <c r="A10" s="306"/>
      <c r="B10" s="307"/>
      <c r="C10" s="307"/>
      <c r="D10" s="307"/>
      <c r="E10" s="303"/>
      <c r="F10" s="304"/>
      <c r="G10" s="305"/>
      <c r="H10" s="305"/>
      <c r="I10" s="305"/>
      <c r="J10" s="305"/>
      <c r="L10" s="266" t="s">
        <v>235</v>
      </c>
      <c r="M10" s="250"/>
      <c r="N10" s="250"/>
      <c r="O10" s="250"/>
      <c r="P10" s="250"/>
      <c r="Q10" s="250"/>
      <c r="R10" s="250"/>
      <c r="S10" s="250"/>
      <c r="T10" s="250"/>
      <c r="U10" s="267"/>
    </row>
    <row r="11" ht="20.25" thickBot="1">
      <c r="A11" s="308" t="s">
        <v>241</v>
      </c>
      <c r="B11" s="302"/>
      <c r="C11" s="302"/>
      <c r="D11" s="309" t="s">
        <v>242</v>
      </c>
      <c r="E11" s="303"/>
      <c r="F11" s="304"/>
      <c r="G11" s="305"/>
      <c r="H11" s="305"/>
      <c r="I11" s="305"/>
      <c r="J11" s="305"/>
      <c r="L11" s="266" t="s">
        <v>230</v>
      </c>
      <c r="M11" s="250"/>
      <c r="N11" s="250"/>
      <c r="O11" s="250"/>
      <c r="P11" s="250"/>
      <c r="Q11" s="250"/>
      <c r="R11" s="250"/>
      <c r="S11" s="250"/>
      <c r="T11" s="250"/>
      <c r="U11" s="267"/>
    </row>
    <row r="12" ht="15" thickTop="1">
      <c r="A12" s="306"/>
      <c r="B12" s="307"/>
      <c r="C12" s="307"/>
      <c r="D12" s="307"/>
      <c r="E12" s="303"/>
      <c r="F12" s="304"/>
      <c r="G12" s="305"/>
      <c r="H12" s="305"/>
      <c r="I12" s="305"/>
      <c r="J12" s="305"/>
      <c r="L12" s="181" t="s">
        <v>234</v>
      </c>
      <c r="M12" s="150"/>
      <c r="N12" s="150"/>
      <c r="O12" s="150"/>
      <c r="P12" s="150"/>
      <c r="Q12" s="150"/>
      <c r="R12" s="150"/>
      <c r="S12" s="150"/>
      <c r="T12" s="150"/>
      <c r="U12" s="151"/>
    </row>
    <row r="13" ht="14.25">
      <c r="A13" s="294" t="s">
        <v>10</v>
      </c>
      <c r="B13" s="295" t="s">
        <v>75</v>
      </c>
      <c r="C13" s="295" t="s">
        <v>167</v>
      </c>
      <c r="D13" s="295" t="s">
        <v>76</v>
      </c>
      <c r="E13" s="295" t="s">
        <v>77</v>
      </c>
      <c r="F13" s="295" t="s">
        <v>78</v>
      </c>
      <c r="G13" s="295" t="s">
        <v>79</v>
      </c>
      <c r="H13" s="295" t="s">
        <v>80</v>
      </c>
      <c r="I13" s="295" t="s">
        <v>169</v>
      </c>
      <c r="J13" s="296" t="s">
        <v>170</v>
      </c>
    </row>
    <row r="14" ht="14.25" customHeight="1">
      <c r="A14" s="293" t="s">
        <v>204</v>
      </c>
      <c r="B14" s="152" t="str">
        <f>"Material cost"</f>
        <v>Material cost</v>
      </c>
      <c r="C14" s="152"/>
      <c r="D14" s="179">
        <v>-0.1</v>
      </c>
      <c r="E14" s="180" t="e">
        <f>$F14*(1+$D14)</f>
        <v>#VALUE!</v>
      </c>
      <c r="F14" s="180" t="s">
        <v>218</v>
      </c>
      <c r="G14" s="180" t="e">
        <f>$F14*(1+$H14)</f>
        <v>#VALUE!</v>
      </c>
      <c r="H14" s="179">
        <f>10%</f>
        <v>0.1</v>
      </c>
      <c r="I14" s="222" t="s">
        <v>168</v>
      </c>
      <c r="J14" s="223"/>
    </row>
    <row r="15" ht="14.25" customHeight="1">
      <c r="A15" s="293" t="s">
        <v>205</v>
      </c>
      <c r="B15" s="152" t="str">
        <f>"Quantity"</f>
        <v>Quantity</v>
      </c>
      <c r="C15" s="152" t="s">
        <v>212</v>
      </c>
      <c r="D15" s="179">
        <v>-0.1</v>
      </c>
      <c r="E15" s="180" t="e">
        <f>$F15*(1+$D15)</f>
        <v>#VALUE!</v>
      </c>
      <c r="F15" s="180" t="s">
        <v>211</v>
      </c>
      <c r="G15" s="180" t="e">
        <f>$F15*(1+$H15)</f>
        <v>#VALUE!</v>
      </c>
      <c r="H15" s="179">
        <f>10%</f>
        <v>0.1</v>
      </c>
      <c r="I15" s="222" t="s">
        <v>168</v>
      </c>
      <c r="J15" s="223"/>
    </row>
    <row r="16" ht="14.25" customHeight="1">
      <c r="A16" s="293" t="s">
        <v>206</v>
      </c>
      <c r="B16" s="152" t="str">
        <f>"Unit Material cost"</f>
        <v>Unit Material cost</v>
      </c>
      <c r="C16" s="152"/>
      <c r="D16" s="179">
        <v>-0.1</v>
      </c>
      <c r="E16" s="180" t="e">
        <f>$F16*(1+$D16)</f>
        <v>#VALUE!</v>
      </c>
      <c r="F16" s="180" t="s">
        <v>219</v>
      </c>
      <c r="G16" s="180" t="e">
        <f>$F16*(1+$H16)</f>
        <v>#VALUE!</v>
      </c>
      <c r="H16" s="179">
        <f>10%</f>
        <v>0.1</v>
      </c>
      <c r="I16" s="222" t="s">
        <v>168</v>
      </c>
      <c r="J16" s="223"/>
    </row>
    <row r="17" ht="14.25" customHeight="1">
      <c r="A17" s="293" t="s">
        <v>207</v>
      </c>
      <c r="B17" s="152" t="str">
        <f>"Manhours"</f>
        <v>Manhours</v>
      </c>
      <c r="C17" s="152"/>
      <c r="D17" s="179">
        <v>-0.1</v>
      </c>
      <c r="E17" s="180" t="e">
        <f>F17*(1+D17)</f>
        <v>#VALUE!</v>
      </c>
      <c r="F17" s="180" t="s">
        <v>213</v>
      </c>
      <c r="G17" s="180" t="e">
        <f>F17*(1+H17)</f>
        <v>#VALUE!</v>
      </c>
      <c r="H17" s="179">
        <v>0.1</v>
      </c>
      <c r="I17" s="222" t="s">
        <v>168</v>
      </c>
      <c r="J17" s="223"/>
    </row>
    <row r="18" ht="14.25" customHeight="1">
      <c r="A18" s="293" t="s">
        <v>208</v>
      </c>
      <c r="B18" s="152" t="str">
        <f>"Wage rate"</f>
        <v>Wage rate</v>
      </c>
      <c r="C18" s="152"/>
      <c r="D18" s="179">
        <v>-0.1</v>
      </c>
      <c r="E18" s="199" t="e">
        <f>F18*(1+D18)</f>
        <v>#VALUE!</v>
      </c>
      <c r="F18" s="152" t="s">
        <v>214</v>
      </c>
      <c r="G18" s="199" t="e">
        <f>F18*(1+H18)</f>
        <v>#VALUE!</v>
      </c>
      <c r="H18" s="179">
        <v>0.1</v>
      </c>
      <c r="I18" s="222" t="s">
        <v>168</v>
      </c>
      <c r="J18" s="223"/>
    </row>
    <row r="19" ht="14.25" customHeight="1">
      <c r="A19" s="293" t="s">
        <v>203</v>
      </c>
      <c r="B19" s="152" t="s">
        <v>115</v>
      </c>
      <c r="C19" s="152"/>
      <c r="D19" s="179">
        <v>-0.1</v>
      </c>
      <c r="E19" s="180" t="e">
        <f>F19*(1+D19)</f>
        <v>#VALUE!</v>
      </c>
      <c r="F19" s="152" t="s">
        <v>109</v>
      </c>
      <c r="G19" s="180" t="e">
        <f>F19*(1+H19)</f>
        <v>#VALUE!</v>
      </c>
      <c r="H19" s="179">
        <v>0.1</v>
      </c>
      <c r="I19" s="222" t="s">
        <v>168</v>
      </c>
      <c r="J19" s="223"/>
    </row>
    <row r="20" ht="14.25" customHeight="1">
      <c r="A20" s="293" t="s">
        <v>116</v>
      </c>
      <c r="B20" s="152" t="s">
        <v>115</v>
      </c>
      <c r="C20" s="152"/>
      <c r="D20" s="179">
        <v>-0.1</v>
      </c>
      <c r="E20" s="180" t="e">
        <f>F20*(1+D20)</f>
        <v>#VALUE!</v>
      </c>
      <c r="F20" s="152" t="s">
        <v>110</v>
      </c>
      <c r="G20" s="180" t="e">
        <f>F20*(1+H20)</f>
        <v>#VALUE!</v>
      </c>
      <c r="H20" s="179">
        <v>0.1</v>
      </c>
      <c r="I20" s="222" t="s">
        <v>168</v>
      </c>
      <c r="J20" s="223"/>
    </row>
    <row r="21" ht="14.25" customHeight="1">
      <c r="A21" s="293" t="s">
        <v>117</v>
      </c>
      <c r="B21" s="152" t="s">
        <v>115</v>
      </c>
      <c r="C21" s="152"/>
      <c r="D21" s="179">
        <v>-0.1</v>
      </c>
      <c r="E21" s="180" t="e">
        <f>F21*(1+D21)</f>
        <v>#VALUE!</v>
      </c>
      <c r="F21" s="152" t="s">
        <v>139</v>
      </c>
      <c r="G21" s="180" t="e">
        <f>F21*(1+H21)</f>
        <v>#VALUE!</v>
      </c>
      <c r="H21" s="179">
        <v>0.1</v>
      </c>
      <c r="I21" s="222" t="s">
        <v>168</v>
      </c>
      <c r="J21" s="223"/>
    </row>
    <row r="22" ht="14.25" customHeight="1">
      <c r="A22" s="293" t="s">
        <v>118</v>
      </c>
      <c r="B22" s="152" t="s">
        <v>115</v>
      </c>
      <c r="C22" s="152"/>
      <c r="D22" s="179">
        <v>-0.1</v>
      </c>
      <c r="E22" s="180" t="e">
        <f>F22*(1+D22)</f>
        <v>#VALUE!</v>
      </c>
      <c r="F22" s="152" t="s">
        <v>161</v>
      </c>
      <c r="G22" s="180" t="e">
        <f>F22*(1+H22)</f>
        <v>#VALUE!</v>
      </c>
      <c r="H22" s="179">
        <v>0.1</v>
      </c>
      <c r="I22" s="222" t="s">
        <v>168</v>
      </c>
      <c r="J22" s="223"/>
    </row>
    <row r="23" ht="14.25" customHeight="1">
      <c r="A23" s="293" t="s">
        <v>119</v>
      </c>
      <c r="B23" s="152" t="s">
        <v>115</v>
      </c>
      <c r="C23" s="152"/>
      <c r="D23" s="179">
        <v>-0.1</v>
      </c>
      <c r="E23" s="180" t="e">
        <f>F23*(1+D23)</f>
        <v>#VALUE!</v>
      </c>
      <c r="F23" s="152" t="s">
        <v>162</v>
      </c>
      <c r="G23" s="180" t="e">
        <f>F23*(1+H23)</f>
        <v>#VALUE!</v>
      </c>
      <c r="H23" s="179">
        <v>0.1</v>
      </c>
      <c r="I23" s="222" t="s">
        <v>168</v>
      </c>
      <c r="J23" s="223"/>
    </row>
    <row r="24" ht="14.25" customHeight="1">
      <c r="A24" s="293" t="s">
        <v>216</v>
      </c>
      <c r="B24" s="152" t="s">
        <v>115</v>
      </c>
      <c r="C24" s="152"/>
      <c r="D24" s="179">
        <v>-0.1</v>
      </c>
      <c r="E24" s="180" t="e">
        <f>F24*(1+D24)</f>
        <v>#VALUE!</v>
      </c>
      <c r="F24" s="152" t="s">
        <v>163</v>
      </c>
      <c r="G24" s="180" t="e">
        <f>F24*(1+H24)</f>
        <v>#VALUE!</v>
      </c>
      <c r="H24" s="179">
        <v>0.1</v>
      </c>
      <c r="I24" s="222" t="s">
        <v>168</v>
      </c>
      <c r="J24" s="223"/>
    </row>
    <row r="25" ht="14.25" customHeight="1">
      <c r="A25" s="186" t="s">
        <v>108</v>
      </c>
      <c r="D25" s="188"/>
      <c r="J25" s="187"/>
    </row>
    <row r="26" ht="12.75" customHeight="1">
      <c r="A26" s="155"/>
      <c r="B26" s="156"/>
      <c r="C26" s="156"/>
      <c r="D26" s="156"/>
      <c r="E26" s="156"/>
      <c r="F26" s="156"/>
      <c r="G26" s="156"/>
      <c r="H26" s="156"/>
      <c r="I26" s="156"/>
      <c r="J26" s="156"/>
    </row>
  </sheetData>
  <autoFilter ref="A13:J13"/>
  <mergeCells>
    <mergeCell ref="A1:J1"/>
    <mergeCell ref="A2:J2"/>
  </mergeCells>
  <conditionalFormatting sqref="G16">
    <cfRule type="expression" dxfId="3" priority="2">
      <formula>$G16&lt;10</formula>
    </cfRule>
  </conditionalFormatting>
  <conditionalFormatting sqref="E16">
    <cfRule type="expression" dxfId="2" priority="1">
      <formula>$E16&lt;10</formula>
    </cfRule>
  </conditionalFormatting>
  <dataValidations count="5">
    <dataValidation type="decimal" allowBlank="1" showErrorMessage="1" errorTitle="Error" error="Minimum percent value cannot be less than -100% or greater than 0%. " sqref="D14:D25">
      <formula1>-1</formula1>
      <formula2>0</formula2>
    </dataValidation>
    <dataValidation type="whole" showInputMessage="1" showErrorMessage="1" errorTitle="Error" error="Number of iterations: Min = 5,000; Max = 50,000" sqref="D9">
      <formula1>5000</formula1>
      <formula2>50000</formula2>
    </dataValidation>
    <dataValidation type="decimal" operator="greaterThanOrEqual" allowBlank="1" showErrorMessage="1" errorTitle="Error" error="Maximum percent value cannot be less than 0%" sqref="J25 H14:H24">
      <formula1>0</formula1>
    </dataValidation>
    <dataValidation type="list" allowBlank="1" showInputMessage="1" showErrorMessage="1" sqref="D11">
      <formula1>"Yes, No"</formula1>
    </dataValidation>
    <dataValidation type="list" operator="greaterThanOrEqual" allowBlank="1" showInputMessage="1" showErrorMessage="1" errorTitle="Error" prompt="Included or excluded from risk analysis" sqref="I14:I24">
      <formula1>"Include,Exclude"</formula1>
    </dataValidation>
  </dataValidations>
  <pageMargins left="0.7" right="0.7" top="0.75" bottom="0.75" header="0.3" footer="0.3"/>
  <pageSetup scale="37" orientation="portrait" r:id="flId1"/>
  <drawing r:id="flId2"/>
  <legacyDrawing r:id="flId3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1">
    <tabColor rgb="FF92D050"/>
  </sheetPr>
  <dimension ref="A1:CP102"/>
  <sheetViews>
    <sheetView topLeftCell="A1" zoomScale="75" zoomScaleNormal="75" workbookViewId="0">
      <pane xSplit="2" ySplit="10" topLeftCell="C11" activePane="bottomRight" state="frozen"/>
      <selection pane="bottomRight" activeCell="A1" sqref="A1:AF1"/>
    </sheetView>
  </sheetViews>
  <sheetFormatPr defaultColWidth="9.125" defaultRowHeight="12.75"/>
  <cols>
    <col min="1" max="2" width="20.625" style="173" customWidth="1"/>
    <col min="3" max="94" width="14.625" style="173" customWidth="1"/>
    <col min="95" max="16384" width="9.125" style="173"/>
  </cols>
  <sheetData>
    <row r="1" ht="29.25" customHeight="1">
      <c r="A1" s="327" t="s">
        <v>54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  <c r="O1" s="327"/>
      <c r="P1" s="327"/>
      <c r="Q1" s="327"/>
      <c r="R1" s="327"/>
      <c r="S1" s="327"/>
      <c r="T1" s="327"/>
      <c r="U1" s="327"/>
      <c r="V1" s="327"/>
      <c r="W1" s="327"/>
      <c r="X1" s="327"/>
      <c r="Y1" s="327"/>
      <c r="Z1" s="327"/>
      <c r="AA1" s="327"/>
      <c r="AB1" s="327"/>
      <c r="AC1" s="327"/>
      <c r="AD1" s="327"/>
      <c r="AE1" s="327"/>
      <c r="AF1" s="327"/>
      <c r="AG1" s="240"/>
      <c r="AH1" s="240"/>
      <c r="AI1" s="240"/>
      <c r="AJ1" s="240"/>
      <c r="AK1" s="240"/>
      <c r="AL1" s="240"/>
      <c r="AM1" s="240"/>
      <c r="AN1" s="240"/>
      <c r="AO1" s="240"/>
      <c r="AP1" s="240"/>
      <c r="AQ1" s="240"/>
      <c r="AR1" s="240"/>
      <c r="AS1" s="240"/>
      <c r="AT1" s="240"/>
      <c r="AU1" s="240"/>
      <c r="AV1" s="240"/>
      <c r="AW1" s="240"/>
      <c r="AX1" s="240"/>
      <c r="AY1" s="240"/>
      <c r="AZ1" s="240"/>
      <c r="BA1" s="240"/>
      <c r="BB1" s="240"/>
      <c r="BC1" s="240"/>
      <c r="BD1" s="240"/>
      <c r="BE1" s="240"/>
      <c r="BF1" s="240"/>
      <c r="BG1" s="240"/>
      <c r="BH1" s="240"/>
      <c r="BI1" s="240"/>
      <c r="BJ1" s="240"/>
      <c r="BK1" s="240"/>
      <c r="BL1" s="240"/>
      <c r="BM1" s="240"/>
      <c r="BN1" s="240"/>
      <c r="BO1" s="240"/>
      <c r="BP1" s="240"/>
      <c r="BQ1" s="240"/>
      <c r="BR1" s="240"/>
      <c r="BS1" s="240"/>
      <c r="BT1" s="240"/>
      <c r="BU1" s="240"/>
      <c r="BV1" s="240"/>
      <c r="BW1" s="240"/>
      <c r="BX1" s="240"/>
      <c r="BY1" s="240"/>
      <c r="BZ1" s="240"/>
      <c r="CA1" s="240"/>
      <c r="CB1" s="240"/>
      <c r="CC1" s="240"/>
      <c r="CD1" s="240"/>
      <c r="CE1" s="240"/>
      <c r="CF1" s="240"/>
      <c r="CG1" s="240"/>
      <c r="CH1" s="240"/>
      <c r="CI1" s="240"/>
      <c r="CJ1" s="240"/>
      <c r="CK1" s="240"/>
      <c r="CL1" s="240"/>
      <c r="CM1" s="240"/>
      <c r="CN1" s="240"/>
      <c r="CO1" s="240"/>
      <c r="CP1" s="242"/>
    </row>
    <row r="2" ht="35.25" customHeight="1">
      <c r="B2" s="233"/>
      <c r="C2" s="233"/>
      <c r="D2" s="233"/>
      <c r="E2" s="233"/>
      <c r="F2" s="233"/>
      <c r="G2" s="233"/>
      <c r="H2" s="233"/>
      <c r="I2" s="233"/>
      <c r="J2" s="233"/>
      <c r="K2" s="233"/>
      <c r="M2" s="233"/>
      <c r="N2" s="233"/>
      <c r="O2" s="326" t="s">
        <v>88</v>
      </c>
      <c r="P2" s="326"/>
      <c r="Q2" s="326"/>
      <c r="R2" s="233"/>
      <c r="S2" s="233"/>
      <c r="T2" s="233"/>
      <c r="U2" s="233"/>
      <c r="V2" s="233"/>
      <c r="W2" s="233"/>
      <c r="X2" s="233"/>
      <c r="Y2" s="238"/>
      <c r="Z2" s="238"/>
      <c r="AA2" s="239"/>
      <c r="AB2" s="239"/>
      <c r="AC2" s="239"/>
      <c r="AD2" s="239"/>
      <c r="AE2" s="239"/>
      <c r="AF2" s="239"/>
      <c r="AG2" s="240"/>
      <c r="AH2" s="240"/>
      <c r="AI2" s="240"/>
      <c r="AJ2" s="240"/>
      <c r="AK2" s="240"/>
      <c r="AL2" s="240"/>
      <c r="AM2" s="240"/>
      <c r="AN2" s="240"/>
      <c r="AO2" s="240"/>
      <c r="AP2" s="240"/>
      <c r="AQ2" s="240"/>
      <c r="AR2" s="240"/>
      <c r="AS2" s="240"/>
      <c r="AT2" s="240"/>
      <c r="AU2" s="240"/>
      <c r="AV2" s="240"/>
      <c r="AW2" s="240"/>
      <c r="AX2" s="240"/>
      <c r="AY2" s="240"/>
      <c r="AZ2" s="240"/>
      <c r="BA2" s="240"/>
      <c r="BB2" s="240"/>
      <c r="BC2" s="240"/>
      <c r="BD2" s="240"/>
      <c r="BE2" s="240"/>
      <c r="BF2" s="240"/>
      <c r="BG2" s="240"/>
      <c r="BH2" s="240"/>
      <c r="BI2" s="240"/>
      <c r="BJ2" s="240"/>
      <c r="BK2" s="240"/>
      <c r="BL2" s="240"/>
      <c r="BM2" s="240"/>
      <c r="BN2" s="240"/>
      <c r="BO2" s="240"/>
      <c r="BP2" s="240"/>
      <c r="BQ2" s="240"/>
      <c r="BR2" s="240"/>
      <c r="BS2" s="240"/>
      <c r="BT2" s="240"/>
      <c r="BU2" s="240"/>
      <c r="BV2" s="240"/>
      <c r="BW2" s="240"/>
      <c r="BX2" s="240"/>
      <c r="BY2" s="240"/>
      <c r="BZ2" s="240"/>
      <c r="CA2" s="240"/>
      <c r="CB2" s="240"/>
      <c r="CC2" s="240"/>
      <c r="CD2" s="240"/>
      <c r="CE2" s="240"/>
      <c r="CF2" s="240"/>
      <c r="CG2" s="240"/>
      <c r="CH2" s="240"/>
      <c r="CI2" s="240"/>
      <c r="CJ2" s="240"/>
      <c r="CK2" s="240"/>
      <c r="CL2" s="240"/>
      <c r="CM2" s="240"/>
      <c r="CN2" s="240"/>
      <c r="CO2" s="240"/>
      <c r="CP2" s="242"/>
    </row>
    <row r="3" ht="15" customHeight="1">
      <c r="A3" s="135" t="s">
        <v>0</v>
      </c>
      <c r="B3" s="136" t="s">
        <v>120</v>
      </c>
      <c r="C3" s="136"/>
      <c r="D3" s="137"/>
      <c r="E3" s="137"/>
      <c r="F3" s="137"/>
      <c r="G3" s="165"/>
      <c r="H3" s="165"/>
      <c r="I3" s="177"/>
      <c r="J3" s="177"/>
      <c r="K3" s="177"/>
      <c r="L3" s="289" t="s">
        <v>243</v>
      </c>
      <c r="M3" s="290"/>
      <c r="N3" s="290"/>
      <c r="O3" s="290"/>
      <c r="P3" s="290"/>
      <c r="Q3" s="290"/>
      <c r="R3" s="290"/>
      <c r="S3" s="291"/>
      <c r="T3" s="177"/>
      <c r="U3" s="177"/>
      <c r="V3" s="177"/>
      <c r="W3" s="177"/>
      <c r="X3" s="177"/>
      <c r="Y3" s="240"/>
      <c r="Z3" s="240"/>
      <c r="AA3" s="240"/>
      <c r="AB3" s="240"/>
      <c r="AC3" s="240"/>
      <c r="AD3" s="240"/>
      <c r="AE3" s="240"/>
      <c r="AF3" s="240"/>
      <c r="AG3" s="240"/>
      <c r="AH3" s="240"/>
      <c r="AI3" s="240"/>
      <c r="AJ3" s="240"/>
      <c r="AK3" s="240"/>
      <c r="AL3" s="240"/>
      <c r="AM3" s="240"/>
      <c r="AN3" s="240"/>
      <c r="AO3" s="240"/>
      <c r="AP3" s="240"/>
      <c r="AQ3" s="240"/>
      <c r="AR3" s="240"/>
      <c r="AS3" s="240"/>
      <c r="AT3" s="240"/>
      <c r="AU3" s="240"/>
      <c r="AV3" s="240"/>
      <c r="AW3" s="240"/>
      <c r="AX3" s="240"/>
      <c r="AY3" s="240"/>
      <c r="AZ3" s="240"/>
      <c r="BA3" s="240"/>
      <c r="BB3" s="240"/>
      <c r="BC3" s="240"/>
      <c r="BD3" s="240"/>
      <c r="BE3" s="240"/>
      <c r="BF3" s="240"/>
      <c r="BG3" s="240"/>
      <c r="BH3" s="240"/>
      <c r="BI3" s="240"/>
      <c r="BJ3" s="240"/>
      <c r="BK3" s="240"/>
      <c r="BL3" s="240"/>
      <c r="BM3" s="240"/>
      <c r="BN3" s="240"/>
      <c r="BO3" s="240"/>
      <c r="BP3" s="240"/>
      <c r="BQ3" s="240"/>
      <c r="BR3" s="240"/>
      <c r="BS3" s="240"/>
      <c r="BT3" s="240"/>
      <c r="BU3" s="240"/>
      <c r="BV3" s="240"/>
      <c r="BW3" s="240"/>
      <c r="BX3" s="240"/>
      <c r="BY3" s="240"/>
      <c r="BZ3" s="240"/>
      <c r="CA3" s="240"/>
      <c r="CB3" s="240"/>
      <c r="CC3" s="240"/>
      <c r="CD3" s="240"/>
      <c r="CE3" s="240"/>
      <c r="CF3" s="240"/>
      <c r="CG3" s="240"/>
      <c r="CH3" s="240"/>
      <c r="CI3" s="240"/>
      <c r="CJ3" s="240"/>
      <c r="CK3" s="240"/>
      <c r="CL3" s="240"/>
      <c r="CM3" s="240"/>
      <c r="CN3" s="240"/>
      <c r="CO3" s="240"/>
      <c r="CP3" s="242"/>
    </row>
    <row r="4" ht="15" customHeight="1">
      <c r="A4" s="139" t="s">
        <v>1</v>
      </c>
      <c r="B4" s="140" t="s">
        <v>121</v>
      </c>
      <c r="C4" s="140"/>
      <c r="D4" s="141" t="s">
        <v>2</v>
      </c>
      <c r="E4" s="140" t="s">
        <v>124</v>
      </c>
      <c r="F4" s="137"/>
      <c r="G4" s="165"/>
      <c r="H4" s="143"/>
      <c r="I4" s="177"/>
      <c r="J4" s="177"/>
      <c r="K4" s="178"/>
      <c r="L4" s="292" t="s">
        <v>132</v>
      </c>
      <c r="M4" s="191"/>
      <c r="N4" s="191"/>
      <c r="O4" s="191"/>
      <c r="P4" s="191"/>
      <c r="Q4" s="191"/>
      <c r="R4" s="191"/>
      <c r="S4" s="192"/>
      <c r="T4" s="177"/>
      <c r="U4" s="177"/>
      <c r="V4" s="177"/>
      <c r="W4" s="177"/>
      <c r="X4" s="177"/>
      <c r="Y4" s="240"/>
      <c r="Z4" s="240"/>
      <c r="AA4" s="240"/>
      <c r="AB4" s="240"/>
      <c r="AC4" s="240"/>
      <c r="AD4" s="240"/>
      <c r="AE4" s="240"/>
      <c r="AF4" s="240"/>
      <c r="AG4" s="240"/>
      <c r="AH4" s="240"/>
      <c r="AI4" s="240"/>
      <c r="AJ4" s="240"/>
      <c r="AK4" s="240"/>
      <c r="AL4" s="240"/>
      <c r="AM4" s="240"/>
      <c r="AN4" s="240"/>
      <c r="AO4" s="240"/>
      <c r="AP4" s="240"/>
      <c r="AQ4" s="240"/>
      <c r="AR4" s="240"/>
      <c r="AS4" s="240"/>
      <c r="AT4" s="240"/>
      <c r="AU4" s="240"/>
      <c r="AV4" s="240"/>
      <c r="AW4" s="240"/>
      <c r="AX4" s="240"/>
      <c r="AY4" s="240"/>
      <c r="AZ4" s="240"/>
      <c r="BA4" s="240"/>
      <c r="BB4" s="240"/>
      <c r="BC4" s="240"/>
      <c r="BD4" s="240"/>
      <c r="BE4" s="240"/>
      <c r="BF4" s="240"/>
      <c r="BG4" s="240"/>
      <c r="BH4" s="240"/>
      <c r="BI4" s="240"/>
      <c r="BJ4" s="240"/>
      <c r="BK4" s="240"/>
      <c r="BL4" s="240"/>
      <c r="BM4" s="240"/>
      <c r="BN4" s="240"/>
      <c r="BO4" s="240"/>
      <c r="BP4" s="240"/>
      <c r="BQ4" s="240"/>
      <c r="BR4" s="240"/>
      <c r="BS4" s="240"/>
      <c r="BT4" s="240"/>
      <c r="BU4" s="240"/>
      <c r="BV4" s="240"/>
      <c r="BW4" s="240"/>
      <c r="BX4" s="240"/>
      <c r="BY4" s="240"/>
      <c r="BZ4" s="240"/>
      <c r="CA4" s="240"/>
      <c r="CB4" s="240"/>
      <c r="CC4" s="240"/>
      <c r="CD4" s="240"/>
      <c r="CE4" s="240"/>
      <c r="CF4" s="240"/>
      <c r="CG4" s="240"/>
      <c r="CH4" s="240"/>
      <c r="CI4" s="240"/>
      <c r="CJ4" s="240"/>
      <c r="CK4" s="240"/>
      <c r="CL4" s="240"/>
      <c r="CM4" s="240"/>
      <c r="CN4" s="240"/>
      <c r="CO4" s="240"/>
      <c r="CP4" s="242"/>
    </row>
    <row r="5" ht="15" customHeight="1">
      <c r="A5" s="135" t="s">
        <v>3</v>
      </c>
      <c r="B5" s="136" t="s">
        <v>122</v>
      </c>
      <c r="C5" s="136"/>
      <c r="D5" s="145" t="s">
        <v>4</v>
      </c>
      <c r="E5" s="140" t="s">
        <v>125</v>
      </c>
      <c r="F5" s="143"/>
      <c r="G5" s="143"/>
      <c r="H5" s="143"/>
      <c r="I5" s="177"/>
      <c r="J5" s="177"/>
      <c r="K5" s="178"/>
      <c r="L5" s="292" t="s">
        <v>133</v>
      </c>
      <c r="M5" s="189"/>
      <c r="N5" s="190"/>
      <c r="O5" s="190"/>
      <c r="P5" s="191"/>
      <c r="Q5" s="191"/>
      <c r="R5" s="191"/>
      <c r="S5" s="192"/>
      <c r="T5" s="177"/>
      <c r="U5" s="177"/>
      <c r="V5" s="177"/>
      <c r="W5" s="177"/>
      <c r="X5" s="177"/>
      <c r="Y5" s="240"/>
      <c r="Z5" s="240"/>
      <c r="AA5" s="240"/>
      <c r="AB5" s="240"/>
      <c r="AC5" s="240"/>
      <c r="AD5" s="240"/>
      <c r="AE5" s="240"/>
      <c r="AF5" s="240"/>
      <c r="AG5" s="240"/>
      <c r="AH5" s="240"/>
      <c r="AI5" s="240"/>
      <c r="AJ5" s="240"/>
      <c r="AK5" s="240"/>
      <c r="AL5" s="240"/>
      <c r="AM5" s="240"/>
      <c r="AN5" s="240"/>
      <c r="AO5" s="240"/>
      <c r="AP5" s="240"/>
      <c r="AQ5" s="240"/>
      <c r="AR5" s="240"/>
      <c r="AS5" s="240"/>
      <c r="AT5" s="240"/>
      <c r="AU5" s="240"/>
      <c r="AV5" s="240"/>
      <c r="AW5" s="240"/>
      <c r="AX5" s="240"/>
      <c r="AY5" s="240"/>
      <c r="AZ5" s="240"/>
      <c r="BA5" s="240"/>
      <c r="BB5" s="240"/>
      <c r="BC5" s="240"/>
      <c r="BD5" s="240"/>
      <c r="BE5" s="240"/>
      <c r="BF5" s="240"/>
      <c r="BG5" s="240"/>
      <c r="BH5" s="240"/>
      <c r="BI5" s="240"/>
      <c r="BJ5" s="240"/>
      <c r="BK5" s="240"/>
      <c r="BL5" s="240"/>
      <c r="BM5" s="240"/>
      <c r="BN5" s="240"/>
      <c r="BO5" s="240"/>
      <c r="BP5" s="240"/>
      <c r="BQ5" s="240"/>
      <c r="BR5" s="240"/>
      <c r="BS5" s="240"/>
      <c r="BT5" s="240"/>
      <c r="BU5" s="240"/>
      <c r="BV5" s="240"/>
      <c r="BW5" s="240"/>
      <c r="BX5" s="240"/>
      <c r="BY5" s="240"/>
      <c r="BZ5" s="240"/>
      <c r="CA5" s="240"/>
      <c r="CB5" s="240"/>
      <c r="CC5" s="240"/>
      <c r="CD5" s="240"/>
      <c r="CE5" s="240"/>
      <c r="CF5" s="240"/>
      <c r="CG5" s="240"/>
      <c r="CH5" s="240"/>
      <c r="CI5" s="240"/>
      <c r="CJ5" s="240"/>
      <c r="CK5" s="240"/>
      <c r="CL5" s="240"/>
      <c r="CM5" s="240"/>
      <c r="CN5" s="240"/>
      <c r="CO5" s="240"/>
      <c r="CP5" s="242"/>
    </row>
    <row r="6" ht="15" customHeight="1">
      <c r="A6" s="135" t="s">
        <v>6</v>
      </c>
      <c r="B6" s="136" t="s">
        <v>123</v>
      </c>
      <c r="C6" s="136"/>
      <c r="D6" s="145" t="s">
        <v>7</v>
      </c>
      <c r="E6" s="136" t="s">
        <v>126</v>
      </c>
      <c r="F6" s="143"/>
      <c r="G6" s="143"/>
      <c r="H6" s="143"/>
      <c r="I6" s="177"/>
      <c r="J6" s="177"/>
      <c r="K6" s="178"/>
      <c r="L6" s="292" t="s">
        <v>238</v>
      </c>
      <c r="M6" s="197"/>
      <c r="N6" s="191"/>
      <c r="O6" s="191"/>
      <c r="P6" s="191"/>
      <c r="Q6" s="191"/>
      <c r="R6" s="191"/>
      <c r="S6" s="192"/>
      <c r="T6" s="177"/>
      <c r="U6" s="177"/>
      <c r="V6" s="177"/>
      <c r="W6" s="177"/>
      <c r="X6" s="177"/>
      <c r="Y6" s="240"/>
      <c r="Z6" s="240"/>
      <c r="AA6" s="240"/>
      <c r="AB6" s="240"/>
      <c r="AC6" s="240"/>
      <c r="AD6" s="240"/>
      <c r="AE6" s="240"/>
      <c r="AF6" s="240"/>
      <c r="AG6" s="240"/>
      <c r="AH6" s="240"/>
      <c r="AI6" s="240"/>
      <c r="AJ6" s="240"/>
      <c r="AK6" s="240"/>
      <c r="AL6" s="240"/>
      <c r="AM6" s="240"/>
      <c r="AN6" s="240"/>
      <c r="AO6" s="240"/>
      <c r="AP6" s="240"/>
      <c r="AQ6" s="240"/>
      <c r="AR6" s="240"/>
      <c r="AS6" s="240"/>
      <c r="AT6" s="240"/>
      <c r="AU6" s="240"/>
      <c r="AV6" s="240"/>
      <c r="AW6" s="240"/>
      <c r="AX6" s="240"/>
      <c r="AY6" s="240"/>
      <c r="AZ6" s="240"/>
      <c r="BA6" s="240"/>
      <c r="BB6" s="240"/>
      <c r="BC6" s="240"/>
      <c r="BD6" s="240"/>
      <c r="BE6" s="240"/>
      <c r="BF6" s="240"/>
      <c r="BG6" s="240"/>
      <c r="BH6" s="240"/>
      <c r="BI6" s="240"/>
      <c r="BJ6" s="240"/>
      <c r="BK6" s="240"/>
      <c r="BL6" s="240"/>
      <c r="BM6" s="240"/>
      <c r="BN6" s="240"/>
      <c r="BO6" s="240"/>
      <c r="BP6" s="240"/>
      <c r="BQ6" s="240"/>
      <c r="BR6" s="240"/>
      <c r="BS6" s="240"/>
      <c r="BT6" s="240"/>
      <c r="BU6" s="240"/>
      <c r="BV6" s="240"/>
      <c r="BW6" s="240"/>
      <c r="BX6" s="240"/>
      <c r="BY6" s="240"/>
      <c r="BZ6" s="240"/>
      <c r="CA6" s="240"/>
      <c r="CB6" s="240"/>
      <c r="CC6" s="240"/>
      <c r="CD6" s="240"/>
      <c r="CE6" s="240"/>
      <c r="CF6" s="240"/>
      <c r="CG6" s="240"/>
      <c r="CH6" s="240"/>
      <c r="CI6" s="240"/>
      <c r="CJ6" s="240"/>
      <c r="CK6" s="240"/>
      <c r="CL6" s="240"/>
      <c r="CM6" s="240"/>
      <c r="CN6" s="240"/>
      <c r="CO6" s="240"/>
      <c r="CP6" s="242"/>
    </row>
    <row r="7" ht="15" customHeight="1">
      <c r="A7" s="196" t="s">
        <v>8</v>
      </c>
      <c r="B7" s="136" t="s">
        <v>128</v>
      </c>
      <c r="C7" s="136"/>
      <c r="D7" s="145" t="s">
        <v>5</v>
      </c>
      <c r="E7" s="140" t="s">
        <v>127</v>
      </c>
      <c r="F7" s="143"/>
      <c r="G7" s="143"/>
      <c r="H7" s="143"/>
      <c r="I7" s="177"/>
      <c r="J7" s="177"/>
      <c r="K7" s="177"/>
      <c r="L7" s="193" t="s">
        <v>239</v>
      </c>
      <c r="M7" s="194"/>
      <c r="N7" s="194"/>
      <c r="O7" s="194"/>
      <c r="P7" s="194"/>
      <c r="Q7" s="194"/>
      <c r="R7" s="194"/>
      <c r="S7" s="195"/>
      <c r="T7" s="177"/>
      <c r="U7" s="177"/>
      <c r="V7" s="177"/>
      <c r="W7" s="177"/>
      <c r="X7" s="177"/>
      <c r="Y7" s="240"/>
      <c r="Z7" s="240"/>
      <c r="AA7" s="240"/>
      <c r="AB7" s="240"/>
      <c r="AC7" s="240"/>
      <c r="AD7" s="240"/>
      <c r="AE7" s="240"/>
      <c r="AF7" s="240"/>
      <c r="AG7" s="240"/>
      <c r="AH7" s="240"/>
      <c r="AI7" s="240"/>
      <c r="AJ7" s="240"/>
      <c r="AK7" s="240"/>
      <c r="AL7" s="240"/>
      <c r="AM7" s="240"/>
      <c r="AN7" s="240"/>
      <c r="AO7" s="240"/>
      <c r="AP7" s="240"/>
      <c r="AQ7" s="240"/>
      <c r="AR7" s="240"/>
      <c r="AS7" s="240"/>
      <c r="AT7" s="240"/>
      <c r="AU7" s="240"/>
      <c r="AV7" s="240"/>
      <c r="AW7" s="240"/>
      <c r="AX7" s="240"/>
      <c r="AY7" s="240"/>
      <c r="AZ7" s="240"/>
      <c r="BA7" s="240"/>
      <c r="BB7" s="240"/>
      <c r="BC7" s="240"/>
      <c r="BD7" s="240"/>
      <c r="BE7" s="240"/>
      <c r="BF7" s="240"/>
      <c r="BG7" s="240"/>
      <c r="BH7" s="240"/>
      <c r="BI7" s="240"/>
      <c r="BJ7" s="240"/>
      <c r="BK7" s="240"/>
      <c r="BL7" s="240"/>
      <c r="BM7" s="240"/>
      <c r="BN7" s="240"/>
      <c r="BO7" s="240"/>
      <c r="BP7" s="240"/>
      <c r="BQ7" s="240"/>
      <c r="BR7" s="240"/>
      <c r="BS7" s="240"/>
      <c r="BT7" s="240"/>
      <c r="BU7" s="240"/>
      <c r="BV7" s="240"/>
      <c r="BW7" s="240"/>
      <c r="BX7" s="240"/>
      <c r="BY7" s="240"/>
      <c r="BZ7" s="240"/>
      <c r="CA7" s="240"/>
      <c r="CB7" s="240"/>
      <c r="CC7" s="240"/>
      <c r="CD7" s="240"/>
      <c r="CE7" s="240"/>
      <c r="CF7" s="240"/>
      <c r="CG7" s="240"/>
      <c r="CH7" s="240"/>
      <c r="CI7" s="240"/>
      <c r="CJ7" s="240"/>
      <c r="CK7" s="240"/>
      <c r="CL7" s="240"/>
      <c r="CM7" s="240"/>
      <c r="CN7" s="240"/>
      <c r="CO7" s="240"/>
      <c r="CP7" s="242"/>
    </row>
    <row r="8" ht="15" customHeight="1">
      <c r="A8" s="146" t="s">
        <v>229</v>
      </c>
      <c r="B8" s="176" t="str">
        <f ca="1">'Positive Definiteness Check'!B8</f>
        <v>Positive</v>
      </c>
      <c r="C8" s="136"/>
      <c r="D8" s="145"/>
      <c r="E8" s="140"/>
      <c r="F8" s="143"/>
      <c r="G8" s="143"/>
      <c r="H8" s="143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77"/>
      <c r="U8" s="177"/>
      <c r="V8" s="177"/>
      <c r="W8" s="177"/>
      <c r="X8" s="177"/>
      <c r="Y8" s="241"/>
      <c r="Z8" s="241"/>
      <c r="AA8" s="241"/>
      <c r="AB8" s="241"/>
      <c r="AC8" s="241"/>
      <c r="AD8" s="241"/>
      <c r="AE8" s="241"/>
      <c r="AF8" s="241"/>
      <c r="AG8" s="241"/>
      <c r="AH8" s="241"/>
      <c r="AI8" s="241"/>
      <c r="AJ8" s="241"/>
      <c r="AK8" s="241"/>
      <c r="AL8" s="241"/>
      <c r="AM8" s="241"/>
      <c r="AN8" s="241"/>
      <c r="AO8" s="241"/>
      <c r="AP8" s="241"/>
      <c r="AQ8" s="241"/>
      <c r="AR8" s="241"/>
      <c r="AS8" s="241"/>
      <c r="AT8" s="241"/>
      <c r="AU8" s="241"/>
      <c r="AV8" s="241"/>
      <c r="AW8" s="241"/>
      <c r="AX8" s="241"/>
      <c r="AY8" s="241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41"/>
      <c r="BU8" s="241"/>
      <c r="BV8" s="241"/>
      <c r="BW8" s="241"/>
      <c r="BX8" s="241"/>
      <c r="BY8" s="241"/>
      <c r="BZ8" s="241"/>
      <c r="CA8" s="241"/>
      <c r="CB8" s="241"/>
      <c r="CC8" s="241"/>
      <c r="CD8" s="241"/>
      <c r="CE8" s="241"/>
      <c r="CF8" s="241"/>
      <c r="CG8" s="241"/>
      <c r="CH8" s="241"/>
      <c r="CI8" s="241"/>
      <c r="CJ8" s="241"/>
      <c r="CK8" s="241"/>
      <c r="CL8" s="241"/>
      <c r="CM8" s="241"/>
      <c r="CN8" s="241"/>
      <c r="CO8" s="241"/>
      <c r="CP8" s="243"/>
    </row>
    <row r="9" ht="32.1" customHeight="1">
      <c r="A9" s="215" t="s">
        <v>10</v>
      </c>
      <c r="B9" s="215"/>
      <c r="C9" s="224" t="s">
        <v>171</v>
      </c>
      <c r="D9" s="224" t="s">
        <v>172</v>
      </c>
      <c r="E9" s="225" t="s">
        <v>175</v>
      </c>
      <c r="F9" s="225" t="s">
        <v>173</v>
      </c>
      <c r="G9" s="225" t="s">
        <v>176</v>
      </c>
      <c r="H9" s="226" t="s">
        <v>177</v>
      </c>
      <c r="I9" s="226" t="s">
        <v>179</v>
      </c>
      <c r="J9" s="226" t="s">
        <v>189</v>
      </c>
      <c r="K9" s="226" t="s">
        <v>178</v>
      </c>
      <c r="L9" s="226" t="s">
        <v>190</v>
      </c>
      <c r="M9" s="225" t="s">
        <v>85</v>
      </c>
      <c r="N9" s="225" t="s">
        <v>227</v>
      </c>
      <c r="O9" s="225" t="s">
        <v>191</v>
      </c>
      <c r="P9" s="225" t="s">
        <v>180</v>
      </c>
      <c r="Q9" s="225" t="s">
        <v>181</v>
      </c>
      <c r="R9" s="225" t="s">
        <v>182</v>
      </c>
      <c r="S9" s="226" t="s">
        <v>184</v>
      </c>
      <c r="T9" s="226" t="s">
        <v>183</v>
      </c>
      <c r="U9" s="226" t="s">
        <v>192</v>
      </c>
      <c r="V9" s="226" t="s">
        <v>193</v>
      </c>
      <c r="W9" s="226" t="s">
        <v>194</v>
      </c>
      <c r="X9" s="225" t="s">
        <v>84</v>
      </c>
      <c r="Y9" s="234" t="s">
        <v>175</v>
      </c>
      <c r="Z9" s="234" t="s">
        <v>173</v>
      </c>
      <c r="AA9" s="234" t="s">
        <v>176</v>
      </c>
      <c r="AB9" s="234" t="s">
        <v>177</v>
      </c>
      <c r="AC9" s="234" t="s">
        <v>179</v>
      </c>
      <c r="AD9" s="234" t="s">
        <v>189</v>
      </c>
      <c r="AE9" s="234" t="s">
        <v>178</v>
      </c>
      <c r="AF9" s="234" t="s">
        <v>190</v>
      </c>
      <c r="AG9" s="234" t="s">
        <v>85</v>
      </c>
      <c r="AH9" s="234" t="s">
        <v>227</v>
      </c>
      <c r="AI9" s="234" t="s">
        <v>191</v>
      </c>
      <c r="AJ9" s="234" t="s">
        <v>180</v>
      </c>
      <c r="AK9" s="234" t="s">
        <v>181</v>
      </c>
      <c r="AL9" s="234" t="s">
        <v>182</v>
      </c>
      <c r="AM9" s="234" t="s">
        <v>184</v>
      </c>
      <c r="AN9" s="234" t="s">
        <v>183</v>
      </c>
      <c r="AO9" s="234" t="s">
        <v>192</v>
      </c>
      <c r="AP9" s="234" t="s">
        <v>193</v>
      </c>
      <c r="AQ9" s="234" t="s">
        <v>194</v>
      </c>
      <c r="AR9" s="234" t="s">
        <v>84</v>
      </c>
      <c r="AS9" s="235" t="s">
        <v>171</v>
      </c>
      <c r="AT9" s="235" t="s">
        <v>172</v>
      </c>
      <c r="AU9" s="235" t="s">
        <v>175</v>
      </c>
      <c r="AV9" s="235" t="s">
        <v>173</v>
      </c>
      <c r="AW9" s="235" t="s">
        <v>176</v>
      </c>
      <c r="AX9" s="235" t="s">
        <v>177</v>
      </c>
      <c r="AY9" s="235" t="s">
        <v>179</v>
      </c>
      <c r="AZ9" s="235" t="s">
        <v>189</v>
      </c>
      <c r="BA9" s="235" t="s">
        <v>178</v>
      </c>
      <c r="BB9" s="235" t="s">
        <v>190</v>
      </c>
      <c r="BC9" s="235" t="s">
        <v>85</v>
      </c>
      <c r="BD9" s="235" t="s">
        <v>227</v>
      </c>
      <c r="BE9" s="235" t="s">
        <v>191</v>
      </c>
      <c r="BF9" s="235" t="s">
        <v>180</v>
      </c>
      <c r="BG9" s="235" t="s">
        <v>181</v>
      </c>
      <c r="BH9" s="235" t="s">
        <v>182</v>
      </c>
      <c r="BI9" s="235" t="s">
        <v>184</v>
      </c>
      <c r="BJ9" s="235" t="s">
        <v>183</v>
      </c>
      <c r="BK9" s="235" t="s">
        <v>192</v>
      </c>
      <c r="BL9" s="235" t="s">
        <v>193</v>
      </c>
      <c r="BM9" s="235" t="s">
        <v>194</v>
      </c>
      <c r="BN9" s="235" t="s">
        <v>84</v>
      </c>
      <c r="BO9" s="236" t="s">
        <v>171</v>
      </c>
      <c r="BP9" s="236" t="s">
        <v>172</v>
      </c>
      <c r="BQ9" s="236" t="s">
        <v>175</v>
      </c>
      <c r="BR9" s="236" t="s">
        <v>173</v>
      </c>
      <c r="BS9" s="236" t="s">
        <v>176</v>
      </c>
      <c r="BT9" s="236" t="s">
        <v>177</v>
      </c>
      <c r="BU9" s="236" t="s">
        <v>179</v>
      </c>
      <c r="BV9" s="236" t="s">
        <v>189</v>
      </c>
      <c r="BW9" s="236" t="s">
        <v>178</v>
      </c>
      <c r="BX9" s="236" t="s">
        <v>190</v>
      </c>
      <c r="BY9" s="236" t="s">
        <v>85</v>
      </c>
      <c r="BZ9" s="236" t="s">
        <v>227</v>
      </c>
      <c r="CA9" s="236" t="s">
        <v>191</v>
      </c>
      <c r="CB9" s="236" t="s">
        <v>180</v>
      </c>
      <c r="CC9" s="236" t="s">
        <v>181</v>
      </c>
      <c r="CD9" s="236" t="s">
        <v>182</v>
      </c>
      <c r="CE9" s="236" t="s">
        <v>184</v>
      </c>
      <c r="CF9" s="236" t="s">
        <v>183</v>
      </c>
      <c r="CG9" s="236" t="s">
        <v>192</v>
      </c>
      <c r="CH9" s="236" t="s">
        <v>193</v>
      </c>
      <c r="CI9" s="236" t="s">
        <v>194</v>
      </c>
      <c r="CJ9" s="236" t="s">
        <v>84</v>
      </c>
      <c r="CK9" s="237" t="s">
        <v>115</v>
      </c>
      <c r="CL9" s="237" t="s">
        <v>115</v>
      </c>
      <c r="CM9" s="237" t="s">
        <v>115</v>
      </c>
      <c r="CN9" s="237" t="s">
        <v>115</v>
      </c>
      <c r="CO9" s="237" t="s">
        <v>115</v>
      </c>
      <c r="CP9" s="237" t="s">
        <v>115</v>
      </c>
    </row>
    <row r="10" ht="32.1" customHeight="1">
      <c r="A10" s="215"/>
      <c r="B10" s="215" t="s">
        <v>75</v>
      </c>
      <c r="C10" s="231" t="s">
        <v>87</v>
      </c>
      <c r="D10" s="231" t="s">
        <v>87</v>
      </c>
      <c r="E10" s="232" t="s">
        <v>174</v>
      </c>
      <c r="F10" s="232" t="s">
        <v>174</v>
      </c>
      <c r="G10" s="232" t="s">
        <v>174</v>
      </c>
      <c r="H10" s="232" t="s">
        <v>174</v>
      </c>
      <c r="I10" s="232" t="s">
        <v>174</v>
      </c>
      <c r="J10" s="232" t="s">
        <v>174</v>
      </c>
      <c r="K10" s="232" t="s">
        <v>174</v>
      </c>
      <c r="L10" s="232" t="s">
        <v>174</v>
      </c>
      <c r="M10" s="232" t="s">
        <v>174</v>
      </c>
      <c r="N10" s="232" t="s">
        <v>174</v>
      </c>
      <c r="O10" s="232" t="s">
        <v>174</v>
      </c>
      <c r="P10" s="232" t="s">
        <v>174</v>
      </c>
      <c r="Q10" s="232" t="s">
        <v>174</v>
      </c>
      <c r="R10" s="232" t="s">
        <v>174</v>
      </c>
      <c r="S10" s="232" t="s">
        <v>174</v>
      </c>
      <c r="T10" s="232" t="s">
        <v>174</v>
      </c>
      <c r="U10" s="232" t="s">
        <v>174</v>
      </c>
      <c r="V10" s="232" t="s">
        <v>174</v>
      </c>
      <c r="W10" s="232" t="s">
        <v>174</v>
      </c>
      <c r="X10" s="232" t="s">
        <v>174</v>
      </c>
      <c r="Y10" s="227" t="s">
        <v>185</v>
      </c>
      <c r="Z10" s="227" t="s">
        <v>185</v>
      </c>
      <c r="AA10" s="227" t="s">
        <v>185</v>
      </c>
      <c r="AB10" s="227" t="s">
        <v>185</v>
      </c>
      <c r="AC10" s="227" t="s">
        <v>185</v>
      </c>
      <c r="AD10" s="227" t="s">
        <v>185</v>
      </c>
      <c r="AE10" s="227" t="s">
        <v>185</v>
      </c>
      <c r="AF10" s="227" t="s">
        <v>185</v>
      </c>
      <c r="AG10" s="227" t="s">
        <v>185</v>
      </c>
      <c r="AH10" s="227" t="s">
        <v>185</v>
      </c>
      <c r="AI10" s="227" t="s">
        <v>185</v>
      </c>
      <c r="AJ10" s="227" t="s">
        <v>185</v>
      </c>
      <c r="AK10" s="227" t="s">
        <v>185</v>
      </c>
      <c r="AL10" s="227" t="s">
        <v>185</v>
      </c>
      <c r="AM10" s="227" t="s">
        <v>185</v>
      </c>
      <c r="AN10" s="227" t="s">
        <v>185</v>
      </c>
      <c r="AO10" s="227" t="s">
        <v>185</v>
      </c>
      <c r="AP10" s="227" t="s">
        <v>185</v>
      </c>
      <c r="AQ10" s="227" t="s">
        <v>185</v>
      </c>
      <c r="AR10" s="227" t="s">
        <v>185</v>
      </c>
      <c r="AS10" s="228" t="s">
        <v>86</v>
      </c>
      <c r="AT10" s="228" t="s">
        <v>86</v>
      </c>
      <c r="AU10" s="228" t="s">
        <v>86</v>
      </c>
      <c r="AV10" s="228" t="s">
        <v>86</v>
      </c>
      <c r="AW10" s="228" t="s">
        <v>86</v>
      </c>
      <c r="AX10" s="228" t="s">
        <v>86</v>
      </c>
      <c r="AY10" s="228" t="s">
        <v>86</v>
      </c>
      <c r="AZ10" s="228" t="s">
        <v>86</v>
      </c>
      <c r="BA10" s="228" t="s">
        <v>86</v>
      </c>
      <c r="BB10" s="228" t="s">
        <v>86</v>
      </c>
      <c r="BC10" s="228" t="s">
        <v>86</v>
      </c>
      <c r="BD10" s="228" t="s">
        <v>86</v>
      </c>
      <c r="BE10" s="228" t="s">
        <v>86</v>
      </c>
      <c r="BF10" s="228" t="s">
        <v>86</v>
      </c>
      <c r="BG10" s="228" t="s">
        <v>86</v>
      </c>
      <c r="BH10" s="228" t="s">
        <v>86</v>
      </c>
      <c r="BI10" s="228" t="s">
        <v>86</v>
      </c>
      <c r="BJ10" s="228" t="s">
        <v>86</v>
      </c>
      <c r="BK10" s="228" t="s">
        <v>86</v>
      </c>
      <c r="BL10" s="228" t="s">
        <v>86</v>
      </c>
      <c r="BM10" s="228" t="s">
        <v>86</v>
      </c>
      <c r="BN10" s="228" t="s">
        <v>86</v>
      </c>
      <c r="BO10" s="229" t="s">
        <v>83</v>
      </c>
      <c r="BP10" s="229" t="s">
        <v>83</v>
      </c>
      <c r="BQ10" s="229" t="s">
        <v>83</v>
      </c>
      <c r="BR10" s="229" t="s">
        <v>83</v>
      </c>
      <c r="BS10" s="229" t="s">
        <v>83</v>
      </c>
      <c r="BT10" s="229" t="s">
        <v>83</v>
      </c>
      <c r="BU10" s="229" t="s">
        <v>83</v>
      </c>
      <c r="BV10" s="229" t="s">
        <v>83</v>
      </c>
      <c r="BW10" s="229" t="s">
        <v>83</v>
      </c>
      <c r="BX10" s="229" t="s">
        <v>83</v>
      </c>
      <c r="BY10" s="229" t="s">
        <v>83</v>
      </c>
      <c r="BZ10" s="229" t="s">
        <v>83</v>
      </c>
      <c r="CA10" s="229" t="s">
        <v>83</v>
      </c>
      <c r="CB10" s="229" t="s">
        <v>83</v>
      </c>
      <c r="CC10" s="229" t="s">
        <v>83</v>
      </c>
      <c r="CD10" s="229" t="s">
        <v>83</v>
      </c>
      <c r="CE10" s="229" t="s">
        <v>83</v>
      </c>
      <c r="CF10" s="229" t="s">
        <v>83</v>
      </c>
      <c r="CG10" s="229" t="s">
        <v>83</v>
      </c>
      <c r="CH10" s="229" t="s">
        <v>83</v>
      </c>
      <c r="CI10" s="229" t="s">
        <v>83</v>
      </c>
      <c r="CJ10" s="229" t="s">
        <v>83</v>
      </c>
      <c r="CK10" s="230" t="s">
        <v>98</v>
      </c>
      <c r="CL10" s="230" t="s">
        <v>111</v>
      </c>
      <c r="CM10" s="230" t="s">
        <v>104</v>
      </c>
      <c r="CN10" s="230" t="s">
        <v>112</v>
      </c>
      <c r="CO10" s="230" t="s">
        <v>113</v>
      </c>
      <c r="CP10" s="230" t="s">
        <v>114</v>
      </c>
    </row>
    <row r="11" ht="12.75" customHeight="1">
      <c r="A11" s="217" t="s">
        <v>171</v>
      </c>
      <c r="B11" s="217" t="s">
        <v>87</v>
      </c>
      <c r="C11" s="212">
        <v>1</v>
      </c>
      <c r="D11" s="212"/>
      <c r="E11" s="212"/>
      <c r="F11" s="212"/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3"/>
      <c r="Z11" s="213"/>
      <c r="AA11" s="213"/>
      <c r="AB11" s="213"/>
      <c r="AC11" s="213"/>
      <c r="AD11" s="213"/>
      <c r="AE11" s="213"/>
      <c r="AF11" s="213"/>
      <c r="AG11" s="213"/>
      <c r="AH11" s="213"/>
      <c r="AI11" s="213"/>
      <c r="AJ11" s="213"/>
      <c r="AK11" s="213"/>
      <c r="AL11" s="213"/>
      <c r="AM11" s="213"/>
      <c r="AN11" s="213"/>
      <c r="AO11" s="213"/>
      <c r="AP11" s="213"/>
      <c r="AQ11" s="213"/>
      <c r="AR11" s="213"/>
      <c r="AS11" s="213"/>
      <c r="AT11" s="213"/>
      <c r="AU11" s="213"/>
      <c r="AV11" s="213"/>
      <c r="AW11" s="213"/>
      <c r="AX11" s="213"/>
      <c r="AY11" s="213"/>
      <c r="AZ11" s="213"/>
      <c r="BA11" s="213"/>
      <c r="BB11" s="213"/>
      <c r="BC11" s="213"/>
      <c r="BD11" s="213"/>
      <c r="BE11" s="213"/>
      <c r="BF11" s="213"/>
      <c r="BG11" s="213"/>
      <c r="BH11" s="213"/>
      <c r="BI11" s="213"/>
      <c r="BJ11" s="213"/>
      <c r="BK11" s="213"/>
      <c r="BL11" s="213"/>
      <c r="BM11" s="213"/>
      <c r="BN11" s="213"/>
      <c r="BO11" s="213"/>
      <c r="BP11" s="213"/>
      <c r="BQ11" s="213"/>
      <c r="BR11" s="213"/>
      <c r="BS11" s="213"/>
      <c r="BT11" s="213"/>
      <c r="BU11" s="213"/>
      <c r="BV11" s="213"/>
      <c r="BW11" s="213"/>
      <c r="BX11" s="213"/>
      <c r="BY11" s="213"/>
      <c r="BZ11" s="213"/>
      <c r="CA11" s="213"/>
      <c r="CB11" s="213"/>
      <c r="CC11" s="213"/>
      <c r="CD11" s="213"/>
      <c r="CE11" s="213"/>
      <c r="CF11" s="213"/>
      <c r="CG11" s="213"/>
      <c r="CH11" s="213"/>
      <c r="CI11" s="213"/>
      <c r="CJ11" s="213"/>
      <c r="CK11" s="213"/>
      <c r="CL11" s="213"/>
      <c r="CM11" s="213"/>
      <c r="CN11" s="213"/>
      <c r="CO11" s="213"/>
      <c r="CP11" s="213"/>
    </row>
    <row r="12" ht="12.75" customHeight="1">
      <c r="A12" s="217" t="s">
        <v>172</v>
      </c>
      <c r="B12" s="217" t="s">
        <v>87</v>
      </c>
      <c r="C12" s="174">
        <v>0</v>
      </c>
      <c r="D12" s="212">
        <v>1</v>
      </c>
      <c r="E12" s="212"/>
      <c r="F12" s="212"/>
      <c r="G12" s="212"/>
      <c r="H12" s="212"/>
      <c r="I12" s="212"/>
      <c r="J12" s="212"/>
      <c r="K12" s="212"/>
      <c r="L12" s="212"/>
      <c r="M12" s="212"/>
      <c r="N12" s="212"/>
      <c r="O12" s="212"/>
      <c r="P12" s="212"/>
      <c r="Q12" s="212"/>
      <c r="R12" s="212"/>
      <c r="S12" s="212"/>
      <c r="T12" s="212"/>
      <c r="U12" s="212"/>
      <c r="V12" s="212"/>
      <c r="W12" s="212"/>
      <c r="X12" s="212"/>
      <c r="Y12" s="213"/>
      <c r="Z12" s="213"/>
      <c r="AA12" s="213"/>
      <c r="AB12" s="213"/>
      <c r="AC12" s="213"/>
      <c r="AD12" s="213"/>
      <c r="AE12" s="213"/>
      <c r="AF12" s="213"/>
      <c r="AG12" s="213"/>
      <c r="AH12" s="213"/>
      <c r="AI12" s="213"/>
      <c r="AJ12" s="213"/>
      <c r="AK12" s="213"/>
      <c r="AL12" s="213"/>
      <c r="AM12" s="213"/>
      <c r="AN12" s="213"/>
      <c r="AO12" s="213"/>
      <c r="AP12" s="213"/>
      <c r="AQ12" s="213"/>
      <c r="AR12" s="213"/>
      <c r="AS12" s="213"/>
      <c r="AT12" s="213"/>
      <c r="AU12" s="213"/>
      <c r="AV12" s="213"/>
      <c r="AW12" s="213"/>
      <c r="AX12" s="213"/>
      <c r="AY12" s="213"/>
      <c r="AZ12" s="213"/>
      <c r="BA12" s="213"/>
      <c r="BB12" s="213"/>
      <c r="BC12" s="213"/>
      <c r="BD12" s="213"/>
      <c r="BE12" s="213"/>
      <c r="BF12" s="213"/>
      <c r="BG12" s="213"/>
      <c r="BH12" s="213"/>
      <c r="BI12" s="213"/>
      <c r="BJ12" s="213"/>
      <c r="BK12" s="213"/>
      <c r="BL12" s="213"/>
      <c r="BM12" s="213"/>
      <c r="BN12" s="213"/>
      <c r="BO12" s="213"/>
      <c r="BP12" s="213"/>
      <c r="BQ12" s="213"/>
      <c r="BR12" s="213"/>
      <c r="BS12" s="213"/>
      <c r="BT12" s="213"/>
      <c r="BU12" s="213"/>
      <c r="BV12" s="213"/>
      <c r="BW12" s="213"/>
      <c r="BX12" s="213"/>
      <c r="BY12" s="213"/>
      <c r="BZ12" s="213"/>
      <c r="CA12" s="213"/>
      <c r="CB12" s="213"/>
      <c r="CC12" s="213"/>
      <c r="CD12" s="213"/>
      <c r="CE12" s="213"/>
      <c r="CF12" s="213"/>
      <c r="CG12" s="213"/>
      <c r="CH12" s="213"/>
      <c r="CI12" s="213"/>
      <c r="CJ12" s="213"/>
      <c r="CK12" s="213"/>
      <c r="CL12" s="213"/>
      <c r="CM12" s="213"/>
      <c r="CN12" s="213"/>
      <c r="CO12" s="213"/>
      <c r="CP12" s="213"/>
    </row>
    <row r="13" ht="12.75" customHeight="1">
      <c r="A13" s="216" t="s">
        <v>175</v>
      </c>
      <c r="B13" s="216" t="s">
        <v>174</v>
      </c>
      <c r="C13" s="174">
        <v>0</v>
      </c>
      <c r="D13" s="174">
        <v>0</v>
      </c>
      <c r="E13" s="212">
        <v>1</v>
      </c>
      <c r="F13" s="212"/>
      <c r="G13" s="212"/>
      <c r="H13" s="212"/>
      <c r="I13" s="212"/>
      <c r="J13" s="212"/>
      <c r="K13" s="212"/>
      <c r="L13" s="212"/>
      <c r="M13" s="212"/>
      <c r="N13" s="212"/>
      <c r="O13" s="212"/>
      <c r="P13" s="212"/>
      <c r="Q13" s="212"/>
      <c r="R13" s="212"/>
      <c r="S13" s="212"/>
      <c r="T13" s="212"/>
      <c r="U13" s="212"/>
      <c r="V13" s="212"/>
      <c r="W13" s="212"/>
      <c r="X13" s="212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3"/>
      <c r="AW13" s="213"/>
      <c r="AX13" s="213"/>
      <c r="AY13" s="213"/>
      <c r="AZ13" s="213"/>
      <c r="BA13" s="213"/>
      <c r="BB13" s="213"/>
      <c r="BC13" s="213"/>
      <c r="BD13" s="213"/>
      <c r="BE13" s="213"/>
      <c r="BF13" s="213"/>
      <c r="BG13" s="213"/>
      <c r="BH13" s="213"/>
      <c r="BI13" s="213"/>
      <c r="BJ13" s="213"/>
      <c r="BK13" s="213"/>
      <c r="BL13" s="213"/>
      <c r="BM13" s="213"/>
      <c r="BN13" s="213"/>
      <c r="BO13" s="213"/>
      <c r="BP13" s="213"/>
      <c r="BQ13" s="213"/>
      <c r="BR13" s="213"/>
      <c r="BS13" s="213"/>
      <c r="BT13" s="213"/>
      <c r="BU13" s="213"/>
      <c r="BV13" s="213"/>
      <c r="BW13" s="213"/>
      <c r="BX13" s="213"/>
      <c r="BY13" s="213"/>
      <c r="BZ13" s="213"/>
      <c r="CA13" s="213"/>
      <c r="CB13" s="213"/>
      <c r="CC13" s="213"/>
      <c r="CD13" s="213"/>
      <c r="CE13" s="213"/>
      <c r="CF13" s="213"/>
      <c r="CG13" s="213"/>
      <c r="CH13" s="213"/>
      <c r="CI13" s="213"/>
      <c r="CJ13" s="213"/>
      <c r="CK13" s="213"/>
      <c r="CL13" s="213"/>
      <c r="CM13" s="213"/>
      <c r="CN13" s="213"/>
      <c r="CO13" s="213"/>
      <c r="CP13" s="213"/>
    </row>
    <row r="14" ht="12.75" customHeight="1">
      <c r="A14" s="216" t="s">
        <v>173</v>
      </c>
      <c r="B14" s="216" t="s">
        <v>174</v>
      </c>
      <c r="C14" s="174">
        <v>0</v>
      </c>
      <c r="D14" s="174">
        <v>0</v>
      </c>
      <c r="E14" s="174">
        <v>0</v>
      </c>
      <c r="F14" s="212">
        <v>1</v>
      </c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3"/>
      <c r="Z14" s="213"/>
      <c r="AA14" s="213"/>
      <c r="AB14" s="213"/>
      <c r="AC14" s="213"/>
      <c r="AD14" s="213"/>
      <c r="AE14" s="213"/>
      <c r="AF14" s="213"/>
      <c r="AG14" s="213"/>
      <c r="AH14" s="213"/>
      <c r="AI14" s="213"/>
      <c r="AJ14" s="213"/>
      <c r="AK14" s="213"/>
      <c r="AL14" s="213"/>
      <c r="AM14" s="213"/>
      <c r="AN14" s="213"/>
      <c r="AO14" s="213"/>
      <c r="AP14" s="213"/>
      <c r="AQ14" s="213"/>
      <c r="AR14" s="213"/>
      <c r="AS14" s="213"/>
      <c r="AT14" s="213"/>
      <c r="AU14" s="213"/>
      <c r="AV14" s="213"/>
      <c r="AW14" s="213"/>
      <c r="AX14" s="213"/>
      <c r="AY14" s="213"/>
      <c r="AZ14" s="213"/>
      <c r="BA14" s="213"/>
      <c r="BB14" s="213"/>
      <c r="BC14" s="213"/>
      <c r="BD14" s="213"/>
      <c r="BE14" s="213"/>
      <c r="BF14" s="213"/>
      <c r="BG14" s="213"/>
      <c r="BH14" s="213"/>
      <c r="BI14" s="213"/>
      <c r="BJ14" s="213"/>
      <c r="BK14" s="213"/>
      <c r="BL14" s="213"/>
      <c r="BM14" s="213"/>
      <c r="BN14" s="213"/>
      <c r="BO14" s="213"/>
      <c r="BP14" s="213"/>
      <c r="BQ14" s="213"/>
      <c r="BR14" s="213"/>
      <c r="BS14" s="213"/>
      <c r="BT14" s="213"/>
      <c r="BU14" s="213"/>
      <c r="BV14" s="213"/>
      <c r="BW14" s="213"/>
      <c r="BX14" s="213"/>
      <c r="BY14" s="213"/>
      <c r="BZ14" s="213"/>
      <c r="CA14" s="213"/>
      <c r="CB14" s="213"/>
      <c r="CC14" s="213"/>
      <c r="CD14" s="213"/>
      <c r="CE14" s="213"/>
      <c r="CF14" s="213"/>
      <c r="CG14" s="213"/>
      <c r="CH14" s="213"/>
      <c r="CI14" s="213"/>
      <c r="CJ14" s="213"/>
      <c r="CK14" s="213"/>
      <c r="CL14" s="213"/>
      <c r="CM14" s="213"/>
      <c r="CN14" s="213"/>
      <c r="CO14" s="213"/>
      <c r="CP14" s="213"/>
    </row>
    <row r="15" ht="12.75" customHeight="1">
      <c r="A15" s="216" t="s">
        <v>176</v>
      </c>
      <c r="B15" s="216" t="s">
        <v>174</v>
      </c>
      <c r="C15" s="174">
        <v>0</v>
      </c>
      <c r="D15" s="174">
        <v>0</v>
      </c>
      <c r="E15" s="174">
        <v>0</v>
      </c>
      <c r="F15" s="174">
        <v>0</v>
      </c>
      <c r="G15" s="212">
        <v>1</v>
      </c>
      <c r="H15" s="212"/>
      <c r="I15" s="212"/>
      <c r="J15" s="212"/>
      <c r="K15" s="212"/>
      <c r="L15" s="212"/>
      <c r="M15" s="212"/>
      <c r="N15" s="212"/>
      <c r="O15" s="212"/>
      <c r="P15" s="212"/>
      <c r="Q15" s="212"/>
      <c r="R15" s="212"/>
      <c r="S15" s="212"/>
      <c r="T15" s="212"/>
      <c r="U15" s="212"/>
      <c r="V15" s="212"/>
      <c r="W15" s="212"/>
      <c r="X15" s="212"/>
      <c r="Y15" s="213"/>
      <c r="Z15" s="213"/>
      <c r="AA15" s="213"/>
      <c r="AB15" s="213"/>
      <c r="AC15" s="213"/>
      <c r="AD15" s="213"/>
      <c r="AE15" s="213"/>
      <c r="AF15" s="213"/>
      <c r="AG15" s="213"/>
      <c r="AH15" s="213"/>
      <c r="AI15" s="213"/>
      <c r="AJ15" s="213"/>
      <c r="AK15" s="213"/>
      <c r="AL15" s="213"/>
      <c r="AM15" s="213"/>
      <c r="AN15" s="213"/>
      <c r="AO15" s="213"/>
      <c r="AP15" s="213"/>
      <c r="AQ15" s="213"/>
      <c r="AR15" s="213"/>
      <c r="AS15" s="213"/>
      <c r="AT15" s="213"/>
      <c r="AU15" s="213"/>
      <c r="AV15" s="213"/>
      <c r="AW15" s="213"/>
      <c r="AX15" s="213"/>
      <c r="AY15" s="213"/>
      <c r="AZ15" s="213"/>
      <c r="BA15" s="213"/>
      <c r="BB15" s="213"/>
      <c r="BC15" s="213"/>
      <c r="BD15" s="213"/>
      <c r="BE15" s="213"/>
      <c r="BF15" s="213"/>
      <c r="BG15" s="213"/>
      <c r="BH15" s="213"/>
      <c r="BI15" s="213"/>
      <c r="BJ15" s="213"/>
      <c r="BK15" s="213"/>
      <c r="BL15" s="213"/>
      <c r="BM15" s="213"/>
      <c r="BN15" s="213"/>
      <c r="BO15" s="213"/>
      <c r="BP15" s="213"/>
      <c r="BQ15" s="213"/>
      <c r="BR15" s="213"/>
      <c r="BS15" s="213"/>
      <c r="BT15" s="213"/>
      <c r="BU15" s="213"/>
      <c r="BV15" s="213"/>
      <c r="BW15" s="213"/>
      <c r="BX15" s="213"/>
      <c r="BY15" s="213"/>
      <c r="BZ15" s="213"/>
      <c r="CA15" s="213"/>
      <c r="CB15" s="213"/>
      <c r="CC15" s="213"/>
      <c r="CD15" s="213"/>
      <c r="CE15" s="213"/>
      <c r="CF15" s="213"/>
      <c r="CG15" s="213"/>
      <c r="CH15" s="213"/>
      <c r="CI15" s="213"/>
      <c r="CJ15" s="213"/>
      <c r="CK15" s="213"/>
      <c r="CL15" s="213"/>
      <c r="CM15" s="213"/>
      <c r="CN15" s="213"/>
      <c r="CO15" s="213"/>
      <c r="CP15" s="213"/>
    </row>
    <row r="16" ht="12.75" customHeight="1">
      <c r="A16" s="216" t="s">
        <v>177</v>
      </c>
      <c r="B16" s="216" t="s">
        <v>174</v>
      </c>
      <c r="C16" s="174">
        <v>0</v>
      </c>
      <c r="D16" s="174">
        <v>0</v>
      </c>
      <c r="E16" s="174">
        <v>0</v>
      </c>
      <c r="F16" s="174">
        <v>0</v>
      </c>
      <c r="G16" s="174">
        <v>0</v>
      </c>
      <c r="H16" s="212">
        <v>1</v>
      </c>
      <c r="I16" s="212"/>
      <c r="J16" s="212"/>
      <c r="K16" s="212"/>
      <c r="L16" s="212"/>
      <c r="M16" s="212"/>
      <c r="N16" s="212"/>
      <c r="O16" s="212"/>
      <c r="P16" s="212"/>
      <c r="Q16" s="212"/>
      <c r="R16" s="212"/>
      <c r="S16" s="212"/>
      <c r="T16" s="212"/>
      <c r="U16" s="212"/>
      <c r="V16" s="212"/>
      <c r="W16" s="212"/>
      <c r="X16" s="212"/>
      <c r="Y16" s="213"/>
      <c r="Z16" s="213"/>
      <c r="AA16" s="213"/>
      <c r="AB16" s="213"/>
      <c r="AC16" s="213"/>
      <c r="AD16" s="213"/>
      <c r="AE16" s="213"/>
      <c r="AF16" s="213"/>
      <c r="AG16" s="213"/>
      <c r="AH16" s="213"/>
      <c r="AI16" s="213"/>
      <c r="AJ16" s="213"/>
      <c r="AK16" s="213"/>
      <c r="AL16" s="213"/>
      <c r="AM16" s="213"/>
      <c r="AN16" s="213"/>
      <c r="AO16" s="213"/>
      <c r="AP16" s="213"/>
      <c r="AQ16" s="213"/>
      <c r="AR16" s="213"/>
      <c r="AS16" s="213"/>
      <c r="AT16" s="213"/>
      <c r="AU16" s="213"/>
      <c r="AV16" s="213"/>
      <c r="AW16" s="213"/>
      <c r="AX16" s="213"/>
      <c r="AY16" s="213"/>
      <c r="AZ16" s="213"/>
      <c r="BA16" s="213"/>
      <c r="BB16" s="213"/>
      <c r="BC16" s="213"/>
      <c r="BD16" s="213"/>
      <c r="BE16" s="213"/>
      <c r="BF16" s="213"/>
      <c r="BG16" s="213"/>
      <c r="BH16" s="213"/>
      <c r="BI16" s="213"/>
      <c r="BJ16" s="213"/>
      <c r="BK16" s="213"/>
      <c r="BL16" s="213"/>
      <c r="BM16" s="213"/>
      <c r="BN16" s="213"/>
      <c r="BO16" s="213"/>
      <c r="BP16" s="213"/>
      <c r="BQ16" s="213"/>
      <c r="BR16" s="213"/>
      <c r="BS16" s="213"/>
      <c r="BT16" s="213"/>
      <c r="BU16" s="213"/>
      <c r="BV16" s="213"/>
      <c r="BW16" s="213"/>
      <c r="BX16" s="213"/>
      <c r="BY16" s="213"/>
      <c r="BZ16" s="213"/>
      <c r="CA16" s="213"/>
      <c r="CB16" s="213"/>
      <c r="CC16" s="213"/>
      <c r="CD16" s="213"/>
      <c r="CE16" s="213"/>
      <c r="CF16" s="213"/>
      <c r="CG16" s="213"/>
      <c r="CH16" s="213"/>
      <c r="CI16" s="213"/>
      <c r="CJ16" s="213"/>
      <c r="CK16" s="213"/>
      <c r="CL16" s="213"/>
      <c r="CM16" s="213"/>
      <c r="CN16" s="213"/>
      <c r="CO16" s="213"/>
      <c r="CP16" s="213"/>
    </row>
    <row r="17" ht="12.75" customHeight="1">
      <c r="A17" s="216" t="s">
        <v>179</v>
      </c>
      <c r="B17" s="216" t="s">
        <v>174</v>
      </c>
      <c r="C17" s="174">
        <v>0</v>
      </c>
      <c r="D17" s="174">
        <v>0</v>
      </c>
      <c r="E17" s="174">
        <v>0</v>
      </c>
      <c r="F17" s="174">
        <v>0</v>
      </c>
      <c r="G17" s="174">
        <v>0</v>
      </c>
      <c r="H17" s="174">
        <v>0</v>
      </c>
      <c r="I17" s="212">
        <v>1</v>
      </c>
      <c r="J17" s="212"/>
      <c r="K17" s="212"/>
      <c r="L17" s="212"/>
      <c r="M17" s="212"/>
      <c r="N17" s="212"/>
      <c r="O17" s="212"/>
      <c r="P17" s="212"/>
      <c r="Q17" s="212"/>
      <c r="R17" s="212"/>
      <c r="S17" s="212"/>
      <c r="T17" s="212"/>
      <c r="U17" s="212"/>
      <c r="V17" s="212"/>
      <c r="W17" s="212"/>
      <c r="X17" s="212"/>
      <c r="Y17" s="213"/>
      <c r="Z17" s="213"/>
      <c r="AA17" s="213"/>
      <c r="AB17" s="213"/>
      <c r="AC17" s="213"/>
      <c r="AD17" s="213"/>
      <c r="AE17" s="213"/>
      <c r="AF17" s="213"/>
      <c r="AG17" s="213"/>
      <c r="AH17" s="213"/>
      <c r="AI17" s="213"/>
      <c r="AJ17" s="213"/>
      <c r="AK17" s="213"/>
      <c r="AL17" s="213"/>
      <c r="AM17" s="213"/>
      <c r="AN17" s="213"/>
      <c r="AO17" s="213"/>
      <c r="AP17" s="213"/>
      <c r="AQ17" s="213"/>
      <c r="AR17" s="213"/>
      <c r="AS17" s="213"/>
      <c r="AT17" s="213"/>
      <c r="AU17" s="213"/>
      <c r="AV17" s="213"/>
      <c r="AW17" s="213"/>
      <c r="AX17" s="213"/>
      <c r="AY17" s="213"/>
      <c r="AZ17" s="213"/>
      <c r="BA17" s="213"/>
      <c r="BB17" s="213"/>
      <c r="BC17" s="213"/>
      <c r="BD17" s="213"/>
      <c r="BE17" s="213"/>
      <c r="BF17" s="213"/>
      <c r="BG17" s="213"/>
      <c r="BH17" s="213"/>
      <c r="BI17" s="213"/>
      <c r="BJ17" s="213"/>
      <c r="BK17" s="213"/>
      <c r="BL17" s="213"/>
      <c r="BM17" s="213"/>
      <c r="BN17" s="213"/>
      <c r="BO17" s="213"/>
      <c r="BP17" s="213"/>
      <c r="BQ17" s="213"/>
      <c r="BR17" s="213"/>
      <c r="BS17" s="213"/>
      <c r="BT17" s="213"/>
      <c r="BU17" s="213"/>
      <c r="BV17" s="213"/>
      <c r="BW17" s="213"/>
      <c r="BX17" s="213"/>
      <c r="BY17" s="213"/>
      <c r="BZ17" s="213"/>
      <c r="CA17" s="213"/>
      <c r="CB17" s="213"/>
      <c r="CC17" s="213"/>
      <c r="CD17" s="213"/>
      <c r="CE17" s="213"/>
      <c r="CF17" s="213"/>
      <c r="CG17" s="213"/>
      <c r="CH17" s="213"/>
      <c r="CI17" s="213"/>
      <c r="CJ17" s="213"/>
      <c r="CK17" s="213"/>
      <c r="CL17" s="213"/>
      <c r="CM17" s="213"/>
      <c r="CN17" s="213"/>
      <c r="CO17" s="213"/>
      <c r="CP17" s="213"/>
    </row>
    <row r="18" ht="12.75" customHeight="1">
      <c r="A18" s="216" t="s">
        <v>189</v>
      </c>
      <c r="B18" s="216" t="s">
        <v>174</v>
      </c>
      <c r="C18" s="174">
        <v>0</v>
      </c>
      <c r="D18" s="174">
        <v>0</v>
      </c>
      <c r="E18" s="174">
        <v>0</v>
      </c>
      <c r="F18" s="174">
        <v>0</v>
      </c>
      <c r="G18" s="174">
        <v>0</v>
      </c>
      <c r="H18" s="174">
        <v>0</v>
      </c>
      <c r="I18" s="174">
        <v>0</v>
      </c>
      <c r="J18" s="212">
        <v>1</v>
      </c>
      <c r="K18" s="212"/>
      <c r="L18" s="212"/>
      <c r="M18" s="212"/>
      <c r="N18" s="212"/>
      <c r="O18" s="212"/>
      <c r="P18" s="212"/>
      <c r="Q18" s="212"/>
      <c r="R18" s="212"/>
      <c r="S18" s="212"/>
      <c r="T18" s="212"/>
      <c r="U18" s="212"/>
      <c r="V18" s="212"/>
      <c r="W18" s="212"/>
      <c r="X18" s="212"/>
      <c r="Y18" s="213"/>
      <c r="Z18" s="213"/>
      <c r="AA18" s="213"/>
      <c r="AB18" s="213"/>
      <c r="AC18" s="213"/>
      <c r="AD18" s="213"/>
      <c r="AE18" s="213"/>
      <c r="AF18" s="213"/>
      <c r="AG18" s="213"/>
      <c r="AH18" s="213"/>
      <c r="AI18" s="213"/>
      <c r="AJ18" s="213"/>
      <c r="AK18" s="213"/>
      <c r="AL18" s="213"/>
      <c r="AM18" s="213"/>
      <c r="AN18" s="213"/>
      <c r="AO18" s="213"/>
      <c r="AP18" s="213"/>
      <c r="AQ18" s="213"/>
      <c r="AR18" s="213"/>
      <c r="AS18" s="213"/>
      <c r="AT18" s="213"/>
      <c r="AU18" s="213"/>
      <c r="AV18" s="213"/>
      <c r="AW18" s="213"/>
      <c r="AX18" s="213"/>
      <c r="AY18" s="213"/>
      <c r="AZ18" s="213"/>
      <c r="BA18" s="213"/>
      <c r="BB18" s="213"/>
      <c r="BC18" s="213"/>
      <c r="BD18" s="213"/>
      <c r="BE18" s="213"/>
      <c r="BF18" s="213"/>
      <c r="BG18" s="213"/>
      <c r="BH18" s="213"/>
      <c r="BI18" s="213"/>
      <c r="BJ18" s="213"/>
      <c r="BK18" s="213"/>
      <c r="BL18" s="213"/>
      <c r="BM18" s="213"/>
      <c r="BN18" s="213"/>
      <c r="BO18" s="213"/>
      <c r="BP18" s="213"/>
      <c r="BQ18" s="213"/>
      <c r="BR18" s="213"/>
      <c r="BS18" s="213"/>
      <c r="BT18" s="213"/>
      <c r="BU18" s="213"/>
      <c r="BV18" s="213"/>
      <c r="BW18" s="213"/>
      <c r="BX18" s="213"/>
      <c r="BY18" s="213"/>
      <c r="BZ18" s="213"/>
      <c r="CA18" s="213"/>
      <c r="CB18" s="213"/>
      <c r="CC18" s="213"/>
      <c r="CD18" s="213"/>
      <c r="CE18" s="213"/>
      <c r="CF18" s="213"/>
      <c r="CG18" s="213"/>
      <c r="CH18" s="213"/>
      <c r="CI18" s="213"/>
      <c r="CJ18" s="213"/>
      <c r="CK18" s="213"/>
      <c r="CL18" s="213"/>
      <c r="CM18" s="213"/>
      <c r="CN18" s="213"/>
      <c r="CO18" s="213"/>
      <c r="CP18" s="213"/>
    </row>
    <row r="19" ht="12.75" customHeight="1">
      <c r="A19" s="216" t="s">
        <v>178</v>
      </c>
      <c r="B19" s="216" t="s">
        <v>174</v>
      </c>
      <c r="C19" s="174">
        <v>0</v>
      </c>
      <c r="D19" s="174">
        <v>0</v>
      </c>
      <c r="E19" s="174">
        <v>0</v>
      </c>
      <c r="F19" s="174">
        <v>0</v>
      </c>
      <c r="G19" s="174">
        <v>0</v>
      </c>
      <c r="H19" s="174">
        <v>0</v>
      </c>
      <c r="I19" s="174">
        <v>0</v>
      </c>
      <c r="J19" s="174">
        <v>0</v>
      </c>
      <c r="K19" s="212">
        <v>1</v>
      </c>
      <c r="L19" s="212"/>
      <c r="M19" s="212"/>
      <c r="N19" s="212"/>
      <c r="O19" s="212"/>
      <c r="P19" s="212"/>
      <c r="Q19" s="212"/>
      <c r="R19" s="212"/>
      <c r="S19" s="212"/>
      <c r="T19" s="212"/>
      <c r="U19" s="212"/>
      <c r="V19" s="212"/>
      <c r="W19" s="212"/>
      <c r="X19" s="212"/>
      <c r="Y19" s="213"/>
      <c r="Z19" s="213"/>
      <c r="AA19" s="213"/>
      <c r="AB19" s="213"/>
      <c r="AC19" s="213"/>
      <c r="AD19" s="213"/>
      <c r="AE19" s="213"/>
      <c r="AF19" s="213"/>
      <c r="AG19" s="213"/>
      <c r="AH19" s="213"/>
      <c r="AI19" s="213"/>
      <c r="AJ19" s="213"/>
      <c r="AK19" s="213"/>
      <c r="AL19" s="213"/>
      <c r="AM19" s="213"/>
      <c r="AN19" s="213"/>
      <c r="AO19" s="213"/>
      <c r="AP19" s="213"/>
      <c r="AQ19" s="213"/>
      <c r="AR19" s="213"/>
      <c r="AS19" s="213"/>
      <c r="AT19" s="213"/>
      <c r="AU19" s="213"/>
      <c r="AV19" s="213"/>
      <c r="AW19" s="213"/>
      <c r="AX19" s="213"/>
      <c r="AY19" s="213"/>
      <c r="AZ19" s="213"/>
      <c r="BA19" s="213"/>
      <c r="BB19" s="213"/>
      <c r="BC19" s="213"/>
      <c r="BD19" s="213"/>
      <c r="BE19" s="213"/>
      <c r="BF19" s="213"/>
      <c r="BG19" s="213"/>
      <c r="BH19" s="213"/>
      <c r="BI19" s="213"/>
      <c r="BJ19" s="213"/>
      <c r="BK19" s="213"/>
      <c r="BL19" s="213"/>
      <c r="BM19" s="213"/>
      <c r="BN19" s="213"/>
      <c r="BO19" s="213"/>
      <c r="BP19" s="213"/>
      <c r="BQ19" s="213"/>
      <c r="BR19" s="213"/>
      <c r="BS19" s="213"/>
      <c r="BT19" s="213"/>
      <c r="BU19" s="213"/>
      <c r="BV19" s="213"/>
      <c r="BW19" s="213"/>
      <c r="BX19" s="213"/>
      <c r="BY19" s="213"/>
      <c r="BZ19" s="213"/>
      <c r="CA19" s="213"/>
      <c r="CB19" s="213"/>
      <c r="CC19" s="213"/>
      <c r="CD19" s="213"/>
      <c r="CE19" s="213"/>
      <c r="CF19" s="213"/>
      <c r="CG19" s="213"/>
      <c r="CH19" s="213"/>
      <c r="CI19" s="213"/>
      <c r="CJ19" s="213"/>
      <c r="CK19" s="213"/>
      <c r="CL19" s="213"/>
      <c r="CM19" s="213"/>
      <c r="CN19" s="213"/>
      <c r="CO19" s="213"/>
      <c r="CP19" s="213"/>
    </row>
    <row r="20" ht="12.75" customHeight="1">
      <c r="A20" s="216" t="s">
        <v>190</v>
      </c>
      <c r="B20" s="216" t="s">
        <v>174</v>
      </c>
      <c r="C20" s="174">
        <v>0</v>
      </c>
      <c r="D20" s="174">
        <v>0</v>
      </c>
      <c r="E20" s="174">
        <v>0</v>
      </c>
      <c r="F20" s="174">
        <v>0</v>
      </c>
      <c r="G20" s="174">
        <v>0</v>
      </c>
      <c r="H20" s="174">
        <v>0</v>
      </c>
      <c r="I20" s="174">
        <v>0</v>
      </c>
      <c r="J20" s="174">
        <v>0</v>
      </c>
      <c r="K20" s="174">
        <v>0</v>
      </c>
      <c r="L20" s="212">
        <v>1</v>
      </c>
      <c r="M20" s="212"/>
      <c r="N20" s="212"/>
      <c r="O20" s="212"/>
      <c r="P20" s="212"/>
      <c r="Q20" s="212"/>
      <c r="R20" s="212"/>
      <c r="S20" s="212"/>
      <c r="T20" s="212"/>
      <c r="U20" s="212"/>
      <c r="V20" s="212"/>
      <c r="W20" s="212"/>
      <c r="X20" s="212"/>
      <c r="Y20" s="213"/>
      <c r="Z20" s="213"/>
      <c r="AA20" s="213"/>
      <c r="AB20" s="213"/>
      <c r="AC20" s="213"/>
      <c r="AD20" s="213"/>
      <c r="AE20" s="213"/>
      <c r="AF20" s="213"/>
      <c r="AG20" s="213"/>
      <c r="AH20" s="213"/>
      <c r="AI20" s="213"/>
      <c r="AJ20" s="213"/>
      <c r="AK20" s="213"/>
      <c r="AL20" s="213"/>
      <c r="AM20" s="213"/>
      <c r="AN20" s="213"/>
      <c r="AO20" s="213"/>
      <c r="AP20" s="213"/>
      <c r="AQ20" s="213"/>
      <c r="AR20" s="213"/>
      <c r="AS20" s="213"/>
      <c r="AT20" s="213"/>
      <c r="AU20" s="213"/>
      <c r="AV20" s="213"/>
      <c r="AW20" s="213"/>
      <c r="AX20" s="213"/>
      <c r="AY20" s="213"/>
      <c r="AZ20" s="213"/>
      <c r="BA20" s="213"/>
      <c r="BB20" s="213"/>
      <c r="BC20" s="213"/>
      <c r="BD20" s="213"/>
      <c r="BE20" s="213"/>
      <c r="BF20" s="213"/>
      <c r="BG20" s="213"/>
      <c r="BH20" s="213"/>
      <c r="BI20" s="213"/>
      <c r="BJ20" s="213"/>
      <c r="BK20" s="213"/>
      <c r="BL20" s="213"/>
      <c r="BM20" s="213"/>
      <c r="BN20" s="213"/>
      <c r="BO20" s="213"/>
      <c r="BP20" s="213"/>
      <c r="BQ20" s="213"/>
      <c r="BR20" s="213"/>
      <c r="BS20" s="213"/>
      <c r="BT20" s="213"/>
      <c r="BU20" s="213"/>
      <c r="BV20" s="213"/>
      <c r="BW20" s="213"/>
      <c r="BX20" s="213"/>
      <c r="BY20" s="213"/>
      <c r="BZ20" s="213"/>
      <c r="CA20" s="213"/>
      <c r="CB20" s="213"/>
      <c r="CC20" s="213"/>
      <c r="CD20" s="213"/>
      <c r="CE20" s="213"/>
      <c r="CF20" s="213"/>
      <c r="CG20" s="213"/>
      <c r="CH20" s="213"/>
      <c r="CI20" s="213"/>
      <c r="CJ20" s="213"/>
      <c r="CK20" s="213"/>
      <c r="CL20" s="213"/>
      <c r="CM20" s="213"/>
      <c r="CN20" s="213"/>
      <c r="CO20" s="213"/>
      <c r="CP20" s="213"/>
    </row>
    <row r="21" ht="12.75" customHeight="1">
      <c r="A21" s="216" t="s">
        <v>85</v>
      </c>
      <c r="B21" s="216" t="s">
        <v>174</v>
      </c>
      <c r="C21" s="174">
        <v>0</v>
      </c>
      <c r="D21" s="174">
        <v>0</v>
      </c>
      <c r="E21" s="174">
        <v>0</v>
      </c>
      <c r="F21" s="174">
        <v>0</v>
      </c>
      <c r="G21" s="174">
        <v>0</v>
      </c>
      <c r="H21" s="174">
        <v>0</v>
      </c>
      <c r="I21" s="174">
        <v>0</v>
      </c>
      <c r="J21" s="174">
        <v>0</v>
      </c>
      <c r="K21" s="174">
        <v>0</v>
      </c>
      <c r="L21" s="174">
        <v>0</v>
      </c>
      <c r="M21" s="212">
        <v>1</v>
      </c>
      <c r="N21" s="212"/>
      <c r="O21" s="212"/>
      <c r="P21" s="212"/>
      <c r="Q21" s="212"/>
      <c r="R21" s="212"/>
      <c r="S21" s="212"/>
      <c r="T21" s="212"/>
      <c r="U21" s="212"/>
      <c r="V21" s="212"/>
      <c r="W21" s="212"/>
      <c r="X21" s="212"/>
      <c r="Y21" s="213"/>
      <c r="Z21" s="213"/>
      <c r="AA21" s="213"/>
      <c r="AB21" s="213"/>
      <c r="AC21" s="213"/>
      <c r="AD21" s="213"/>
      <c r="AE21" s="213"/>
      <c r="AF21" s="213"/>
      <c r="AG21" s="213"/>
      <c r="AH21" s="213"/>
      <c r="AI21" s="213"/>
      <c r="AJ21" s="213"/>
      <c r="AK21" s="213"/>
      <c r="AL21" s="213"/>
      <c r="AM21" s="213"/>
      <c r="AN21" s="213"/>
      <c r="AO21" s="213"/>
      <c r="AP21" s="213"/>
      <c r="AQ21" s="213"/>
      <c r="AR21" s="213"/>
      <c r="AS21" s="213"/>
      <c r="AT21" s="213"/>
      <c r="AU21" s="213"/>
      <c r="AV21" s="213"/>
      <c r="AW21" s="213"/>
      <c r="AX21" s="213"/>
      <c r="AY21" s="213"/>
      <c r="AZ21" s="213"/>
      <c r="BA21" s="213"/>
      <c r="BB21" s="213"/>
      <c r="BC21" s="213"/>
      <c r="BD21" s="213"/>
      <c r="BE21" s="213"/>
      <c r="BF21" s="213"/>
      <c r="BG21" s="213"/>
      <c r="BH21" s="213"/>
      <c r="BI21" s="213"/>
      <c r="BJ21" s="213"/>
      <c r="BK21" s="213"/>
      <c r="BL21" s="213"/>
      <c r="BM21" s="213"/>
      <c r="BN21" s="213"/>
      <c r="BO21" s="213"/>
      <c r="BP21" s="213"/>
      <c r="BQ21" s="213"/>
      <c r="BR21" s="213"/>
      <c r="BS21" s="213"/>
      <c r="BT21" s="213"/>
      <c r="BU21" s="213"/>
      <c r="BV21" s="213"/>
      <c r="BW21" s="213"/>
      <c r="BX21" s="213"/>
      <c r="BY21" s="213"/>
      <c r="BZ21" s="213"/>
      <c r="CA21" s="213"/>
      <c r="CB21" s="213"/>
      <c r="CC21" s="213"/>
      <c r="CD21" s="213"/>
      <c r="CE21" s="213"/>
      <c r="CF21" s="213"/>
      <c r="CG21" s="213"/>
      <c r="CH21" s="213"/>
      <c r="CI21" s="213"/>
      <c r="CJ21" s="213"/>
      <c r="CK21" s="213"/>
      <c r="CL21" s="213"/>
      <c r="CM21" s="213"/>
      <c r="CN21" s="213"/>
      <c r="CO21" s="213"/>
      <c r="CP21" s="213"/>
    </row>
    <row r="22" ht="12.75" customHeight="1">
      <c r="A22" s="216" t="s">
        <v>227</v>
      </c>
      <c r="B22" s="216" t="s">
        <v>174</v>
      </c>
      <c r="C22" s="174">
        <v>0</v>
      </c>
      <c r="D22" s="174">
        <v>0</v>
      </c>
      <c r="E22" s="174">
        <v>0</v>
      </c>
      <c r="F22" s="174">
        <v>0</v>
      </c>
      <c r="G22" s="174">
        <v>0</v>
      </c>
      <c r="H22" s="174">
        <v>0</v>
      </c>
      <c r="I22" s="174">
        <v>0</v>
      </c>
      <c r="J22" s="174">
        <v>0</v>
      </c>
      <c r="K22" s="174">
        <v>0</v>
      </c>
      <c r="L22" s="174">
        <v>0</v>
      </c>
      <c r="M22" s="174">
        <v>0</v>
      </c>
      <c r="N22" s="212">
        <v>1</v>
      </c>
      <c r="O22" s="212"/>
      <c r="P22" s="212"/>
      <c r="Q22" s="212"/>
      <c r="R22" s="212"/>
      <c r="S22" s="212"/>
      <c r="T22" s="212"/>
      <c r="U22" s="212"/>
      <c r="V22" s="212"/>
      <c r="W22" s="212"/>
      <c r="X22" s="212"/>
      <c r="Y22" s="213"/>
      <c r="Z22" s="213"/>
      <c r="AA22" s="213"/>
      <c r="AB22" s="213"/>
      <c r="AC22" s="213"/>
      <c r="AD22" s="213"/>
      <c r="AE22" s="213"/>
      <c r="AF22" s="213"/>
      <c r="AG22" s="213"/>
      <c r="AH22" s="213"/>
      <c r="AI22" s="213"/>
      <c r="AJ22" s="213"/>
      <c r="AK22" s="213"/>
      <c r="AL22" s="213"/>
      <c r="AM22" s="213"/>
      <c r="AN22" s="213"/>
      <c r="AO22" s="213"/>
      <c r="AP22" s="213"/>
      <c r="AQ22" s="213"/>
      <c r="AR22" s="213"/>
      <c r="AS22" s="213"/>
      <c r="AT22" s="213"/>
      <c r="AU22" s="213"/>
      <c r="AV22" s="213"/>
      <c r="AW22" s="213"/>
      <c r="AX22" s="213"/>
      <c r="AY22" s="213"/>
      <c r="AZ22" s="213"/>
      <c r="BA22" s="213"/>
      <c r="BB22" s="213"/>
      <c r="BC22" s="213"/>
      <c r="BD22" s="213"/>
      <c r="BE22" s="213"/>
      <c r="BF22" s="213"/>
      <c r="BG22" s="213"/>
      <c r="BH22" s="213"/>
      <c r="BI22" s="213"/>
      <c r="BJ22" s="213"/>
      <c r="BK22" s="213"/>
      <c r="BL22" s="213"/>
      <c r="BM22" s="213"/>
      <c r="BN22" s="213"/>
      <c r="BO22" s="213"/>
      <c r="BP22" s="213"/>
      <c r="BQ22" s="213"/>
      <c r="BR22" s="213"/>
      <c r="BS22" s="213"/>
      <c r="BT22" s="213"/>
      <c r="BU22" s="213"/>
      <c r="BV22" s="213"/>
      <c r="BW22" s="213"/>
      <c r="BX22" s="213"/>
      <c r="BY22" s="213"/>
      <c r="BZ22" s="213"/>
      <c r="CA22" s="213"/>
      <c r="CB22" s="213"/>
      <c r="CC22" s="213"/>
      <c r="CD22" s="213"/>
      <c r="CE22" s="213"/>
      <c r="CF22" s="213"/>
      <c r="CG22" s="213"/>
      <c r="CH22" s="213"/>
      <c r="CI22" s="213"/>
      <c r="CJ22" s="213"/>
      <c r="CK22" s="213"/>
      <c r="CL22" s="213"/>
      <c r="CM22" s="213"/>
      <c r="CN22" s="213"/>
      <c r="CO22" s="213"/>
      <c r="CP22" s="213"/>
    </row>
    <row r="23" ht="12.75" customHeight="1">
      <c r="A23" s="216" t="s">
        <v>191</v>
      </c>
      <c r="B23" s="216" t="s">
        <v>174</v>
      </c>
      <c r="C23" s="174">
        <v>0</v>
      </c>
      <c r="D23" s="174">
        <v>0</v>
      </c>
      <c r="E23" s="174">
        <v>0</v>
      </c>
      <c r="F23" s="174">
        <v>0</v>
      </c>
      <c r="G23" s="174">
        <v>0</v>
      </c>
      <c r="H23" s="174">
        <v>0</v>
      </c>
      <c r="I23" s="174">
        <v>0</v>
      </c>
      <c r="J23" s="174">
        <v>0</v>
      </c>
      <c r="K23" s="174">
        <v>0</v>
      </c>
      <c r="L23" s="174">
        <v>0</v>
      </c>
      <c r="M23" s="174">
        <v>0</v>
      </c>
      <c r="N23" s="174">
        <v>0</v>
      </c>
      <c r="O23" s="212">
        <v>1</v>
      </c>
      <c r="P23" s="212"/>
      <c r="Q23" s="212"/>
      <c r="R23" s="212"/>
      <c r="S23" s="212"/>
      <c r="T23" s="212"/>
      <c r="U23" s="212"/>
      <c r="V23" s="212"/>
      <c r="W23" s="212"/>
      <c r="X23" s="212"/>
      <c r="Y23" s="213"/>
      <c r="Z23" s="213"/>
      <c r="AA23" s="213"/>
      <c r="AB23" s="213"/>
      <c r="AC23" s="213"/>
      <c r="AD23" s="213"/>
      <c r="AE23" s="213"/>
      <c r="AF23" s="213"/>
      <c r="AG23" s="213"/>
      <c r="AH23" s="213"/>
      <c r="AI23" s="213"/>
      <c r="AJ23" s="213"/>
      <c r="AK23" s="213"/>
      <c r="AL23" s="213"/>
      <c r="AM23" s="213"/>
      <c r="AN23" s="213"/>
      <c r="AO23" s="213"/>
      <c r="AP23" s="213"/>
      <c r="AQ23" s="213"/>
      <c r="AR23" s="213"/>
      <c r="AS23" s="213"/>
      <c r="AT23" s="213"/>
      <c r="AU23" s="213"/>
      <c r="AV23" s="213"/>
      <c r="AW23" s="213"/>
      <c r="AX23" s="213"/>
      <c r="AY23" s="213"/>
      <c r="AZ23" s="213"/>
      <c r="BA23" s="213"/>
      <c r="BB23" s="213"/>
      <c r="BC23" s="213"/>
      <c r="BD23" s="213"/>
      <c r="BE23" s="213"/>
      <c r="BF23" s="213"/>
      <c r="BG23" s="213"/>
      <c r="BH23" s="213"/>
      <c r="BI23" s="213"/>
      <c r="BJ23" s="213"/>
      <c r="BK23" s="213"/>
      <c r="BL23" s="213"/>
      <c r="BM23" s="213"/>
      <c r="BN23" s="213"/>
      <c r="BO23" s="213"/>
      <c r="BP23" s="213"/>
      <c r="BQ23" s="213"/>
      <c r="BR23" s="213"/>
      <c r="BS23" s="213"/>
      <c r="BT23" s="213"/>
      <c r="BU23" s="213"/>
      <c r="BV23" s="213"/>
      <c r="BW23" s="213"/>
      <c r="BX23" s="213"/>
      <c r="BY23" s="213"/>
      <c r="BZ23" s="213"/>
      <c r="CA23" s="213"/>
      <c r="CB23" s="213"/>
      <c r="CC23" s="213"/>
      <c r="CD23" s="213"/>
      <c r="CE23" s="213"/>
      <c r="CF23" s="213"/>
      <c r="CG23" s="213"/>
      <c r="CH23" s="213"/>
      <c r="CI23" s="213"/>
      <c r="CJ23" s="213"/>
      <c r="CK23" s="213"/>
      <c r="CL23" s="213"/>
      <c r="CM23" s="213"/>
      <c r="CN23" s="213"/>
      <c r="CO23" s="213"/>
      <c r="CP23" s="213"/>
    </row>
    <row r="24" ht="12.75" customHeight="1">
      <c r="A24" s="216" t="s">
        <v>180</v>
      </c>
      <c r="B24" s="216" t="s">
        <v>174</v>
      </c>
      <c r="C24" s="174">
        <v>0</v>
      </c>
      <c r="D24" s="174">
        <v>0</v>
      </c>
      <c r="E24" s="174">
        <v>0</v>
      </c>
      <c r="F24" s="174">
        <v>0</v>
      </c>
      <c r="G24" s="174">
        <v>0</v>
      </c>
      <c r="H24" s="174">
        <v>0</v>
      </c>
      <c r="I24" s="174">
        <v>0</v>
      </c>
      <c r="J24" s="174">
        <v>0</v>
      </c>
      <c r="K24" s="174">
        <v>0</v>
      </c>
      <c r="L24" s="174">
        <v>0</v>
      </c>
      <c r="M24" s="174">
        <v>0</v>
      </c>
      <c r="N24" s="174">
        <v>0</v>
      </c>
      <c r="O24" s="174">
        <v>0</v>
      </c>
      <c r="P24" s="212">
        <v>1</v>
      </c>
      <c r="Q24" s="212"/>
      <c r="R24" s="212"/>
      <c r="S24" s="212"/>
      <c r="T24" s="212"/>
      <c r="U24" s="212"/>
      <c r="V24" s="212"/>
      <c r="W24" s="212"/>
      <c r="X24" s="212"/>
      <c r="Y24" s="213"/>
      <c r="Z24" s="213"/>
      <c r="AA24" s="213"/>
      <c r="AB24" s="213"/>
      <c r="AC24" s="213"/>
      <c r="AD24" s="213"/>
      <c r="AE24" s="213"/>
      <c r="AF24" s="213"/>
      <c r="AG24" s="213"/>
      <c r="AH24" s="213"/>
      <c r="AI24" s="213"/>
      <c r="AJ24" s="213"/>
      <c r="AK24" s="213"/>
      <c r="AL24" s="213"/>
      <c r="AM24" s="213"/>
      <c r="AN24" s="213"/>
      <c r="AO24" s="213"/>
      <c r="AP24" s="213"/>
      <c r="AQ24" s="213"/>
      <c r="AR24" s="213"/>
      <c r="AS24" s="213"/>
      <c r="AT24" s="213"/>
      <c r="AU24" s="213"/>
      <c r="AV24" s="213"/>
      <c r="AW24" s="213"/>
      <c r="AX24" s="213"/>
      <c r="AY24" s="213"/>
      <c r="AZ24" s="213"/>
      <c r="BA24" s="213"/>
      <c r="BB24" s="213"/>
      <c r="BC24" s="213"/>
      <c r="BD24" s="213"/>
      <c r="BE24" s="213"/>
      <c r="BF24" s="213"/>
      <c r="BG24" s="213"/>
      <c r="BH24" s="213"/>
      <c r="BI24" s="213"/>
      <c r="BJ24" s="213"/>
      <c r="BK24" s="213"/>
      <c r="BL24" s="213"/>
      <c r="BM24" s="213"/>
      <c r="BN24" s="213"/>
      <c r="BO24" s="213"/>
      <c r="BP24" s="213"/>
      <c r="BQ24" s="213"/>
      <c r="BR24" s="213"/>
      <c r="BS24" s="213"/>
      <c r="BT24" s="213"/>
      <c r="BU24" s="213"/>
      <c r="BV24" s="213"/>
      <c r="BW24" s="213"/>
      <c r="BX24" s="213"/>
      <c r="BY24" s="213"/>
      <c r="BZ24" s="213"/>
      <c r="CA24" s="213"/>
      <c r="CB24" s="213"/>
      <c r="CC24" s="213"/>
      <c r="CD24" s="213"/>
      <c r="CE24" s="213"/>
      <c r="CF24" s="213"/>
      <c r="CG24" s="213"/>
      <c r="CH24" s="213"/>
      <c r="CI24" s="213"/>
      <c r="CJ24" s="213"/>
      <c r="CK24" s="213"/>
      <c r="CL24" s="213"/>
      <c r="CM24" s="213"/>
      <c r="CN24" s="213"/>
      <c r="CO24" s="213"/>
      <c r="CP24" s="213"/>
    </row>
    <row r="25" ht="12.75" customHeight="1">
      <c r="A25" s="216" t="s">
        <v>181</v>
      </c>
      <c r="B25" s="216" t="s">
        <v>174</v>
      </c>
      <c r="C25" s="174">
        <v>0</v>
      </c>
      <c r="D25" s="174">
        <v>0</v>
      </c>
      <c r="E25" s="174">
        <v>0</v>
      </c>
      <c r="F25" s="174">
        <v>0</v>
      </c>
      <c r="G25" s="174">
        <v>0</v>
      </c>
      <c r="H25" s="174">
        <v>0</v>
      </c>
      <c r="I25" s="174">
        <v>0</v>
      </c>
      <c r="J25" s="174">
        <v>0</v>
      </c>
      <c r="K25" s="174">
        <v>0</v>
      </c>
      <c r="L25" s="174">
        <v>0</v>
      </c>
      <c r="M25" s="174">
        <v>0</v>
      </c>
      <c r="N25" s="174">
        <v>0</v>
      </c>
      <c r="O25" s="174">
        <v>0</v>
      </c>
      <c r="P25" s="174">
        <v>0</v>
      </c>
      <c r="Q25" s="212">
        <v>1</v>
      </c>
      <c r="R25" s="212"/>
      <c r="S25" s="212"/>
      <c r="T25" s="212"/>
      <c r="U25" s="212"/>
      <c r="V25" s="212"/>
      <c r="W25" s="212"/>
      <c r="X25" s="212"/>
      <c r="Y25" s="213"/>
      <c r="Z25" s="213"/>
      <c r="AA25" s="213"/>
      <c r="AB25" s="213"/>
      <c r="AC25" s="213"/>
      <c r="AD25" s="213"/>
      <c r="AE25" s="213"/>
      <c r="AF25" s="213"/>
      <c r="AG25" s="213"/>
      <c r="AH25" s="213"/>
      <c r="AI25" s="213"/>
      <c r="AJ25" s="213"/>
      <c r="AK25" s="213"/>
      <c r="AL25" s="213"/>
      <c r="AM25" s="213"/>
      <c r="AN25" s="213"/>
      <c r="AO25" s="213"/>
      <c r="AP25" s="213"/>
      <c r="AQ25" s="213"/>
      <c r="AR25" s="213"/>
      <c r="AS25" s="213"/>
      <c r="AT25" s="213"/>
      <c r="AU25" s="213"/>
      <c r="AV25" s="213"/>
      <c r="AW25" s="213"/>
      <c r="AX25" s="213"/>
      <c r="AY25" s="213"/>
      <c r="AZ25" s="213"/>
      <c r="BA25" s="213"/>
      <c r="BB25" s="213"/>
      <c r="BC25" s="213"/>
      <c r="BD25" s="213"/>
      <c r="BE25" s="213"/>
      <c r="BF25" s="213"/>
      <c r="BG25" s="213"/>
      <c r="BH25" s="213"/>
      <c r="BI25" s="213"/>
      <c r="BJ25" s="213"/>
      <c r="BK25" s="213"/>
      <c r="BL25" s="213"/>
      <c r="BM25" s="213"/>
      <c r="BN25" s="213"/>
      <c r="BO25" s="213"/>
      <c r="BP25" s="213"/>
      <c r="BQ25" s="213"/>
      <c r="BR25" s="213"/>
      <c r="BS25" s="213"/>
      <c r="BT25" s="213"/>
      <c r="BU25" s="213"/>
      <c r="BV25" s="213"/>
      <c r="BW25" s="213"/>
      <c r="BX25" s="213"/>
      <c r="BY25" s="213"/>
      <c r="BZ25" s="213"/>
      <c r="CA25" s="213"/>
      <c r="CB25" s="213"/>
      <c r="CC25" s="213"/>
      <c r="CD25" s="213"/>
      <c r="CE25" s="213"/>
      <c r="CF25" s="213"/>
      <c r="CG25" s="213"/>
      <c r="CH25" s="213"/>
      <c r="CI25" s="213"/>
      <c r="CJ25" s="213"/>
      <c r="CK25" s="213"/>
      <c r="CL25" s="213"/>
      <c r="CM25" s="213"/>
      <c r="CN25" s="213"/>
      <c r="CO25" s="213"/>
      <c r="CP25" s="213"/>
    </row>
    <row r="26" ht="12.75" customHeight="1">
      <c r="A26" s="216" t="s">
        <v>182</v>
      </c>
      <c r="B26" s="216" t="s">
        <v>174</v>
      </c>
      <c r="C26" s="174">
        <v>0</v>
      </c>
      <c r="D26" s="174">
        <v>0</v>
      </c>
      <c r="E26" s="174">
        <v>0</v>
      </c>
      <c r="F26" s="174">
        <v>0</v>
      </c>
      <c r="G26" s="174">
        <v>0</v>
      </c>
      <c r="H26" s="174">
        <v>0</v>
      </c>
      <c r="I26" s="174">
        <v>0</v>
      </c>
      <c r="J26" s="174">
        <v>0</v>
      </c>
      <c r="K26" s="174">
        <v>0</v>
      </c>
      <c r="L26" s="174">
        <v>0</v>
      </c>
      <c r="M26" s="174">
        <v>0</v>
      </c>
      <c r="N26" s="174">
        <v>0</v>
      </c>
      <c r="O26" s="174">
        <v>0</v>
      </c>
      <c r="P26" s="174">
        <v>0</v>
      </c>
      <c r="Q26" s="174">
        <v>0</v>
      </c>
      <c r="R26" s="212">
        <v>1</v>
      </c>
      <c r="S26" s="212"/>
      <c r="T26" s="212"/>
      <c r="U26" s="212"/>
      <c r="V26" s="212"/>
      <c r="W26" s="212"/>
      <c r="X26" s="212"/>
      <c r="Y26" s="213"/>
      <c r="Z26" s="213"/>
      <c r="AA26" s="213"/>
      <c r="AB26" s="213"/>
      <c r="AC26" s="213"/>
      <c r="AD26" s="213"/>
      <c r="AE26" s="213"/>
      <c r="AF26" s="213"/>
      <c r="AG26" s="213"/>
      <c r="AH26" s="213"/>
      <c r="AI26" s="213"/>
      <c r="AJ26" s="213"/>
      <c r="AK26" s="213"/>
      <c r="AL26" s="213"/>
      <c r="AM26" s="213"/>
      <c r="AN26" s="213"/>
      <c r="AO26" s="213"/>
      <c r="AP26" s="213"/>
      <c r="AQ26" s="213"/>
      <c r="AR26" s="213"/>
      <c r="AS26" s="213"/>
      <c r="AT26" s="213"/>
      <c r="AU26" s="213"/>
      <c r="AV26" s="213"/>
      <c r="AW26" s="213"/>
      <c r="AX26" s="213"/>
      <c r="AY26" s="213"/>
      <c r="AZ26" s="213"/>
      <c r="BA26" s="213"/>
      <c r="BB26" s="213"/>
      <c r="BC26" s="213"/>
      <c r="BD26" s="213"/>
      <c r="BE26" s="213"/>
      <c r="BF26" s="213"/>
      <c r="BG26" s="213"/>
      <c r="BH26" s="213"/>
      <c r="BI26" s="213"/>
      <c r="BJ26" s="213"/>
      <c r="BK26" s="213"/>
      <c r="BL26" s="213"/>
      <c r="BM26" s="213"/>
      <c r="BN26" s="213"/>
      <c r="BO26" s="213"/>
      <c r="BP26" s="213"/>
      <c r="BQ26" s="213"/>
      <c r="BR26" s="213"/>
      <c r="BS26" s="213"/>
      <c r="BT26" s="213"/>
      <c r="BU26" s="213"/>
      <c r="BV26" s="213"/>
      <c r="BW26" s="213"/>
      <c r="BX26" s="213"/>
      <c r="BY26" s="213"/>
      <c r="BZ26" s="213"/>
      <c r="CA26" s="213"/>
      <c r="CB26" s="213"/>
      <c r="CC26" s="213"/>
      <c r="CD26" s="213"/>
      <c r="CE26" s="213"/>
      <c r="CF26" s="213"/>
      <c r="CG26" s="213"/>
      <c r="CH26" s="213"/>
      <c r="CI26" s="213"/>
      <c r="CJ26" s="213"/>
      <c r="CK26" s="213"/>
      <c r="CL26" s="213"/>
      <c r="CM26" s="213"/>
      <c r="CN26" s="213"/>
      <c r="CO26" s="213"/>
      <c r="CP26" s="213"/>
    </row>
    <row r="27" ht="12.75" customHeight="1">
      <c r="A27" s="216" t="s">
        <v>184</v>
      </c>
      <c r="B27" s="216" t="s">
        <v>174</v>
      </c>
      <c r="C27" s="174">
        <v>0</v>
      </c>
      <c r="D27" s="174">
        <v>0</v>
      </c>
      <c r="E27" s="174">
        <v>0</v>
      </c>
      <c r="F27" s="174">
        <v>0</v>
      </c>
      <c r="G27" s="174">
        <v>0</v>
      </c>
      <c r="H27" s="174">
        <v>0</v>
      </c>
      <c r="I27" s="174">
        <v>0</v>
      </c>
      <c r="J27" s="174">
        <v>0</v>
      </c>
      <c r="K27" s="174">
        <v>0</v>
      </c>
      <c r="L27" s="174">
        <v>0</v>
      </c>
      <c r="M27" s="174">
        <v>0</v>
      </c>
      <c r="N27" s="174">
        <v>0</v>
      </c>
      <c r="O27" s="174">
        <v>0</v>
      </c>
      <c r="P27" s="174">
        <v>0</v>
      </c>
      <c r="Q27" s="174">
        <v>0</v>
      </c>
      <c r="R27" s="174">
        <v>0</v>
      </c>
      <c r="S27" s="212">
        <v>1</v>
      </c>
      <c r="T27" s="212"/>
      <c r="U27" s="212"/>
      <c r="V27" s="212"/>
      <c r="W27" s="212"/>
      <c r="X27" s="212"/>
      <c r="Y27" s="213"/>
      <c r="Z27" s="213"/>
      <c r="AA27" s="213"/>
      <c r="AB27" s="213"/>
      <c r="AC27" s="213"/>
      <c r="AD27" s="213"/>
      <c r="AE27" s="213"/>
      <c r="AF27" s="213"/>
      <c r="AG27" s="213"/>
      <c r="AH27" s="213"/>
      <c r="AI27" s="213"/>
      <c r="AJ27" s="213"/>
      <c r="AK27" s="213"/>
      <c r="AL27" s="213"/>
      <c r="AM27" s="213"/>
      <c r="AN27" s="213"/>
      <c r="AO27" s="213"/>
      <c r="AP27" s="213"/>
      <c r="AQ27" s="213"/>
      <c r="AR27" s="213"/>
      <c r="AS27" s="213"/>
      <c r="AT27" s="213"/>
      <c r="AU27" s="213"/>
      <c r="AV27" s="213"/>
      <c r="AW27" s="213"/>
      <c r="AX27" s="213"/>
      <c r="AY27" s="213"/>
      <c r="AZ27" s="213"/>
      <c r="BA27" s="213"/>
      <c r="BB27" s="213"/>
      <c r="BC27" s="213"/>
      <c r="BD27" s="213"/>
      <c r="BE27" s="213"/>
      <c r="BF27" s="213"/>
      <c r="BG27" s="213"/>
      <c r="BH27" s="213"/>
      <c r="BI27" s="213"/>
      <c r="BJ27" s="213"/>
      <c r="BK27" s="213"/>
      <c r="BL27" s="213"/>
      <c r="BM27" s="213"/>
      <c r="BN27" s="213"/>
      <c r="BO27" s="213"/>
      <c r="BP27" s="213"/>
      <c r="BQ27" s="213"/>
      <c r="BR27" s="213"/>
      <c r="BS27" s="213"/>
      <c r="BT27" s="213"/>
      <c r="BU27" s="213"/>
      <c r="BV27" s="213"/>
      <c r="BW27" s="213"/>
      <c r="BX27" s="213"/>
      <c r="BY27" s="213"/>
      <c r="BZ27" s="213"/>
      <c r="CA27" s="213"/>
      <c r="CB27" s="213"/>
      <c r="CC27" s="213"/>
      <c r="CD27" s="213"/>
      <c r="CE27" s="213"/>
      <c r="CF27" s="213"/>
      <c r="CG27" s="213"/>
      <c r="CH27" s="213"/>
      <c r="CI27" s="213"/>
      <c r="CJ27" s="213"/>
      <c r="CK27" s="213"/>
      <c r="CL27" s="213"/>
      <c r="CM27" s="213"/>
      <c r="CN27" s="213"/>
      <c r="CO27" s="213"/>
      <c r="CP27" s="213"/>
    </row>
    <row r="28" ht="12.75" customHeight="1">
      <c r="A28" s="216" t="s">
        <v>183</v>
      </c>
      <c r="B28" s="216" t="s">
        <v>174</v>
      </c>
      <c r="C28" s="174">
        <v>0</v>
      </c>
      <c r="D28" s="174">
        <v>0</v>
      </c>
      <c r="E28" s="174">
        <v>0</v>
      </c>
      <c r="F28" s="174">
        <v>0</v>
      </c>
      <c r="G28" s="174">
        <v>0</v>
      </c>
      <c r="H28" s="174">
        <v>0</v>
      </c>
      <c r="I28" s="174">
        <v>0</v>
      </c>
      <c r="J28" s="174">
        <v>0</v>
      </c>
      <c r="K28" s="174">
        <v>0</v>
      </c>
      <c r="L28" s="174">
        <v>0</v>
      </c>
      <c r="M28" s="174">
        <v>0</v>
      </c>
      <c r="N28" s="174">
        <v>0</v>
      </c>
      <c r="O28" s="174">
        <v>0</v>
      </c>
      <c r="P28" s="174">
        <v>0</v>
      </c>
      <c r="Q28" s="174">
        <v>0</v>
      </c>
      <c r="R28" s="174">
        <v>0</v>
      </c>
      <c r="S28" s="174">
        <v>0</v>
      </c>
      <c r="T28" s="212">
        <v>1</v>
      </c>
      <c r="U28" s="212"/>
      <c r="V28" s="212"/>
      <c r="W28" s="212"/>
      <c r="X28" s="212"/>
      <c r="Y28" s="213"/>
      <c r="Z28" s="213"/>
      <c r="AA28" s="213"/>
      <c r="AB28" s="213"/>
      <c r="AC28" s="213"/>
      <c r="AD28" s="213"/>
      <c r="AE28" s="213"/>
      <c r="AF28" s="213"/>
      <c r="AG28" s="213"/>
      <c r="AH28" s="213"/>
      <c r="AI28" s="213"/>
      <c r="AJ28" s="213"/>
      <c r="AK28" s="213"/>
      <c r="AL28" s="213"/>
      <c r="AM28" s="213"/>
      <c r="AN28" s="213"/>
      <c r="AO28" s="213"/>
      <c r="AP28" s="213"/>
      <c r="AQ28" s="213"/>
      <c r="AR28" s="213"/>
      <c r="AS28" s="213"/>
      <c r="AT28" s="213"/>
      <c r="AU28" s="213"/>
      <c r="AV28" s="213"/>
      <c r="AW28" s="213"/>
      <c r="AX28" s="213"/>
      <c r="AY28" s="213"/>
      <c r="AZ28" s="213"/>
      <c r="BA28" s="213"/>
      <c r="BB28" s="213"/>
      <c r="BC28" s="213"/>
      <c r="BD28" s="213"/>
      <c r="BE28" s="213"/>
      <c r="BF28" s="213"/>
      <c r="BG28" s="213"/>
      <c r="BH28" s="213"/>
      <c r="BI28" s="213"/>
      <c r="BJ28" s="213"/>
      <c r="BK28" s="213"/>
      <c r="BL28" s="213"/>
      <c r="BM28" s="213"/>
      <c r="BN28" s="213"/>
      <c r="BO28" s="213"/>
      <c r="BP28" s="213"/>
      <c r="BQ28" s="213"/>
      <c r="BR28" s="213"/>
      <c r="BS28" s="213"/>
      <c r="BT28" s="213"/>
      <c r="BU28" s="213"/>
      <c r="BV28" s="213"/>
      <c r="BW28" s="213"/>
      <c r="BX28" s="213"/>
      <c r="BY28" s="213"/>
      <c r="BZ28" s="213"/>
      <c r="CA28" s="213"/>
      <c r="CB28" s="213"/>
      <c r="CC28" s="213"/>
      <c r="CD28" s="213"/>
      <c r="CE28" s="213"/>
      <c r="CF28" s="213"/>
      <c r="CG28" s="213"/>
      <c r="CH28" s="213"/>
      <c r="CI28" s="213"/>
      <c r="CJ28" s="213"/>
      <c r="CK28" s="213"/>
      <c r="CL28" s="213"/>
      <c r="CM28" s="213"/>
      <c r="CN28" s="213"/>
      <c r="CO28" s="213"/>
      <c r="CP28" s="213"/>
    </row>
    <row r="29" ht="12.75" customHeight="1">
      <c r="A29" s="216" t="s">
        <v>192</v>
      </c>
      <c r="B29" s="216" t="s">
        <v>174</v>
      </c>
      <c r="C29" s="174">
        <v>0</v>
      </c>
      <c r="D29" s="174">
        <v>0</v>
      </c>
      <c r="E29" s="174">
        <v>0</v>
      </c>
      <c r="F29" s="174">
        <v>0</v>
      </c>
      <c r="G29" s="174">
        <v>0</v>
      </c>
      <c r="H29" s="174">
        <v>0</v>
      </c>
      <c r="I29" s="174">
        <v>0</v>
      </c>
      <c r="J29" s="174">
        <v>0</v>
      </c>
      <c r="K29" s="174">
        <v>0</v>
      </c>
      <c r="L29" s="174">
        <v>0</v>
      </c>
      <c r="M29" s="174">
        <v>0</v>
      </c>
      <c r="N29" s="174">
        <v>0</v>
      </c>
      <c r="O29" s="174">
        <v>0</v>
      </c>
      <c r="P29" s="174">
        <v>0</v>
      </c>
      <c r="Q29" s="174">
        <v>0</v>
      </c>
      <c r="R29" s="174">
        <v>0</v>
      </c>
      <c r="S29" s="174">
        <v>0</v>
      </c>
      <c r="T29" s="174">
        <v>0</v>
      </c>
      <c r="U29" s="212">
        <v>1</v>
      </c>
      <c r="V29" s="212"/>
      <c r="W29" s="212"/>
      <c r="X29" s="212"/>
      <c r="Y29" s="213"/>
      <c r="Z29" s="213"/>
      <c r="AA29" s="213"/>
      <c r="AB29" s="213"/>
      <c r="AC29" s="213"/>
      <c r="AD29" s="213"/>
      <c r="AE29" s="213"/>
      <c r="AF29" s="213"/>
      <c r="AG29" s="213"/>
      <c r="AH29" s="213"/>
      <c r="AI29" s="213"/>
      <c r="AJ29" s="213"/>
      <c r="AK29" s="213"/>
      <c r="AL29" s="213"/>
      <c r="AM29" s="213"/>
      <c r="AN29" s="213"/>
      <c r="AO29" s="213"/>
      <c r="AP29" s="213"/>
      <c r="AQ29" s="213"/>
      <c r="AR29" s="213"/>
      <c r="AS29" s="213"/>
      <c r="AT29" s="213"/>
      <c r="AU29" s="213"/>
      <c r="AV29" s="213"/>
      <c r="AW29" s="213"/>
      <c r="AX29" s="213"/>
      <c r="AY29" s="213"/>
      <c r="AZ29" s="213"/>
      <c r="BA29" s="213"/>
      <c r="BB29" s="213"/>
      <c r="BC29" s="213"/>
      <c r="BD29" s="213"/>
      <c r="BE29" s="213"/>
      <c r="BF29" s="213"/>
      <c r="BG29" s="213"/>
      <c r="BH29" s="213"/>
      <c r="BI29" s="213"/>
      <c r="BJ29" s="213"/>
      <c r="BK29" s="213"/>
      <c r="BL29" s="213"/>
      <c r="BM29" s="213"/>
      <c r="BN29" s="213"/>
      <c r="BO29" s="213"/>
      <c r="BP29" s="213"/>
      <c r="BQ29" s="213"/>
      <c r="BR29" s="213"/>
      <c r="BS29" s="213"/>
      <c r="BT29" s="213"/>
      <c r="BU29" s="213"/>
      <c r="BV29" s="213"/>
      <c r="BW29" s="213"/>
      <c r="BX29" s="213"/>
      <c r="BY29" s="213"/>
      <c r="BZ29" s="213"/>
      <c r="CA29" s="213"/>
      <c r="CB29" s="213"/>
      <c r="CC29" s="213"/>
      <c r="CD29" s="213"/>
      <c r="CE29" s="213"/>
      <c r="CF29" s="213"/>
      <c r="CG29" s="213"/>
      <c r="CH29" s="213"/>
      <c r="CI29" s="213"/>
      <c r="CJ29" s="213"/>
      <c r="CK29" s="213"/>
      <c r="CL29" s="213"/>
      <c r="CM29" s="213"/>
      <c r="CN29" s="213"/>
      <c r="CO29" s="213"/>
      <c r="CP29" s="213"/>
    </row>
    <row r="30" ht="12.75" customHeight="1">
      <c r="A30" s="216" t="s">
        <v>193</v>
      </c>
      <c r="B30" s="216" t="s">
        <v>174</v>
      </c>
      <c r="C30" s="174">
        <v>0</v>
      </c>
      <c r="D30" s="174">
        <v>0</v>
      </c>
      <c r="E30" s="174">
        <v>0</v>
      </c>
      <c r="F30" s="174">
        <v>0</v>
      </c>
      <c r="G30" s="174">
        <v>0</v>
      </c>
      <c r="H30" s="174">
        <v>0</v>
      </c>
      <c r="I30" s="174">
        <v>0</v>
      </c>
      <c r="J30" s="174">
        <v>0</v>
      </c>
      <c r="K30" s="174">
        <v>0</v>
      </c>
      <c r="L30" s="174">
        <v>0</v>
      </c>
      <c r="M30" s="174">
        <v>0</v>
      </c>
      <c r="N30" s="174">
        <v>0</v>
      </c>
      <c r="O30" s="174">
        <v>0</v>
      </c>
      <c r="P30" s="174">
        <v>0</v>
      </c>
      <c r="Q30" s="174">
        <v>0</v>
      </c>
      <c r="R30" s="174">
        <v>0</v>
      </c>
      <c r="S30" s="174">
        <v>0</v>
      </c>
      <c r="T30" s="174">
        <v>0</v>
      </c>
      <c r="U30" s="174">
        <v>0</v>
      </c>
      <c r="V30" s="212">
        <v>1</v>
      </c>
      <c r="W30" s="212"/>
      <c r="X30" s="212"/>
      <c r="Y30" s="213"/>
      <c r="Z30" s="213"/>
      <c r="AA30" s="213"/>
      <c r="AB30" s="213"/>
      <c r="AC30" s="213"/>
      <c r="AD30" s="213"/>
      <c r="AE30" s="213"/>
      <c r="AF30" s="213"/>
      <c r="AG30" s="213"/>
      <c r="AH30" s="213"/>
      <c r="AI30" s="213"/>
      <c r="AJ30" s="213"/>
      <c r="AK30" s="213"/>
      <c r="AL30" s="213"/>
      <c r="AM30" s="213"/>
      <c r="AN30" s="213"/>
      <c r="AO30" s="213"/>
      <c r="AP30" s="213"/>
      <c r="AQ30" s="213"/>
      <c r="AR30" s="213"/>
      <c r="AS30" s="213"/>
      <c r="AT30" s="213"/>
      <c r="AU30" s="213"/>
      <c r="AV30" s="213"/>
      <c r="AW30" s="213"/>
      <c r="AX30" s="213"/>
      <c r="AY30" s="213"/>
      <c r="AZ30" s="213"/>
      <c r="BA30" s="213"/>
      <c r="BB30" s="213"/>
      <c r="BC30" s="213"/>
      <c r="BD30" s="213"/>
      <c r="BE30" s="213"/>
      <c r="BF30" s="213"/>
      <c r="BG30" s="213"/>
      <c r="BH30" s="213"/>
      <c r="BI30" s="213"/>
      <c r="BJ30" s="213"/>
      <c r="BK30" s="213"/>
      <c r="BL30" s="213"/>
      <c r="BM30" s="213"/>
      <c r="BN30" s="213"/>
      <c r="BO30" s="213"/>
      <c r="BP30" s="213"/>
      <c r="BQ30" s="213"/>
      <c r="BR30" s="213"/>
      <c r="BS30" s="213"/>
      <c r="BT30" s="213"/>
      <c r="BU30" s="213"/>
      <c r="BV30" s="213"/>
      <c r="BW30" s="213"/>
      <c r="BX30" s="213"/>
      <c r="BY30" s="213"/>
      <c r="BZ30" s="213"/>
      <c r="CA30" s="213"/>
      <c r="CB30" s="213"/>
      <c r="CC30" s="213"/>
      <c r="CD30" s="213"/>
      <c r="CE30" s="213"/>
      <c r="CF30" s="213"/>
      <c r="CG30" s="213"/>
      <c r="CH30" s="213"/>
      <c r="CI30" s="213"/>
      <c r="CJ30" s="213"/>
      <c r="CK30" s="213"/>
      <c r="CL30" s="213"/>
      <c r="CM30" s="213"/>
      <c r="CN30" s="213"/>
      <c r="CO30" s="213"/>
      <c r="CP30" s="213"/>
    </row>
    <row r="31" ht="12.75" customHeight="1">
      <c r="A31" s="216" t="s">
        <v>194</v>
      </c>
      <c r="B31" s="216" t="s">
        <v>174</v>
      </c>
      <c r="C31" s="174">
        <v>0</v>
      </c>
      <c r="D31" s="174">
        <v>0</v>
      </c>
      <c r="E31" s="174">
        <v>0</v>
      </c>
      <c r="F31" s="174">
        <v>0</v>
      </c>
      <c r="G31" s="174">
        <v>0</v>
      </c>
      <c r="H31" s="174">
        <v>0</v>
      </c>
      <c r="I31" s="174">
        <v>0</v>
      </c>
      <c r="J31" s="174">
        <v>0</v>
      </c>
      <c r="K31" s="174">
        <v>0</v>
      </c>
      <c r="L31" s="174">
        <v>0</v>
      </c>
      <c r="M31" s="174">
        <v>0</v>
      </c>
      <c r="N31" s="174">
        <v>0</v>
      </c>
      <c r="O31" s="174">
        <v>0</v>
      </c>
      <c r="P31" s="174">
        <v>0</v>
      </c>
      <c r="Q31" s="174">
        <v>0</v>
      </c>
      <c r="R31" s="174">
        <v>0</v>
      </c>
      <c r="S31" s="174">
        <v>0</v>
      </c>
      <c r="T31" s="174">
        <v>0</v>
      </c>
      <c r="U31" s="174">
        <v>0</v>
      </c>
      <c r="V31" s="174">
        <v>0</v>
      </c>
      <c r="W31" s="212">
        <v>1</v>
      </c>
      <c r="X31" s="212"/>
      <c r="Y31" s="213"/>
      <c r="Z31" s="213"/>
      <c r="AA31" s="213"/>
      <c r="AB31" s="213"/>
      <c r="AC31" s="213"/>
      <c r="AD31" s="213"/>
      <c r="AE31" s="213"/>
      <c r="AF31" s="213"/>
      <c r="AG31" s="213"/>
      <c r="AH31" s="213"/>
      <c r="AI31" s="213"/>
      <c r="AJ31" s="213"/>
      <c r="AK31" s="213"/>
      <c r="AL31" s="213"/>
      <c r="AM31" s="213"/>
      <c r="AN31" s="213"/>
      <c r="AO31" s="213"/>
      <c r="AP31" s="213"/>
      <c r="AQ31" s="213"/>
      <c r="AR31" s="213"/>
      <c r="AS31" s="213"/>
      <c r="AT31" s="213"/>
      <c r="AU31" s="213"/>
      <c r="AV31" s="213"/>
      <c r="AW31" s="213"/>
      <c r="AX31" s="213"/>
      <c r="AY31" s="213"/>
      <c r="AZ31" s="213"/>
      <c r="BA31" s="213"/>
      <c r="BB31" s="213"/>
      <c r="BC31" s="213"/>
      <c r="BD31" s="213"/>
      <c r="BE31" s="213"/>
      <c r="BF31" s="213"/>
      <c r="BG31" s="213"/>
      <c r="BH31" s="213"/>
      <c r="BI31" s="213"/>
      <c r="BJ31" s="213"/>
      <c r="BK31" s="213"/>
      <c r="BL31" s="213"/>
      <c r="BM31" s="213"/>
      <c r="BN31" s="213"/>
      <c r="BO31" s="213"/>
      <c r="BP31" s="213"/>
      <c r="BQ31" s="213"/>
      <c r="BR31" s="213"/>
      <c r="BS31" s="213"/>
      <c r="BT31" s="213"/>
      <c r="BU31" s="213"/>
      <c r="BV31" s="213"/>
      <c r="BW31" s="213"/>
      <c r="BX31" s="213"/>
      <c r="BY31" s="213"/>
      <c r="BZ31" s="213"/>
      <c r="CA31" s="213"/>
      <c r="CB31" s="213"/>
      <c r="CC31" s="213"/>
      <c r="CD31" s="213"/>
      <c r="CE31" s="213"/>
      <c r="CF31" s="213"/>
      <c r="CG31" s="213"/>
      <c r="CH31" s="213"/>
      <c r="CI31" s="213"/>
      <c r="CJ31" s="213"/>
      <c r="CK31" s="213"/>
      <c r="CL31" s="213"/>
      <c r="CM31" s="213"/>
      <c r="CN31" s="213"/>
      <c r="CO31" s="213"/>
      <c r="CP31" s="213"/>
    </row>
    <row r="32" ht="12.75" customHeight="1">
      <c r="A32" s="216" t="s">
        <v>84</v>
      </c>
      <c r="B32" s="216" t="s">
        <v>174</v>
      </c>
      <c r="C32" s="174">
        <v>0</v>
      </c>
      <c r="D32" s="174">
        <v>0</v>
      </c>
      <c r="E32" s="174">
        <v>0</v>
      </c>
      <c r="F32" s="174">
        <v>0</v>
      </c>
      <c r="G32" s="174">
        <v>0</v>
      </c>
      <c r="H32" s="174">
        <v>0</v>
      </c>
      <c r="I32" s="174">
        <v>0</v>
      </c>
      <c r="J32" s="174">
        <v>0</v>
      </c>
      <c r="K32" s="174">
        <v>0</v>
      </c>
      <c r="L32" s="174">
        <v>0</v>
      </c>
      <c r="M32" s="174">
        <v>0</v>
      </c>
      <c r="N32" s="174">
        <v>0</v>
      </c>
      <c r="O32" s="174">
        <v>0</v>
      </c>
      <c r="P32" s="174">
        <v>0</v>
      </c>
      <c r="Q32" s="174">
        <v>0</v>
      </c>
      <c r="R32" s="174">
        <v>0</v>
      </c>
      <c r="S32" s="174">
        <v>0</v>
      </c>
      <c r="T32" s="174">
        <v>0</v>
      </c>
      <c r="U32" s="174">
        <v>0</v>
      </c>
      <c r="V32" s="174">
        <v>0</v>
      </c>
      <c r="W32" s="174">
        <v>0</v>
      </c>
      <c r="X32" s="212">
        <v>1</v>
      </c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J32" s="212"/>
      <c r="AK32" s="212"/>
      <c r="AL32" s="212"/>
      <c r="AM32" s="212"/>
      <c r="AN32" s="212"/>
      <c r="AO32" s="212"/>
      <c r="AP32" s="212"/>
      <c r="AQ32" s="212"/>
      <c r="AR32" s="213"/>
      <c r="AS32" s="213"/>
      <c r="AT32" s="213"/>
      <c r="AU32" s="213"/>
      <c r="AV32" s="213"/>
      <c r="AW32" s="213"/>
      <c r="AX32" s="213"/>
      <c r="AY32" s="213"/>
      <c r="AZ32" s="213"/>
      <c r="BA32" s="213"/>
      <c r="BB32" s="213"/>
      <c r="BC32" s="213"/>
      <c r="BD32" s="213"/>
      <c r="BE32" s="213"/>
      <c r="BF32" s="213"/>
      <c r="BG32" s="213"/>
      <c r="BH32" s="213"/>
      <c r="BI32" s="213"/>
      <c r="BJ32" s="213"/>
      <c r="BK32" s="213"/>
      <c r="BL32" s="213"/>
      <c r="BM32" s="213"/>
      <c r="BN32" s="213"/>
      <c r="BO32" s="213"/>
      <c r="BP32" s="213"/>
      <c r="BQ32" s="213"/>
      <c r="BR32" s="213"/>
      <c r="BS32" s="213"/>
      <c r="BT32" s="213"/>
      <c r="BU32" s="213"/>
      <c r="BV32" s="213"/>
      <c r="BW32" s="213"/>
      <c r="BX32" s="213"/>
      <c r="BY32" s="213"/>
      <c r="BZ32" s="213"/>
      <c r="CA32" s="213"/>
      <c r="CB32" s="213"/>
      <c r="CC32" s="213"/>
      <c r="CD32" s="213"/>
      <c r="CE32" s="213"/>
      <c r="CF32" s="213"/>
      <c r="CG32" s="213"/>
      <c r="CH32" s="213"/>
      <c r="CI32" s="213"/>
      <c r="CJ32" s="213"/>
      <c r="CK32" s="213"/>
      <c r="CL32" s="213"/>
      <c r="CM32" s="213"/>
      <c r="CN32" s="213"/>
      <c r="CO32" s="213"/>
      <c r="CP32" s="213"/>
    </row>
    <row r="33" ht="12.75" customHeight="1">
      <c r="A33" s="218" t="s">
        <v>175</v>
      </c>
      <c r="B33" s="218" t="s">
        <v>185</v>
      </c>
      <c r="C33" s="174">
        <v>0</v>
      </c>
      <c r="D33" s="174">
        <v>0</v>
      </c>
      <c r="E33" s="174">
        <v>0</v>
      </c>
      <c r="F33" s="174">
        <v>0</v>
      </c>
      <c r="G33" s="174">
        <v>0</v>
      </c>
      <c r="H33" s="174">
        <v>0</v>
      </c>
      <c r="I33" s="174">
        <v>0</v>
      </c>
      <c r="J33" s="174">
        <v>0</v>
      </c>
      <c r="K33" s="174">
        <v>0</v>
      </c>
      <c r="L33" s="174">
        <v>0</v>
      </c>
      <c r="M33" s="174">
        <v>0</v>
      </c>
      <c r="N33" s="174">
        <v>0</v>
      </c>
      <c r="O33" s="174">
        <v>0</v>
      </c>
      <c r="P33" s="174">
        <v>0</v>
      </c>
      <c r="Q33" s="174">
        <v>0</v>
      </c>
      <c r="R33" s="174">
        <v>0</v>
      </c>
      <c r="S33" s="174">
        <v>0</v>
      </c>
      <c r="T33" s="174">
        <v>0</v>
      </c>
      <c r="U33" s="174">
        <v>0</v>
      </c>
      <c r="V33" s="174">
        <v>0</v>
      </c>
      <c r="W33" s="174">
        <v>0</v>
      </c>
      <c r="X33" s="174">
        <v>0</v>
      </c>
      <c r="Y33" s="212">
        <v>1</v>
      </c>
      <c r="Z33" s="212"/>
      <c r="AA33" s="212"/>
      <c r="AB33" s="213"/>
      <c r="AC33" s="213"/>
      <c r="AD33" s="213"/>
      <c r="AE33" s="213"/>
      <c r="AF33" s="213"/>
      <c r="AG33" s="213"/>
      <c r="AH33" s="213"/>
      <c r="AI33" s="213"/>
      <c r="AJ33" s="213"/>
      <c r="AK33" s="213"/>
      <c r="AL33" s="213"/>
      <c r="AM33" s="213"/>
      <c r="AN33" s="213"/>
      <c r="AO33" s="213"/>
      <c r="AP33" s="213"/>
      <c r="AQ33" s="213"/>
      <c r="AR33" s="213"/>
      <c r="AS33" s="213"/>
      <c r="AT33" s="213"/>
      <c r="AU33" s="213"/>
      <c r="AV33" s="213"/>
      <c r="AW33" s="213"/>
      <c r="AX33" s="213"/>
      <c r="AY33" s="213"/>
      <c r="AZ33" s="213"/>
      <c r="BA33" s="213"/>
      <c r="BB33" s="213"/>
      <c r="BC33" s="213"/>
      <c r="BD33" s="213"/>
      <c r="BE33" s="213"/>
      <c r="BF33" s="213"/>
      <c r="BG33" s="213"/>
      <c r="BH33" s="213"/>
      <c r="BI33" s="213"/>
      <c r="BJ33" s="213"/>
      <c r="BK33" s="213"/>
      <c r="BL33" s="213"/>
      <c r="BM33" s="213"/>
      <c r="BN33" s="213"/>
      <c r="BO33" s="213"/>
      <c r="BP33" s="213"/>
      <c r="BQ33" s="213"/>
      <c r="BR33" s="213"/>
      <c r="BS33" s="213"/>
      <c r="BT33" s="213"/>
      <c r="BU33" s="213"/>
      <c r="BV33" s="213"/>
      <c r="BW33" s="213"/>
      <c r="BX33" s="213"/>
      <c r="BY33" s="213"/>
      <c r="BZ33" s="213"/>
      <c r="CA33" s="213"/>
      <c r="CB33" s="213"/>
      <c r="CC33" s="213"/>
      <c r="CD33" s="213"/>
      <c r="CE33" s="213"/>
      <c r="CF33" s="213"/>
      <c r="CG33" s="213"/>
      <c r="CH33" s="213"/>
      <c r="CI33" s="213"/>
      <c r="CJ33" s="213"/>
      <c r="CK33" s="213"/>
      <c r="CL33" s="213"/>
      <c r="CM33" s="213"/>
      <c r="CN33" s="213"/>
      <c r="CO33" s="213"/>
      <c r="CP33" s="213"/>
    </row>
    <row r="34" ht="12.75" customHeight="1">
      <c r="A34" s="218" t="s">
        <v>173</v>
      </c>
      <c r="B34" s="218" t="s">
        <v>185</v>
      </c>
      <c r="C34" s="174">
        <v>0</v>
      </c>
      <c r="D34" s="174">
        <v>0</v>
      </c>
      <c r="E34" s="174">
        <v>0</v>
      </c>
      <c r="F34" s="174">
        <v>0</v>
      </c>
      <c r="G34" s="174">
        <v>0</v>
      </c>
      <c r="H34" s="174">
        <v>0</v>
      </c>
      <c r="I34" s="174">
        <v>0</v>
      </c>
      <c r="J34" s="174">
        <v>0</v>
      </c>
      <c r="K34" s="174">
        <v>0</v>
      </c>
      <c r="L34" s="174">
        <v>0</v>
      </c>
      <c r="M34" s="174">
        <v>0</v>
      </c>
      <c r="N34" s="174">
        <v>0</v>
      </c>
      <c r="O34" s="174">
        <v>0</v>
      </c>
      <c r="P34" s="174">
        <v>0</v>
      </c>
      <c r="Q34" s="174">
        <v>0</v>
      </c>
      <c r="R34" s="174">
        <v>0</v>
      </c>
      <c r="S34" s="174">
        <v>0</v>
      </c>
      <c r="T34" s="174">
        <v>0</v>
      </c>
      <c r="U34" s="174">
        <v>0</v>
      </c>
      <c r="V34" s="174">
        <v>0</v>
      </c>
      <c r="W34" s="174">
        <v>0</v>
      </c>
      <c r="X34" s="174">
        <v>0</v>
      </c>
      <c r="Y34" s="174">
        <v>0</v>
      </c>
      <c r="Z34" s="212">
        <v>1</v>
      </c>
      <c r="AA34" s="212"/>
      <c r="AB34" s="213"/>
      <c r="AC34" s="213"/>
      <c r="AD34" s="213"/>
      <c r="AE34" s="213"/>
      <c r="AF34" s="213"/>
      <c r="AG34" s="213"/>
      <c r="AH34" s="213"/>
      <c r="AI34" s="213"/>
      <c r="AJ34" s="213"/>
      <c r="AK34" s="213"/>
      <c r="AL34" s="213"/>
      <c r="AM34" s="213"/>
      <c r="AN34" s="213"/>
      <c r="AO34" s="213"/>
      <c r="AP34" s="213"/>
      <c r="AQ34" s="213"/>
      <c r="AR34" s="213"/>
      <c r="AS34" s="213"/>
      <c r="AT34" s="213"/>
      <c r="AU34" s="213"/>
      <c r="AV34" s="213"/>
      <c r="AW34" s="213"/>
      <c r="AX34" s="213"/>
      <c r="AY34" s="213"/>
      <c r="AZ34" s="213"/>
      <c r="BA34" s="213"/>
      <c r="BB34" s="213"/>
      <c r="BC34" s="213"/>
      <c r="BD34" s="213"/>
      <c r="BE34" s="213"/>
      <c r="BF34" s="213"/>
      <c r="BG34" s="213"/>
      <c r="BH34" s="213"/>
      <c r="BI34" s="213"/>
      <c r="BJ34" s="213"/>
      <c r="BK34" s="213"/>
      <c r="BL34" s="213"/>
      <c r="BM34" s="213"/>
      <c r="BN34" s="213"/>
      <c r="BO34" s="213"/>
      <c r="BP34" s="213"/>
      <c r="BQ34" s="213"/>
      <c r="BR34" s="213"/>
      <c r="BS34" s="213"/>
      <c r="BT34" s="213"/>
      <c r="BU34" s="213"/>
      <c r="BV34" s="213"/>
      <c r="BW34" s="213"/>
      <c r="BX34" s="213"/>
      <c r="BY34" s="213"/>
      <c r="BZ34" s="213"/>
      <c r="CA34" s="213"/>
      <c r="CB34" s="213"/>
      <c r="CC34" s="213"/>
      <c r="CD34" s="213"/>
      <c r="CE34" s="213"/>
      <c r="CF34" s="213"/>
      <c r="CG34" s="213"/>
      <c r="CH34" s="213"/>
      <c r="CI34" s="213"/>
      <c r="CJ34" s="213"/>
      <c r="CK34" s="213"/>
      <c r="CL34" s="213"/>
      <c r="CM34" s="213"/>
      <c r="CN34" s="213"/>
      <c r="CO34" s="213"/>
      <c r="CP34" s="213"/>
    </row>
    <row r="35" ht="12.75" customHeight="1">
      <c r="A35" s="218" t="s">
        <v>176</v>
      </c>
      <c r="B35" s="218" t="s">
        <v>185</v>
      </c>
      <c r="C35" s="174">
        <v>0</v>
      </c>
      <c r="D35" s="174">
        <v>0</v>
      </c>
      <c r="E35" s="174">
        <v>0</v>
      </c>
      <c r="F35" s="174">
        <v>0</v>
      </c>
      <c r="G35" s="174">
        <v>0</v>
      </c>
      <c r="H35" s="174">
        <v>0</v>
      </c>
      <c r="I35" s="174">
        <v>0</v>
      </c>
      <c r="J35" s="174">
        <v>0</v>
      </c>
      <c r="K35" s="174">
        <v>0</v>
      </c>
      <c r="L35" s="174">
        <v>0</v>
      </c>
      <c r="M35" s="174">
        <v>0</v>
      </c>
      <c r="N35" s="174">
        <v>0</v>
      </c>
      <c r="O35" s="174">
        <v>0</v>
      </c>
      <c r="P35" s="174">
        <v>0</v>
      </c>
      <c r="Q35" s="174">
        <v>0</v>
      </c>
      <c r="R35" s="174">
        <v>0</v>
      </c>
      <c r="S35" s="174">
        <v>0</v>
      </c>
      <c r="T35" s="174">
        <v>0</v>
      </c>
      <c r="U35" s="174">
        <v>0</v>
      </c>
      <c r="V35" s="174">
        <v>0</v>
      </c>
      <c r="W35" s="174">
        <v>0</v>
      </c>
      <c r="X35" s="174">
        <v>0</v>
      </c>
      <c r="Y35" s="174">
        <v>0</v>
      </c>
      <c r="Z35" s="174">
        <v>0</v>
      </c>
      <c r="AA35" s="212">
        <v>1</v>
      </c>
      <c r="AB35" s="213"/>
      <c r="AC35" s="213"/>
      <c r="AD35" s="213"/>
      <c r="AE35" s="213"/>
      <c r="AF35" s="213"/>
      <c r="AG35" s="213"/>
      <c r="AH35" s="213"/>
      <c r="AI35" s="213"/>
      <c r="AJ35" s="213"/>
      <c r="AK35" s="213"/>
      <c r="AL35" s="213"/>
      <c r="AM35" s="213"/>
      <c r="AN35" s="213"/>
      <c r="AO35" s="213"/>
      <c r="AP35" s="213"/>
      <c r="AQ35" s="213"/>
      <c r="AR35" s="213"/>
      <c r="AS35" s="213"/>
      <c r="AT35" s="213"/>
      <c r="AU35" s="213"/>
      <c r="AV35" s="213"/>
      <c r="AW35" s="213"/>
      <c r="AX35" s="213"/>
      <c r="AY35" s="213"/>
      <c r="AZ35" s="213"/>
      <c r="BA35" s="213"/>
      <c r="BB35" s="213"/>
      <c r="BC35" s="213"/>
      <c r="BD35" s="213"/>
      <c r="BE35" s="213"/>
      <c r="BF35" s="213"/>
      <c r="BG35" s="213"/>
      <c r="BH35" s="213"/>
      <c r="BI35" s="213"/>
      <c r="BJ35" s="213"/>
      <c r="BK35" s="213"/>
      <c r="BL35" s="213"/>
      <c r="BM35" s="213"/>
      <c r="BN35" s="213"/>
      <c r="BO35" s="213"/>
      <c r="BP35" s="213"/>
      <c r="BQ35" s="213"/>
      <c r="BR35" s="213"/>
      <c r="BS35" s="213"/>
      <c r="BT35" s="213"/>
      <c r="BU35" s="213"/>
      <c r="BV35" s="213"/>
      <c r="BW35" s="213"/>
      <c r="BX35" s="213"/>
      <c r="BY35" s="213"/>
      <c r="BZ35" s="213"/>
      <c r="CA35" s="213"/>
      <c r="CB35" s="213"/>
      <c r="CC35" s="213"/>
      <c r="CD35" s="213"/>
      <c r="CE35" s="213"/>
      <c r="CF35" s="213"/>
      <c r="CG35" s="213"/>
      <c r="CH35" s="213"/>
      <c r="CI35" s="213"/>
      <c r="CJ35" s="213"/>
      <c r="CK35" s="213"/>
      <c r="CL35" s="213"/>
      <c r="CM35" s="213"/>
      <c r="CN35" s="213"/>
      <c r="CO35" s="213"/>
      <c r="CP35" s="213"/>
    </row>
    <row r="36" ht="12.75" customHeight="1">
      <c r="A36" s="218" t="s">
        <v>177</v>
      </c>
      <c r="B36" s="218" t="s">
        <v>185</v>
      </c>
      <c r="C36" s="174">
        <v>0</v>
      </c>
      <c r="D36" s="174">
        <v>0</v>
      </c>
      <c r="E36" s="174">
        <v>0</v>
      </c>
      <c r="F36" s="174">
        <v>0</v>
      </c>
      <c r="G36" s="174">
        <v>0</v>
      </c>
      <c r="H36" s="174">
        <v>0</v>
      </c>
      <c r="I36" s="174">
        <v>0</v>
      </c>
      <c r="J36" s="174">
        <v>0</v>
      </c>
      <c r="K36" s="174">
        <v>0</v>
      </c>
      <c r="L36" s="174">
        <v>0</v>
      </c>
      <c r="M36" s="174">
        <v>0</v>
      </c>
      <c r="N36" s="174">
        <v>0</v>
      </c>
      <c r="O36" s="174">
        <v>0</v>
      </c>
      <c r="P36" s="174">
        <v>0</v>
      </c>
      <c r="Q36" s="174">
        <v>0</v>
      </c>
      <c r="R36" s="174">
        <v>0</v>
      </c>
      <c r="S36" s="174">
        <v>0</v>
      </c>
      <c r="T36" s="174">
        <v>0</v>
      </c>
      <c r="U36" s="174">
        <v>0</v>
      </c>
      <c r="V36" s="174">
        <v>0</v>
      </c>
      <c r="W36" s="174">
        <v>0</v>
      </c>
      <c r="X36" s="174">
        <v>0</v>
      </c>
      <c r="Y36" s="174">
        <v>0</v>
      </c>
      <c r="Z36" s="174">
        <v>0</v>
      </c>
      <c r="AA36" s="174">
        <v>0</v>
      </c>
      <c r="AB36" s="212">
        <v>1</v>
      </c>
      <c r="AC36" s="212"/>
      <c r="AD36" s="212"/>
      <c r="AE36" s="212"/>
      <c r="AF36" s="212"/>
      <c r="AG36" s="213"/>
      <c r="AH36" s="213"/>
      <c r="AI36" s="213"/>
      <c r="AJ36" s="213"/>
      <c r="AK36" s="213"/>
      <c r="AL36" s="213"/>
      <c r="AM36" s="213"/>
      <c r="AN36" s="213"/>
      <c r="AO36" s="213"/>
      <c r="AP36" s="213"/>
      <c r="AQ36" s="213"/>
      <c r="AR36" s="213"/>
      <c r="AS36" s="213"/>
      <c r="AT36" s="213"/>
      <c r="AU36" s="213"/>
      <c r="AV36" s="213"/>
      <c r="AW36" s="213"/>
      <c r="AX36" s="213"/>
      <c r="AY36" s="213"/>
      <c r="AZ36" s="213"/>
      <c r="BA36" s="213"/>
      <c r="BB36" s="213"/>
      <c r="BC36" s="213"/>
      <c r="BD36" s="213"/>
      <c r="BE36" s="213"/>
      <c r="BF36" s="213"/>
      <c r="BG36" s="213"/>
      <c r="BH36" s="213"/>
      <c r="BI36" s="213"/>
      <c r="BJ36" s="213"/>
      <c r="BK36" s="213"/>
      <c r="BL36" s="213"/>
      <c r="BM36" s="213"/>
      <c r="BN36" s="213"/>
      <c r="BO36" s="213"/>
      <c r="BP36" s="213"/>
      <c r="BQ36" s="213"/>
      <c r="BR36" s="213"/>
      <c r="BS36" s="213"/>
      <c r="BT36" s="213"/>
      <c r="BU36" s="213"/>
      <c r="BV36" s="213"/>
      <c r="BW36" s="213"/>
      <c r="BX36" s="213"/>
      <c r="BY36" s="213"/>
      <c r="BZ36" s="213"/>
      <c r="CA36" s="213"/>
      <c r="CB36" s="213"/>
      <c r="CC36" s="213"/>
      <c r="CD36" s="213"/>
      <c r="CE36" s="213"/>
      <c r="CF36" s="213"/>
      <c r="CG36" s="213"/>
      <c r="CH36" s="213"/>
      <c r="CI36" s="213"/>
      <c r="CJ36" s="213"/>
      <c r="CK36" s="213"/>
      <c r="CL36" s="213"/>
      <c r="CM36" s="213"/>
      <c r="CN36" s="213"/>
      <c r="CO36" s="213"/>
      <c r="CP36" s="213"/>
    </row>
    <row r="37" ht="12.75" customHeight="1">
      <c r="A37" s="218" t="s">
        <v>179</v>
      </c>
      <c r="B37" s="218" t="s">
        <v>185</v>
      </c>
      <c r="C37" s="174">
        <v>0</v>
      </c>
      <c r="D37" s="174">
        <v>0</v>
      </c>
      <c r="E37" s="174">
        <v>0</v>
      </c>
      <c r="F37" s="174">
        <v>0</v>
      </c>
      <c r="G37" s="174">
        <v>0</v>
      </c>
      <c r="H37" s="174">
        <v>0</v>
      </c>
      <c r="I37" s="174">
        <v>0</v>
      </c>
      <c r="J37" s="174">
        <v>0</v>
      </c>
      <c r="K37" s="174">
        <v>0</v>
      </c>
      <c r="L37" s="174">
        <v>0</v>
      </c>
      <c r="M37" s="174">
        <v>0</v>
      </c>
      <c r="N37" s="174">
        <v>0</v>
      </c>
      <c r="O37" s="174">
        <v>0</v>
      </c>
      <c r="P37" s="174">
        <v>0</v>
      </c>
      <c r="Q37" s="174">
        <v>0</v>
      </c>
      <c r="R37" s="174">
        <v>0</v>
      </c>
      <c r="S37" s="174">
        <v>0</v>
      </c>
      <c r="T37" s="174">
        <v>0</v>
      </c>
      <c r="U37" s="174">
        <v>0</v>
      </c>
      <c r="V37" s="174">
        <v>0</v>
      </c>
      <c r="W37" s="174">
        <v>0</v>
      </c>
      <c r="X37" s="174">
        <v>0</v>
      </c>
      <c r="Y37" s="174">
        <v>0</v>
      </c>
      <c r="Z37" s="174">
        <v>0</v>
      </c>
      <c r="AA37" s="174">
        <v>0</v>
      </c>
      <c r="AB37" s="174">
        <v>0</v>
      </c>
      <c r="AC37" s="212">
        <v>1</v>
      </c>
      <c r="AD37" s="212"/>
      <c r="AE37" s="212"/>
      <c r="AF37" s="212"/>
      <c r="AG37" s="213"/>
      <c r="AH37" s="213"/>
      <c r="AI37" s="213"/>
      <c r="AJ37" s="213"/>
      <c r="AK37" s="213"/>
      <c r="AL37" s="213"/>
      <c r="AM37" s="213"/>
      <c r="AN37" s="213"/>
      <c r="AO37" s="213"/>
      <c r="AP37" s="213"/>
      <c r="AQ37" s="213"/>
      <c r="AR37" s="213"/>
      <c r="AS37" s="213"/>
      <c r="AT37" s="213"/>
      <c r="AU37" s="213"/>
      <c r="AV37" s="213"/>
      <c r="AW37" s="213"/>
      <c r="AX37" s="213"/>
      <c r="AY37" s="213"/>
      <c r="AZ37" s="213"/>
      <c r="BA37" s="213"/>
      <c r="BB37" s="213"/>
      <c r="BC37" s="213"/>
      <c r="BD37" s="213"/>
      <c r="BE37" s="213"/>
      <c r="BF37" s="213"/>
      <c r="BG37" s="213"/>
      <c r="BH37" s="213"/>
      <c r="BI37" s="213"/>
      <c r="BJ37" s="213"/>
      <c r="BK37" s="213"/>
      <c r="BL37" s="213"/>
      <c r="BM37" s="213"/>
      <c r="BN37" s="213"/>
      <c r="BO37" s="213"/>
      <c r="BP37" s="213"/>
      <c r="BQ37" s="213"/>
      <c r="BR37" s="213"/>
      <c r="BS37" s="213"/>
      <c r="BT37" s="213"/>
      <c r="BU37" s="213"/>
      <c r="BV37" s="213"/>
      <c r="BW37" s="213"/>
      <c r="BX37" s="213"/>
      <c r="BY37" s="213"/>
      <c r="BZ37" s="213"/>
      <c r="CA37" s="213"/>
      <c r="CB37" s="213"/>
      <c r="CC37" s="213"/>
      <c r="CD37" s="213"/>
      <c r="CE37" s="213"/>
      <c r="CF37" s="213"/>
      <c r="CG37" s="213"/>
      <c r="CH37" s="213"/>
      <c r="CI37" s="213"/>
      <c r="CJ37" s="213"/>
      <c r="CK37" s="213"/>
      <c r="CL37" s="213"/>
      <c r="CM37" s="213"/>
      <c r="CN37" s="213"/>
      <c r="CO37" s="213"/>
      <c r="CP37" s="213"/>
    </row>
    <row r="38" ht="12.75" customHeight="1">
      <c r="A38" s="218" t="s">
        <v>189</v>
      </c>
      <c r="B38" s="218" t="s">
        <v>185</v>
      </c>
      <c r="C38" s="174">
        <v>0</v>
      </c>
      <c r="D38" s="174">
        <v>0</v>
      </c>
      <c r="E38" s="174">
        <v>0</v>
      </c>
      <c r="F38" s="174">
        <v>0</v>
      </c>
      <c r="G38" s="174">
        <v>0</v>
      </c>
      <c r="H38" s="174">
        <v>0</v>
      </c>
      <c r="I38" s="174">
        <v>0</v>
      </c>
      <c r="J38" s="174">
        <v>0</v>
      </c>
      <c r="K38" s="174">
        <v>0</v>
      </c>
      <c r="L38" s="174">
        <v>0</v>
      </c>
      <c r="M38" s="174">
        <v>0</v>
      </c>
      <c r="N38" s="174">
        <v>0</v>
      </c>
      <c r="O38" s="174">
        <v>0</v>
      </c>
      <c r="P38" s="174">
        <v>0</v>
      </c>
      <c r="Q38" s="174">
        <v>0</v>
      </c>
      <c r="R38" s="174">
        <v>0</v>
      </c>
      <c r="S38" s="174">
        <v>0</v>
      </c>
      <c r="T38" s="174">
        <v>0</v>
      </c>
      <c r="U38" s="174">
        <v>0</v>
      </c>
      <c r="V38" s="174">
        <v>0</v>
      </c>
      <c r="W38" s="174">
        <v>0</v>
      </c>
      <c r="X38" s="174">
        <v>0</v>
      </c>
      <c r="Y38" s="174">
        <v>0</v>
      </c>
      <c r="Z38" s="174">
        <v>0</v>
      </c>
      <c r="AA38" s="174">
        <v>0</v>
      </c>
      <c r="AB38" s="174">
        <v>0</v>
      </c>
      <c r="AC38" s="174">
        <v>0</v>
      </c>
      <c r="AD38" s="212">
        <v>1</v>
      </c>
      <c r="AE38" s="212"/>
      <c r="AF38" s="212"/>
      <c r="AG38" s="213"/>
      <c r="AH38" s="213"/>
      <c r="AI38" s="213"/>
      <c r="AJ38" s="213"/>
      <c r="AK38" s="213"/>
      <c r="AL38" s="213"/>
      <c r="AM38" s="213"/>
      <c r="AN38" s="213"/>
      <c r="AO38" s="213"/>
      <c r="AP38" s="213"/>
      <c r="AQ38" s="213"/>
      <c r="AR38" s="213"/>
      <c r="AS38" s="213"/>
      <c r="AT38" s="213"/>
      <c r="AU38" s="213"/>
      <c r="AV38" s="213"/>
      <c r="AW38" s="213"/>
      <c r="AX38" s="213"/>
      <c r="AY38" s="213"/>
      <c r="AZ38" s="213"/>
      <c r="BA38" s="213"/>
      <c r="BB38" s="213"/>
      <c r="BC38" s="213"/>
      <c r="BD38" s="213"/>
      <c r="BE38" s="213"/>
      <c r="BF38" s="213"/>
      <c r="BG38" s="213"/>
      <c r="BH38" s="213"/>
      <c r="BI38" s="213"/>
      <c r="BJ38" s="213"/>
      <c r="BK38" s="213"/>
      <c r="BL38" s="213"/>
      <c r="BM38" s="213"/>
      <c r="BN38" s="213"/>
      <c r="BO38" s="213"/>
      <c r="BP38" s="213"/>
      <c r="BQ38" s="213"/>
      <c r="BR38" s="213"/>
      <c r="BS38" s="213"/>
      <c r="BT38" s="213"/>
      <c r="BU38" s="213"/>
      <c r="BV38" s="213"/>
      <c r="BW38" s="213"/>
      <c r="BX38" s="213"/>
      <c r="BY38" s="213"/>
      <c r="BZ38" s="213"/>
      <c r="CA38" s="213"/>
      <c r="CB38" s="213"/>
      <c r="CC38" s="213"/>
      <c r="CD38" s="213"/>
      <c r="CE38" s="213"/>
      <c r="CF38" s="213"/>
      <c r="CG38" s="213"/>
      <c r="CH38" s="213"/>
      <c r="CI38" s="213"/>
      <c r="CJ38" s="213"/>
      <c r="CK38" s="213"/>
      <c r="CL38" s="213"/>
      <c r="CM38" s="213"/>
      <c r="CN38" s="213"/>
      <c r="CO38" s="213"/>
      <c r="CP38" s="213"/>
    </row>
    <row r="39" ht="12.75" customHeight="1">
      <c r="A39" s="218" t="s">
        <v>178</v>
      </c>
      <c r="B39" s="218" t="s">
        <v>185</v>
      </c>
      <c r="C39" s="174">
        <v>0</v>
      </c>
      <c r="D39" s="174">
        <v>0</v>
      </c>
      <c r="E39" s="174">
        <v>0</v>
      </c>
      <c r="F39" s="174">
        <v>0</v>
      </c>
      <c r="G39" s="174">
        <v>0</v>
      </c>
      <c r="H39" s="174">
        <v>0</v>
      </c>
      <c r="I39" s="174">
        <v>0</v>
      </c>
      <c r="J39" s="174">
        <v>0</v>
      </c>
      <c r="K39" s="174">
        <v>0</v>
      </c>
      <c r="L39" s="174">
        <v>0</v>
      </c>
      <c r="M39" s="174">
        <v>0</v>
      </c>
      <c r="N39" s="174">
        <v>0</v>
      </c>
      <c r="O39" s="174">
        <v>0</v>
      </c>
      <c r="P39" s="174">
        <v>0</v>
      </c>
      <c r="Q39" s="174">
        <v>0</v>
      </c>
      <c r="R39" s="174">
        <v>0</v>
      </c>
      <c r="S39" s="174">
        <v>0</v>
      </c>
      <c r="T39" s="174">
        <v>0</v>
      </c>
      <c r="U39" s="174">
        <v>0</v>
      </c>
      <c r="V39" s="174">
        <v>0</v>
      </c>
      <c r="W39" s="174">
        <v>0</v>
      </c>
      <c r="X39" s="174">
        <v>0</v>
      </c>
      <c r="Y39" s="174">
        <v>0</v>
      </c>
      <c r="Z39" s="174">
        <v>0</v>
      </c>
      <c r="AA39" s="174">
        <v>0</v>
      </c>
      <c r="AB39" s="174">
        <v>0</v>
      </c>
      <c r="AC39" s="174">
        <v>0</v>
      </c>
      <c r="AD39" s="174">
        <v>0</v>
      </c>
      <c r="AE39" s="212">
        <v>1</v>
      </c>
      <c r="AF39" s="212"/>
      <c r="AG39" s="213"/>
      <c r="AH39" s="213"/>
      <c r="AI39" s="213"/>
      <c r="AJ39" s="213"/>
      <c r="AK39" s="213"/>
      <c r="AL39" s="213"/>
      <c r="AM39" s="213"/>
      <c r="AN39" s="213"/>
      <c r="AO39" s="213"/>
      <c r="AP39" s="213"/>
      <c r="AQ39" s="213"/>
      <c r="AR39" s="213"/>
      <c r="AS39" s="213"/>
      <c r="AT39" s="213"/>
      <c r="AU39" s="213"/>
      <c r="AV39" s="213"/>
      <c r="AW39" s="213"/>
      <c r="AX39" s="213"/>
      <c r="AY39" s="213"/>
      <c r="AZ39" s="213"/>
      <c r="BA39" s="213"/>
      <c r="BB39" s="213"/>
      <c r="BC39" s="213"/>
      <c r="BD39" s="213"/>
      <c r="BE39" s="213"/>
      <c r="BF39" s="213"/>
      <c r="BG39" s="213"/>
      <c r="BH39" s="213"/>
      <c r="BI39" s="213"/>
      <c r="BJ39" s="213"/>
      <c r="BK39" s="213"/>
      <c r="BL39" s="213"/>
      <c r="BM39" s="213"/>
      <c r="BN39" s="213"/>
      <c r="BO39" s="213"/>
      <c r="BP39" s="213"/>
      <c r="BQ39" s="213"/>
      <c r="BR39" s="213"/>
      <c r="BS39" s="213"/>
      <c r="BT39" s="213"/>
      <c r="BU39" s="213"/>
      <c r="BV39" s="213"/>
      <c r="BW39" s="213"/>
      <c r="BX39" s="213"/>
      <c r="BY39" s="213"/>
      <c r="BZ39" s="213"/>
      <c r="CA39" s="213"/>
      <c r="CB39" s="213"/>
      <c r="CC39" s="213"/>
      <c r="CD39" s="213"/>
      <c r="CE39" s="213"/>
      <c r="CF39" s="213"/>
      <c r="CG39" s="213"/>
      <c r="CH39" s="213"/>
      <c r="CI39" s="213"/>
      <c r="CJ39" s="213"/>
      <c r="CK39" s="213"/>
      <c r="CL39" s="213"/>
      <c r="CM39" s="213"/>
      <c r="CN39" s="213"/>
      <c r="CO39" s="213"/>
      <c r="CP39" s="213"/>
    </row>
    <row r="40" ht="12.75" customHeight="1">
      <c r="A40" s="218" t="s">
        <v>190</v>
      </c>
      <c r="B40" s="218" t="s">
        <v>185</v>
      </c>
      <c r="C40" s="174">
        <v>0</v>
      </c>
      <c r="D40" s="174">
        <v>0</v>
      </c>
      <c r="E40" s="174">
        <v>0</v>
      </c>
      <c r="F40" s="174">
        <v>0</v>
      </c>
      <c r="G40" s="174">
        <v>0</v>
      </c>
      <c r="H40" s="174">
        <v>0</v>
      </c>
      <c r="I40" s="174">
        <v>0</v>
      </c>
      <c r="J40" s="174">
        <v>0</v>
      </c>
      <c r="K40" s="174">
        <v>0</v>
      </c>
      <c r="L40" s="174">
        <v>0</v>
      </c>
      <c r="M40" s="174">
        <v>0</v>
      </c>
      <c r="N40" s="174">
        <v>0</v>
      </c>
      <c r="O40" s="174">
        <v>0</v>
      </c>
      <c r="P40" s="174">
        <v>0</v>
      </c>
      <c r="Q40" s="174">
        <v>0</v>
      </c>
      <c r="R40" s="174">
        <v>0</v>
      </c>
      <c r="S40" s="174">
        <v>0</v>
      </c>
      <c r="T40" s="174">
        <v>0</v>
      </c>
      <c r="U40" s="174">
        <v>0</v>
      </c>
      <c r="V40" s="174">
        <v>0</v>
      </c>
      <c r="W40" s="174">
        <v>0</v>
      </c>
      <c r="X40" s="174">
        <v>0</v>
      </c>
      <c r="Y40" s="174">
        <v>0</v>
      </c>
      <c r="Z40" s="174">
        <v>0</v>
      </c>
      <c r="AA40" s="174">
        <v>0</v>
      </c>
      <c r="AB40" s="174">
        <v>0</v>
      </c>
      <c r="AC40" s="174">
        <v>0</v>
      </c>
      <c r="AD40" s="174">
        <v>0</v>
      </c>
      <c r="AE40" s="174">
        <v>0</v>
      </c>
      <c r="AF40" s="212">
        <v>1</v>
      </c>
      <c r="AG40" s="213"/>
      <c r="AH40" s="213"/>
      <c r="AI40" s="213"/>
      <c r="AJ40" s="213"/>
      <c r="AK40" s="213"/>
      <c r="AL40" s="213"/>
      <c r="AM40" s="213"/>
      <c r="AN40" s="213"/>
      <c r="AO40" s="213"/>
      <c r="AP40" s="213"/>
      <c r="AQ40" s="213"/>
      <c r="AR40" s="213"/>
      <c r="AS40" s="213"/>
      <c r="AT40" s="213"/>
      <c r="AU40" s="213"/>
      <c r="AV40" s="213"/>
      <c r="AW40" s="213"/>
      <c r="AX40" s="213"/>
      <c r="AY40" s="213"/>
      <c r="AZ40" s="213"/>
      <c r="BA40" s="213"/>
      <c r="BB40" s="213"/>
      <c r="BC40" s="213"/>
      <c r="BD40" s="213"/>
      <c r="BE40" s="213"/>
      <c r="BF40" s="213"/>
      <c r="BG40" s="213"/>
      <c r="BH40" s="213"/>
      <c r="BI40" s="213"/>
      <c r="BJ40" s="213"/>
      <c r="BK40" s="213"/>
      <c r="BL40" s="213"/>
      <c r="BM40" s="213"/>
      <c r="BN40" s="213"/>
      <c r="BO40" s="213"/>
      <c r="BP40" s="213"/>
      <c r="BQ40" s="213"/>
      <c r="BR40" s="213"/>
      <c r="BS40" s="213"/>
      <c r="BT40" s="213"/>
      <c r="BU40" s="213"/>
      <c r="BV40" s="213"/>
      <c r="BW40" s="213"/>
      <c r="BX40" s="213"/>
      <c r="BY40" s="213"/>
      <c r="BZ40" s="213"/>
      <c r="CA40" s="213"/>
      <c r="CB40" s="213"/>
      <c r="CC40" s="213"/>
      <c r="CD40" s="213"/>
      <c r="CE40" s="213"/>
      <c r="CF40" s="213"/>
      <c r="CG40" s="213"/>
      <c r="CH40" s="213"/>
      <c r="CI40" s="213"/>
      <c r="CJ40" s="213"/>
      <c r="CK40" s="213"/>
      <c r="CL40" s="213"/>
      <c r="CM40" s="213"/>
      <c r="CN40" s="213"/>
      <c r="CO40" s="213"/>
      <c r="CP40" s="213"/>
    </row>
    <row r="41" ht="12.75" customHeight="1">
      <c r="A41" s="218" t="s">
        <v>85</v>
      </c>
      <c r="B41" s="218" t="s">
        <v>185</v>
      </c>
      <c r="C41" s="174">
        <v>0</v>
      </c>
      <c r="D41" s="174">
        <v>0</v>
      </c>
      <c r="E41" s="174">
        <v>0</v>
      </c>
      <c r="F41" s="174">
        <v>0</v>
      </c>
      <c r="G41" s="174">
        <v>0</v>
      </c>
      <c r="H41" s="174">
        <v>0</v>
      </c>
      <c r="I41" s="174">
        <v>0</v>
      </c>
      <c r="J41" s="174">
        <v>0</v>
      </c>
      <c r="K41" s="174">
        <v>0</v>
      </c>
      <c r="L41" s="174">
        <v>0</v>
      </c>
      <c r="M41" s="174">
        <v>0</v>
      </c>
      <c r="N41" s="174">
        <v>0</v>
      </c>
      <c r="O41" s="174">
        <v>0</v>
      </c>
      <c r="P41" s="174">
        <v>0</v>
      </c>
      <c r="Q41" s="174">
        <v>0</v>
      </c>
      <c r="R41" s="174">
        <v>0</v>
      </c>
      <c r="S41" s="174">
        <v>0</v>
      </c>
      <c r="T41" s="174">
        <v>0</v>
      </c>
      <c r="U41" s="174">
        <v>0</v>
      </c>
      <c r="V41" s="174">
        <v>0</v>
      </c>
      <c r="W41" s="174">
        <v>0</v>
      </c>
      <c r="X41" s="174">
        <v>0</v>
      </c>
      <c r="Y41" s="174">
        <v>0</v>
      </c>
      <c r="Z41" s="174">
        <v>0</v>
      </c>
      <c r="AA41" s="174">
        <v>0</v>
      </c>
      <c r="AB41" s="174">
        <v>0</v>
      </c>
      <c r="AC41" s="174">
        <v>0</v>
      </c>
      <c r="AD41" s="174">
        <v>0</v>
      </c>
      <c r="AE41" s="174">
        <v>0</v>
      </c>
      <c r="AF41" s="174">
        <v>0</v>
      </c>
      <c r="AG41" s="212">
        <v>1</v>
      </c>
      <c r="AH41" s="213"/>
      <c r="AI41" s="213"/>
      <c r="AJ41" s="213"/>
      <c r="AK41" s="213"/>
      <c r="AL41" s="213"/>
      <c r="AM41" s="213"/>
      <c r="AN41" s="213"/>
      <c r="AO41" s="213"/>
      <c r="AP41" s="213"/>
      <c r="AQ41" s="213"/>
      <c r="AR41" s="213"/>
      <c r="AS41" s="213"/>
      <c r="AT41" s="213"/>
      <c r="AU41" s="213"/>
      <c r="AV41" s="213"/>
      <c r="AW41" s="213"/>
      <c r="AX41" s="213"/>
      <c r="AY41" s="213"/>
      <c r="AZ41" s="213"/>
      <c r="BA41" s="213"/>
      <c r="BB41" s="213"/>
      <c r="BC41" s="213"/>
      <c r="BD41" s="213"/>
      <c r="BE41" s="213"/>
      <c r="BF41" s="213"/>
      <c r="BG41" s="213"/>
      <c r="BH41" s="213"/>
      <c r="BI41" s="213"/>
      <c r="BJ41" s="213"/>
      <c r="BK41" s="213"/>
      <c r="BL41" s="213"/>
      <c r="BM41" s="213"/>
      <c r="BN41" s="213"/>
      <c r="BO41" s="213"/>
      <c r="BP41" s="213"/>
      <c r="BQ41" s="213"/>
      <c r="BR41" s="213"/>
      <c r="BS41" s="213"/>
      <c r="BT41" s="213"/>
      <c r="BU41" s="213"/>
      <c r="BV41" s="213"/>
      <c r="BW41" s="213"/>
      <c r="BX41" s="213"/>
      <c r="BY41" s="213"/>
      <c r="BZ41" s="213"/>
      <c r="CA41" s="213"/>
      <c r="CB41" s="213"/>
      <c r="CC41" s="213"/>
      <c r="CD41" s="213"/>
      <c r="CE41" s="213"/>
      <c r="CF41" s="213"/>
      <c r="CG41" s="213"/>
      <c r="CH41" s="213"/>
      <c r="CI41" s="213"/>
      <c r="CJ41" s="213"/>
      <c r="CK41" s="213"/>
      <c r="CL41" s="213"/>
      <c r="CM41" s="213"/>
      <c r="CN41" s="213"/>
      <c r="CO41" s="213"/>
      <c r="CP41" s="213"/>
    </row>
    <row r="42" ht="12.75" customHeight="1">
      <c r="A42" s="218" t="s">
        <v>227</v>
      </c>
      <c r="B42" s="218" t="s">
        <v>185</v>
      </c>
      <c r="C42" s="174">
        <v>0</v>
      </c>
      <c r="D42" s="174">
        <v>0</v>
      </c>
      <c r="E42" s="174">
        <v>0</v>
      </c>
      <c r="F42" s="174">
        <v>0</v>
      </c>
      <c r="G42" s="174">
        <v>0</v>
      </c>
      <c r="H42" s="174">
        <v>0</v>
      </c>
      <c r="I42" s="174">
        <v>0</v>
      </c>
      <c r="J42" s="174">
        <v>0</v>
      </c>
      <c r="K42" s="174">
        <v>0</v>
      </c>
      <c r="L42" s="174">
        <v>0</v>
      </c>
      <c r="M42" s="174">
        <v>0</v>
      </c>
      <c r="N42" s="174">
        <v>0</v>
      </c>
      <c r="O42" s="174">
        <v>0</v>
      </c>
      <c r="P42" s="174">
        <v>0</v>
      </c>
      <c r="Q42" s="174">
        <v>0</v>
      </c>
      <c r="R42" s="174">
        <v>0</v>
      </c>
      <c r="S42" s="174">
        <v>0</v>
      </c>
      <c r="T42" s="174">
        <v>0</v>
      </c>
      <c r="U42" s="174">
        <v>0</v>
      </c>
      <c r="V42" s="174">
        <v>0</v>
      </c>
      <c r="W42" s="174">
        <v>0</v>
      </c>
      <c r="X42" s="174">
        <v>0</v>
      </c>
      <c r="Y42" s="174">
        <v>0</v>
      </c>
      <c r="Z42" s="174">
        <v>0</v>
      </c>
      <c r="AA42" s="174">
        <v>0</v>
      </c>
      <c r="AB42" s="174">
        <v>0</v>
      </c>
      <c r="AC42" s="174">
        <v>0</v>
      </c>
      <c r="AD42" s="174">
        <v>0</v>
      </c>
      <c r="AE42" s="174">
        <v>0</v>
      </c>
      <c r="AF42" s="174">
        <v>0</v>
      </c>
      <c r="AG42" s="174">
        <v>0</v>
      </c>
      <c r="AH42" s="212">
        <v>1</v>
      </c>
      <c r="AI42" s="212"/>
      <c r="AJ42" s="212"/>
      <c r="AK42" s="213"/>
      <c r="AL42" s="213"/>
      <c r="AM42" s="213"/>
      <c r="AN42" s="213"/>
      <c r="AO42" s="213"/>
      <c r="AP42" s="213"/>
      <c r="AQ42" s="213"/>
      <c r="AR42" s="213"/>
      <c r="AS42" s="213"/>
      <c r="AT42" s="213"/>
      <c r="AU42" s="213"/>
      <c r="AV42" s="213"/>
      <c r="AW42" s="213"/>
      <c r="AX42" s="213"/>
      <c r="AY42" s="213"/>
      <c r="AZ42" s="213"/>
      <c r="BA42" s="213"/>
      <c r="BB42" s="213"/>
      <c r="BC42" s="213"/>
      <c r="BD42" s="213"/>
      <c r="BE42" s="213"/>
      <c r="BF42" s="213"/>
      <c r="BG42" s="213"/>
      <c r="BH42" s="213"/>
      <c r="BI42" s="213"/>
      <c r="BJ42" s="213"/>
      <c r="BK42" s="213"/>
      <c r="BL42" s="213"/>
      <c r="BM42" s="213"/>
      <c r="BN42" s="213"/>
      <c r="BO42" s="213"/>
      <c r="BP42" s="213"/>
      <c r="BQ42" s="213"/>
      <c r="BR42" s="213"/>
      <c r="BS42" s="213"/>
      <c r="BT42" s="213"/>
      <c r="BU42" s="213"/>
      <c r="BV42" s="213"/>
      <c r="BW42" s="213"/>
      <c r="BX42" s="213"/>
      <c r="BY42" s="213"/>
      <c r="BZ42" s="213"/>
      <c r="CA42" s="213"/>
      <c r="CB42" s="213"/>
      <c r="CC42" s="213"/>
      <c r="CD42" s="213"/>
      <c r="CE42" s="213"/>
      <c r="CF42" s="213"/>
      <c r="CG42" s="213"/>
      <c r="CH42" s="213"/>
      <c r="CI42" s="213"/>
      <c r="CJ42" s="213"/>
      <c r="CK42" s="213"/>
      <c r="CL42" s="213"/>
      <c r="CM42" s="213"/>
      <c r="CN42" s="213"/>
      <c r="CO42" s="213"/>
      <c r="CP42" s="213"/>
    </row>
    <row r="43" ht="12.75" customHeight="1">
      <c r="A43" s="218" t="s">
        <v>191</v>
      </c>
      <c r="B43" s="218" t="s">
        <v>185</v>
      </c>
      <c r="C43" s="174">
        <v>0</v>
      </c>
      <c r="D43" s="174">
        <v>0</v>
      </c>
      <c r="E43" s="174">
        <v>0</v>
      </c>
      <c r="F43" s="174">
        <v>0</v>
      </c>
      <c r="G43" s="174">
        <v>0</v>
      </c>
      <c r="H43" s="174">
        <v>0</v>
      </c>
      <c r="I43" s="174">
        <v>0</v>
      </c>
      <c r="J43" s="174">
        <v>0</v>
      </c>
      <c r="K43" s="174">
        <v>0</v>
      </c>
      <c r="L43" s="174">
        <v>0</v>
      </c>
      <c r="M43" s="174">
        <v>0</v>
      </c>
      <c r="N43" s="174">
        <v>0</v>
      </c>
      <c r="O43" s="174">
        <v>0</v>
      </c>
      <c r="P43" s="174">
        <v>0</v>
      </c>
      <c r="Q43" s="174">
        <v>0</v>
      </c>
      <c r="R43" s="174">
        <v>0</v>
      </c>
      <c r="S43" s="174">
        <v>0</v>
      </c>
      <c r="T43" s="174">
        <v>0</v>
      </c>
      <c r="U43" s="174">
        <v>0</v>
      </c>
      <c r="V43" s="174">
        <v>0</v>
      </c>
      <c r="W43" s="174">
        <v>0</v>
      </c>
      <c r="X43" s="174">
        <v>0</v>
      </c>
      <c r="Y43" s="174">
        <v>0</v>
      </c>
      <c r="Z43" s="174">
        <v>0</v>
      </c>
      <c r="AA43" s="174">
        <v>0</v>
      </c>
      <c r="AB43" s="174">
        <v>0</v>
      </c>
      <c r="AC43" s="174">
        <v>0</v>
      </c>
      <c r="AD43" s="174">
        <v>0</v>
      </c>
      <c r="AE43" s="174">
        <v>0</v>
      </c>
      <c r="AF43" s="174">
        <v>0</v>
      </c>
      <c r="AG43" s="174">
        <v>0</v>
      </c>
      <c r="AH43" s="174">
        <v>0</v>
      </c>
      <c r="AI43" s="212">
        <v>1</v>
      </c>
      <c r="AJ43" s="212"/>
      <c r="AK43" s="213"/>
      <c r="AL43" s="213"/>
      <c r="AM43" s="213"/>
      <c r="AN43" s="213"/>
      <c r="AO43" s="213"/>
      <c r="AP43" s="213"/>
      <c r="AQ43" s="213"/>
      <c r="AR43" s="213"/>
      <c r="AS43" s="213"/>
      <c r="AT43" s="213"/>
      <c r="AU43" s="213"/>
      <c r="AV43" s="213"/>
      <c r="AW43" s="213"/>
      <c r="AX43" s="213"/>
      <c r="AY43" s="213"/>
      <c r="AZ43" s="213"/>
      <c r="BA43" s="213"/>
      <c r="BB43" s="213"/>
      <c r="BC43" s="213"/>
      <c r="BD43" s="213"/>
      <c r="BE43" s="213"/>
      <c r="BF43" s="213"/>
      <c r="BG43" s="213"/>
      <c r="BH43" s="213"/>
      <c r="BI43" s="213"/>
      <c r="BJ43" s="213"/>
      <c r="BK43" s="213"/>
      <c r="BL43" s="213"/>
      <c r="BM43" s="213"/>
      <c r="BN43" s="213"/>
      <c r="BO43" s="213"/>
      <c r="BP43" s="213"/>
      <c r="BQ43" s="213"/>
      <c r="BR43" s="213"/>
      <c r="BS43" s="213"/>
      <c r="BT43" s="213"/>
      <c r="BU43" s="213"/>
      <c r="BV43" s="213"/>
      <c r="BW43" s="213"/>
      <c r="BX43" s="213"/>
      <c r="BY43" s="213"/>
      <c r="BZ43" s="213"/>
      <c r="CA43" s="213"/>
      <c r="CB43" s="213"/>
      <c r="CC43" s="213"/>
      <c r="CD43" s="213"/>
      <c r="CE43" s="213"/>
      <c r="CF43" s="213"/>
      <c r="CG43" s="213"/>
      <c r="CH43" s="213"/>
      <c r="CI43" s="213"/>
      <c r="CJ43" s="213"/>
      <c r="CK43" s="213"/>
      <c r="CL43" s="213"/>
      <c r="CM43" s="213"/>
      <c r="CN43" s="213"/>
      <c r="CO43" s="213"/>
      <c r="CP43" s="213"/>
    </row>
    <row r="44" ht="12.75" customHeight="1">
      <c r="A44" s="218" t="s">
        <v>180</v>
      </c>
      <c r="B44" s="218" t="s">
        <v>185</v>
      </c>
      <c r="C44" s="174">
        <v>0</v>
      </c>
      <c r="D44" s="174">
        <v>0</v>
      </c>
      <c r="E44" s="174">
        <v>0</v>
      </c>
      <c r="F44" s="174">
        <v>0</v>
      </c>
      <c r="G44" s="174">
        <v>0</v>
      </c>
      <c r="H44" s="174">
        <v>0</v>
      </c>
      <c r="I44" s="174">
        <v>0</v>
      </c>
      <c r="J44" s="174">
        <v>0</v>
      </c>
      <c r="K44" s="174">
        <v>0</v>
      </c>
      <c r="L44" s="174">
        <v>0</v>
      </c>
      <c r="M44" s="174">
        <v>0</v>
      </c>
      <c r="N44" s="174">
        <v>0</v>
      </c>
      <c r="O44" s="174">
        <v>0</v>
      </c>
      <c r="P44" s="174">
        <v>0</v>
      </c>
      <c r="Q44" s="174">
        <v>0</v>
      </c>
      <c r="R44" s="174">
        <v>0</v>
      </c>
      <c r="S44" s="174">
        <v>0</v>
      </c>
      <c r="T44" s="174">
        <v>0</v>
      </c>
      <c r="U44" s="174">
        <v>0</v>
      </c>
      <c r="V44" s="174">
        <v>0</v>
      </c>
      <c r="W44" s="174">
        <v>0</v>
      </c>
      <c r="X44" s="174">
        <v>0</v>
      </c>
      <c r="Y44" s="174">
        <v>0</v>
      </c>
      <c r="Z44" s="174">
        <v>0</v>
      </c>
      <c r="AA44" s="174">
        <v>0</v>
      </c>
      <c r="AB44" s="174">
        <v>0</v>
      </c>
      <c r="AC44" s="174">
        <v>0</v>
      </c>
      <c r="AD44" s="174">
        <v>0</v>
      </c>
      <c r="AE44" s="174">
        <v>0</v>
      </c>
      <c r="AF44" s="174">
        <v>0</v>
      </c>
      <c r="AG44" s="174">
        <v>0</v>
      </c>
      <c r="AH44" s="174">
        <v>0</v>
      </c>
      <c r="AI44" s="174">
        <v>0</v>
      </c>
      <c r="AJ44" s="212">
        <v>1</v>
      </c>
      <c r="AK44" s="213"/>
      <c r="AL44" s="213"/>
      <c r="AM44" s="213"/>
      <c r="AN44" s="213"/>
      <c r="AO44" s="213"/>
      <c r="AP44" s="213"/>
      <c r="AQ44" s="213"/>
      <c r="AR44" s="213"/>
      <c r="AS44" s="213"/>
      <c r="AT44" s="213"/>
      <c r="AU44" s="213"/>
      <c r="AV44" s="213"/>
      <c r="AW44" s="213"/>
      <c r="AX44" s="213"/>
      <c r="AY44" s="213"/>
      <c r="AZ44" s="213"/>
      <c r="BA44" s="213"/>
      <c r="BB44" s="213"/>
      <c r="BC44" s="213"/>
      <c r="BD44" s="213"/>
      <c r="BE44" s="213"/>
      <c r="BF44" s="213"/>
      <c r="BG44" s="213"/>
      <c r="BH44" s="213"/>
      <c r="BI44" s="213"/>
      <c r="BJ44" s="213"/>
      <c r="BK44" s="213"/>
      <c r="BL44" s="213"/>
      <c r="BM44" s="213"/>
      <c r="BN44" s="213"/>
      <c r="BO44" s="213"/>
      <c r="BP44" s="213"/>
      <c r="BQ44" s="213"/>
      <c r="BR44" s="213"/>
      <c r="BS44" s="213"/>
      <c r="BT44" s="213"/>
      <c r="BU44" s="213"/>
      <c r="BV44" s="213"/>
      <c r="BW44" s="213"/>
      <c r="BX44" s="213"/>
      <c r="BY44" s="213"/>
      <c r="BZ44" s="213"/>
      <c r="CA44" s="213"/>
      <c r="CB44" s="213"/>
      <c r="CC44" s="213"/>
      <c r="CD44" s="213"/>
      <c r="CE44" s="213"/>
      <c r="CF44" s="213"/>
      <c r="CG44" s="213"/>
      <c r="CH44" s="213"/>
      <c r="CI44" s="213"/>
      <c r="CJ44" s="213"/>
      <c r="CK44" s="213"/>
      <c r="CL44" s="213"/>
      <c r="CM44" s="213"/>
      <c r="CN44" s="213"/>
      <c r="CO44" s="213"/>
      <c r="CP44" s="213"/>
    </row>
    <row r="45" ht="12.75" customHeight="1">
      <c r="A45" s="218" t="s">
        <v>181</v>
      </c>
      <c r="B45" s="218" t="s">
        <v>185</v>
      </c>
      <c r="C45" s="174">
        <v>0</v>
      </c>
      <c r="D45" s="174">
        <v>0</v>
      </c>
      <c r="E45" s="174">
        <v>0</v>
      </c>
      <c r="F45" s="174">
        <v>0</v>
      </c>
      <c r="G45" s="174">
        <v>0</v>
      </c>
      <c r="H45" s="174">
        <v>0</v>
      </c>
      <c r="I45" s="174">
        <v>0</v>
      </c>
      <c r="J45" s="174">
        <v>0</v>
      </c>
      <c r="K45" s="174">
        <v>0</v>
      </c>
      <c r="L45" s="174">
        <v>0</v>
      </c>
      <c r="M45" s="174">
        <v>0</v>
      </c>
      <c r="N45" s="174">
        <v>0</v>
      </c>
      <c r="O45" s="174">
        <v>0</v>
      </c>
      <c r="P45" s="174">
        <v>0</v>
      </c>
      <c r="Q45" s="174">
        <v>0</v>
      </c>
      <c r="R45" s="174">
        <v>0</v>
      </c>
      <c r="S45" s="174">
        <v>0</v>
      </c>
      <c r="T45" s="174">
        <v>0</v>
      </c>
      <c r="U45" s="174">
        <v>0</v>
      </c>
      <c r="V45" s="174">
        <v>0</v>
      </c>
      <c r="W45" s="174">
        <v>0</v>
      </c>
      <c r="X45" s="174">
        <v>0</v>
      </c>
      <c r="Y45" s="174">
        <v>0</v>
      </c>
      <c r="Z45" s="174">
        <v>0</v>
      </c>
      <c r="AA45" s="174">
        <v>0</v>
      </c>
      <c r="AB45" s="174">
        <v>0</v>
      </c>
      <c r="AC45" s="174">
        <v>0</v>
      </c>
      <c r="AD45" s="174">
        <v>0</v>
      </c>
      <c r="AE45" s="174">
        <v>0</v>
      </c>
      <c r="AF45" s="174">
        <v>0</v>
      </c>
      <c r="AG45" s="174">
        <v>0</v>
      </c>
      <c r="AH45" s="174">
        <v>0</v>
      </c>
      <c r="AI45" s="174">
        <v>0</v>
      </c>
      <c r="AJ45" s="174">
        <v>0</v>
      </c>
      <c r="AK45" s="212">
        <v>1</v>
      </c>
      <c r="AL45" s="212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</row>
    <row r="46" ht="12.75" customHeight="1">
      <c r="A46" s="218" t="s">
        <v>182</v>
      </c>
      <c r="B46" s="218" t="s">
        <v>185</v>
      </c>
      <c r="C46" s="174">
        <v>0</v>
      </c>
      <c r="D46" s="174">
        <v>0</v>
      </c>
      <c r="E46" s="174">
        <v>0</v>
      </c>
      <c r="F46" s="174">
        <v>0</v>
      </c>
      <c r="G46" s="174">
        <v>0</v>
      </c>
      <c r="H46" s="174">
        <v>0</v>
      </c>
      <c r="I46" s="174">
        <v>0</v>
      </c>
      <c r="J46" s="174">
        <v>0</v>
      </c>
      <c r="K46" s="174">
        <v>0</v>
      </c>
      <c r="L46" s="174">
        <v>0</v>
      </c>
      <c r="M46" s="174">
        <v>0</v>
      </c>
      <c r="N46" s="174">
        <v>0</v>
      </c>
      <c r="O46" s="174">
        <v>0</v>
      </c>
      <c r="P46" s="174">
        <v>0</v>
      </c>
      <c r="Q46" s="174">
        <v>0</v>
      </c>
      <c r="R46" s="174">
        <v>0</v>
      </c>
      <c r="S46" s="174">
        <v>0</v>
      </c>
      <c r="T46" s="174">
        <v>0</v>
      </c>
      <c r="U46" s="174">
        <v>0</v>
      </c>
      <c r="V46" s="174">
        <v>0</v>
      </c>
      <c r="W46" s="174">
        <v>0</v>
      </c>
      <c r="X46" s="174">
        <v>0</v>
      </c>
      <c r="Y46" s="174">
        <v>0</v>
      </c>
      <c r="Z46" s="174">
        <v>0</v>
      </c>
      <c r="AA46" s="174">
        <v>0</v>
      </c>
      <c r="AB46" s="174">
        <v>0</v>
      </c>
      <c r="AC46" s="174">
        <v>0</v>
      </c>
      <c r="AD46" s="174">
        <v>0</v>
      </c>
      <c r="AE46" s="174">
        <v>0</v>
      </c>
      <c r="AF46" s="174">
        <v>0</v>
      </c>
      <c r="AG46" s="174">
        <v>0</v>
      </c>
      <c r="AH46" s="174">
        <v>0</v>
      </c>
      <c r="AI46" s="174">
        <v>0</v>
      </c>
      <c r="AJ46" s="174">
        <v>0</v>
      </c>
      <c r="AK46" s="174">
        <v>0</v>
      </c>
      <c r="AL46" s="212">
        <v>1</v>
      </c>
      <c r="AM46" s="213"/>
      <c r="AN46" s="213"/>
      <c r="AO46" s="213"/>
      <c r="AP46" s="213"/>
      <c r="AQ46" s="213"/>
      <c r="AR46" s="213"/>
      <c r="AS46" s="213"/>
      <c r="AT46" s="213"/>
      <c r="AU46" s="213"/>
      <c r="AV46" s="213"/>
      <c r="AW46" s="213"/>
      <c r="AX46" s="213"/>
      <c r="AY46" s="213"/>
      <c r="AZ46" s="213"/>
      <c r="BA46" s="213"/>
      <c r="BB46" s="213"/>
      <c r="BC46" s="213"/>
      <c r="BD46" s="213"/>
      <c r="BE46" s="213"/>
      <c r="BF46" s="213"/>
      <c r="BG46" s="213"/>
      <c r="BH46" s="213"/>
      <c r="BI46" s="213"/>
      <c r="BJ46" s="213"/>
      <c r="BK46" s="213"/>
      <c r="BL46" s="213"/>
      <c r="BM46" s="213"/>
      <c r="BN46" s="213"/>
      <c r="BO46" s="213"/>
      <c r="BP46" s="213"/>
      <c r="BQ46" s="213"/>
      <c r="BR46" s="213"/>
      <c r="BS46" s="213"/>
      <c r="BT46" s="213"/>
      <c r="BU46" s="213"/>
      <c r="BV46" s="213"/>
      <c r="BW46" s="213"/>
      <c r="BX46" s="213"/>
      <c r="BY46" s="213"/>
      <c r="BZ46" s="213"/>
      <c r="CA46" s="213"/>
      <c r="CB46" s="213"/>
      <c r="CC46" s="213"/>
      <c r="CD46" s="213"/>
      <c r="CE46" s="213"/>
      <c r="CF46" s="213"/>
      <c r="CG46" s="213"/>
      <c r="CH46" s="213"/>
      <c r="CI46" s="213"/>
      <c r="CJ46" s="213"/>
      <c r="CK46" s="213"/>
      <c r="CL46" s="213"/>
      <c r="CM46" s="213"/>
      <c r="CN46" s="213"/>
      <c r="CO46" s="213"/>
      <c r="CP46" s="213"/>
    </row>
    <row r="47" ht="12.75" customHeight="1">
      <c r="A47" s="218" t="s">
        <v>184</v>
      </c>
      <c r="B47" s="218" t="s">
        <v>185</v>
      </c>
      <c r="C47" s="174">
        <v>0</v>
      </c>
      <c r="D47" s="174">
        <v>0</v>
      </c>
      <c r="E47" s="174">
        <v>0</v>
      </c>
      <c r="F47" s="174">
        <v>0</v>
      </c>
      <c r="G47" s="174">
        <v>0</v>
      </c>
      <c r="H47" s="174">
        <v>0</v>
      </c>
      <c r="I47" s="174">
        <v>0</v>
      </c>
      <c r="J47" s="174">
        <v>0</v>
      </c>
      <c r="K47" s="174">
        <v>0</v>
      </c>
      <c r="L47" s="174">
        <v>0</v>
      </c>
      <c r="M47" s="174">
        <v>0</v>
      </c>
      <c r="N47" s="174">
        <v>0</v>
      </c>
      <c r="O47" s="174">
        <v>0</v>
      </c>
      <c r="P47" s="174">
        <v>0</v>
      </c>
      <c r="Q47" s="174">
        <v>0</v>
      </c>
      <c r="R47" s="174">
        <v>0</v>
      </c>
      <c r="S47" s="174">
        <v>0</v>
      </c>
      <c r="T47" s="174">
        <v>0</v>
      </c>
      <c r="U47" s="174">
        <v>0</v>
      </c>
      <c r="V47" s="174">
        <v>0</v>
      </c>
      <c r="W47" s="174">
        <v>0</v>
      </c>
      <c r="X47" s="174">
        <v>0</v>
      </c>
      <c r="Y47" s="174">
        <v>0</v>
      </c>
      <c r="Z47" s="174">
        <v>0</v>
      </c>
      <c r="AA47" s="174">
        <v>0</v>
      </c>
      <c r="AB47" s="174">
        <v>0</v>
      </c>
      <c r="AC47" s="174">
        <v>0</v>
      </c>
      <c r="AD47" s="174">
        <v>0</v>
      </c>
      <c r="AE47" s="174">
        <v>0</v>
      </c>
      <c r="AF47" s="174">
        <v>0</v>
      </c>
      <c r="AG47" s="174">
        <v>0</v>
      </c>
      <c r="AH47" s="174">
        <v>0</v>
      </c>
      <c r="AI47" s="174">
        <v>0</v>
      </c>
      <c r="AJ47" s="174">
        <v>0</v>
      </c>
      <c r="AK47" s="174">
        <v>0</v>
      </c>
      <c r="AL47" s="174">
        <v>0</v>
      </c>
      <c r="AM47" s="212">
        <v>1</v>
      </c>
      <c r="AN47" s="212"/>
      <c r="AO47" s="212"/>
      <c r="AP47" s="212"/>
      <c r="AQ47" s="212"/>
      <c r="AR47" s="213"/>
      <c r="AS47" s="213"/>
      <c r="AT47" s="213"/>
      <c r="AU47" s="213"/>
      <c r="AV47" s="213"/>
      <c r="AW47" s="213"/>
      <c r="AX47" s="213"/>
      <c r="AY47" s="213"/>
      <c r="AZ47" s="213"/>
      <c r="BA47" s="213"/>
      <c r="BB47" s="213"/>
      <c r="BC47" s="213"/>
      <c r="BD47" s="213"/>
      <c r="BE47" s="213"/>
      <c r="BF47" s="213"/>
      <c r="BG47" s="213"/>
      <c r="BH47" s="213"/>
      <c r="BI47" s="213"/>
      <c r="BJ47" s="213"/>
      <c r="BK47" s="213"/>
      <c r="BL47" s="213"/>
      <c r="BM47" s="213"/>
      <c r="BN47" s="213"/>
      <c r="BO47" s="213"/>
      <c r="BP47" s="213"/>
      <c r="BQ47" s="213"/>
      <c r="BR47" s="213"/>
      <c r="BS47" s="213"/>
      <c r="BT47" s="213"/>
      <c r="BU47" s="213"/>
      <c r="BV47" s="213"/>
      <c r="BW47" s="213"/>
      <c r="BX47" s="213"/>
      <c r="BY47" s="213"/>
      <c r="BZ47" s="213"/>
      <c r="CA47" s="213"/>
      <c r="CB47" s="213"/>
      <c r="CC47" s="213"/>
      <c r="CD47" s="213"/>
      <c r="CE47" s="213"/>
      <c r="CF47" s="213"/>
      <c r="CG47" s="213"/>
      <c r="CH47" s="213"/>
      <c r="CI47" s="213"/>
      <c r="CJ47" s="213"/>
      <c r="CK47" s="213"/>
      <c r="CL47" s="213"/>
      <c r="CM47" s="213"/>
      <c r="CN47" s="213"/>
      <c r="CO47" s="213"/>
      <c r="CP47" s="213"/>
    </row>
    <row r="48" ht="12.75" customHeight="1">
      <c r="A48" s="218" t="s">
        <v>183</v>
      </c>
      <c r="B48" s="218" t="s">
        <v>185</v>
      </c>
      <c r="C48" s="174">
        <v>0</v>
      </c>
      <c r="D48" s="174">
        <v>0</v>
      </c>
      <c r="E48" s="174">
        <v>0</v>
      </c>
      <c r="F48" s="174">
        <v>0</v>
      </c>
      <c r="G48" s="174">
        <v>0</v>
      </c>
      <c r="H48" s="174">
        <v>0</v>
      </c>
      <c r="I48" s="174">
        <v>0</v>
      </c>
      <c r="J48" s="174">
        <v>0</v>
      </c>
      <c r="K48" s="174">
        <v>0</v>
      </c>
      <c r="L48" s="174">
        <v>0</v>
      </c>
      <c r="M48" s="174">
        <v>0</v>
      </c>
      <c r="N48" s="174">
        <v>0</v>
      </c>
      <c r="O48" s="174">
        <v>0</v>
      </c>
      <c r="P48" s="174">
        <v>0</v>
      </c>
      <c r="Q48" s="174">
        <v>0</v>
      </c>
      <c r="R48" s="174">
        <v>0</v>
      </c>
      <c r="S48" s="174">
        <v>0</v>
      </c>
      <c r="T48" s="174">
        <v>0</v>
      </c>
      <c r="U48" s="174">
        <v>0</v>
      </c>
      <c r="V48" s="174">
        <v>0</v>
      </c>
      <c r="W48" s="174">
        <v>0</v>
      </c>
      <c r="X48" s="174">
        <v>0</v>
      </c>
      <c r="Y48" s="174">
        <v>0</v>
      </c>
      <c r="Z48" s="174">
        <v>0</v>
      </c>
      <c r="AA48" s="174">
        <v>0</v>
      </c>
      <c r="AB48" s="174">
        <v>0</v>
      </c>
      <c r="AC48" s="174">
        <v>0</v>
      </c>
      <c r="AD48" s="174">
        <v>0</v>
      </c>
      <c r="AE48" s="174">
        <v>0</v>
      </c>
      <c r="AF48" s="174">
        <v>0</v>
      </c>
      <c r="AG48" s="174">
        <v>0</v>
      </c>
      <c r="AH48" s="174">
        <v>0</v>
      </c>
      <c r="AI48" s="174">
        <v>0</v>
      </c>
      <c r="AJ48" s="174">
        <v>0</v>
      </c>
      <c r="AK48" s="174">
        <v>0</v>
      </c>
      <c r="AL48" s="174">
        <v>0</v>
      </c>
      <c r="AM48" s="174">
        <v>0</v>
      </c>
      <c r="AN48" s="212">
        <v>1</v>
      </c>
      <c r="AO48" s="212"/>
      <c r="AP48" s="212"/>
      <c r="AQ48" s="212"/>
      <c r="AR48" s="213"/>
      <c r="AS48" s="213"/>
      <c r="AT48" s="213"/>
      <c r="AU48" s="213"/>
      <c r="AV48" s="213"/>
      <c r="AW48" s="213"/>
      <c r="AX48" s="213"/>
      <c r="AY48" s="213"/>
      <c r="AZ48" s="213"/>
      <c r="BA48" s="213"/>
      <c r="BB48" s="213"/>
      <c r="BC48" s="213"/>
      <c r="BD48" s="213"/>
      <c r="BE48" s="213"/>
      <c r="BF48" s="213"/>
      <c r="BG48" s="213"/>
      <c r="BH48" s="213"/>
      <c r="BI48" s="213"/>
      <c r="BJ48" s="213"/>
      <c r="BK48" s="213"/>
      <c r="BL48" s="213"/>
      <c r="BM48" s="213"/>
      <c r="BN48" s="213"/>
      <c r="BO48" s="213"/>
      <c r="BP48" s="213"/>
      <c r="BQ48" s="213"/>
      <c r="BR48" s="213"/>
      <c r="BS48" s="213"/>
      <c r="BT48" s="213"/>
      <c r="BU48" s="213"/>
      <c r="BV48" s="213"/>
      <c r="BW48" s="213"/>
      <c r="BX48" s="213"/>
      <c r="BY48" s="213"/>
      <c r="BZ48" s="213"/>
      <c r="CA48" s="213"/>
      <c r="CB48" s="213"/>
      <c r="CC48" s="213"/>
      <c r="CD48" s="213"/>
      <c r="CE48" s="213"/>
      <c r="CF48" s="213"/>
      <c r="CG48" s="213"/>
      <c r="CH48" s="213"/>
      <c r="CI48" s="213"/>
      <c r="CJ48" s="213"/>
      <c r="CK48" s="213"/>
      <c r="CL48" s="213"/>
      <c r="CM48" s="213"/>
      <c r="CN48" s="213"/>
      <c r="CO48" s="213"/>
      <c r="CP48" s="213"/>
    </row>
    <row r="49" ht="12.75" customHeight="1">
      <c r="A49" s="218" t="s">
        <v>192</v>
      </c>
      <c r="B49" s="218" t="s">
        <v>185</v>
      </c>
      <c r="C49" s="174">
        <v>0</v>
      </c>
      <c r="D49" s="174">
        <v>0</v>
      </c>
      <c r="E49" s="174">
        <v>0</v>
      </c>
      <c r="F49" s="174">
        <v>0</v>
      </c>
      <c r="G49" s="174">
        <v>0</v>
      </c>
      <c r="H49" s="174">
        <v>0</v>
      </c>
      <c r="I49" s="174">
        <v>0</v>
      </c>
      <c r="J49" s="174">
        <v>0</v>
      </c>
      <c r="K49" s="174">
        <v>0</v>
      </c>
      <c r="L49" s="174">
        <v>0</v>
      </c>
      <c r="M49" s="174">
        <v>0</v>
      </c>
      <c r="N49" s="174">
        <v>0</v>
      </c>
      <c r="O49" s="174">
        <v>0</v>
      </c>
      <c r="P49" s="174">
        <v>0</v>
      </c>
      <c r="Q49" s="174">
        <v>0</v>
      </c>
      <c r="R49" s="174">
        <v>0</v>
      </c>
      <c r="S49" s="174">
        <v>0</v>
      </c>
      <c r="T49" s="174">
        <v>0</v>
      </c>
      <c r="U49" s="174">
        <v>0</v>
      </c>
      <c r="V49" s="174">
        <v>0</v>
      </c>
      <c r="W49" s="174">
        <v>0</v>
      </c>
      <c r="X49" s="174">
        <v>0</v>
      </c>
      <c r="Y49" s="174">
        <v>0</v>
      </c>
      <c r="Z49" s="174">
        <v>0</v>
      </c>
      <c r="AA49" s="174">
        <v>0</v>
      </c>
      <c r="AB49" s="174">
        <v>0</v>
      </c>
      <c r="AC49" s="174">
        <v>0</v>
      </c>
      <c r="AD49" s="174">
        <v>0</v>
      </c>
      <c r="AE49" s="174">
        <v>0</v>
      </c>
      <c r="AF49" s="174">
        <v>0</v>
      </c>
      <c r="AG49" s="174">
        <v>0</v>
      </c>
      <c r="AH49" s="174">
        <v>0</v>
      </c>
      <c r="AI49" s="174">
        <v>0</v>
      </c>
      <c r="AJ49" s="174">
        <v>0</v>
      </c>
      <c r="AK49" s="174">
        <v>0</v>
      </c>
      <c r="AL49" s="174">
        <v>0</v>
      </c>
      <c r="AM49" s="174">
        <v>0</v>
      </c>
      <c r="AN49" s="174">
        <v>0</v>
      </c>
      <c r="AO49" s="212">
        <v>1</v>
      </c>
      <c r="AP49" s="212"/>
      <c r="AQ49" s="212"/>
      <c r="AR49" s="213"/>
      <c r="AS49" s="213"/>
      <c r="AT49" s="213"/>
      <c r="AU49" s="213"/>
      <c r="AV49" s="213"/>
      <c r="AW49" s="213"/>
      <c r="AX49" s="213"/>
      <c r="AY49" s="213"/>
      <c r="AZ49" s="213"/>
      <c r="BA49" s="213"/>
      <c r="BB49" s="213"/>
      <c r="BC49" s="213"/>
      <c r="BD49" s="213"/>
      <c r="BE49" s="213"/>
      <c r="BF49" s="213"/>
      <c r="BG49" s="213"/>
      <c r="BH49" s="213"/>
      <c r="BI49" s="213"/>
      <c r="BJ49" s="213"/>
      <c r="BK49" s="213"/>
      <c r="BL49" s="213"/>
      <c r="BM49" s="213"/>
      <c r="BN49" s="213"/>
      <c r="BO49" s="213"/>
      <c r="BP49" s="213"/>
      <c r="BQ49" s="213"/>
      <c r="BR49" s="213"/>
      <c r="BS49" s="213"/>
      <c r="BT49" s="213"/>
      <c r="BU49" s="213"/>
      <c r="BV49" s="213"/>
      <c r="BW49" s="213"/>
      <c r="BX49" s="213"/>
      <c r="BY49" s="213"/>
      <c r="BZ49" s="213"/>
      <c r="CA49" s="213"/>
      <c r="CB49" s="213"/>
      <c r="CC49" s="213"/>
      <c r="CD49" s="213"/>
      <c r="CE49" s="213"/>
      <c r="CF49" s="213"/>
      <c r="CG49" s="213"/>
      <c r="CH49" s="213"/>
      <c r="CI49" s="213"/>
      <c r="CJ49" s="213"/>
      <c r="CK49" s="213"/>
      <c r="CL49" s="213"/>
      <c r="CM49" s="213"/>
      <c r="CN49" s="213"/>
      <c r="CO49" s="213"/>
      <c r="CP49" s="213"/>
    </row>
    <row r="50" ht="12.75" customHeight="1">
      <c r="A50" s="218" t="s">
        <v>193</v>
      </c>
      <c r="B50" s="218" t="s">
        <v>185</v>
      </c>
      <c r="C50" s="174">
        <v>0</v>
      </c>
      <c r="D50" s="174">
        <v>0</v>
      </c>
      <c r="E50" s="174">
        <v>0</v>
      </c>
      <c r="F50" s="174">
        <v>0</v>
      </c>
      <c r="G50" s="174">
        <v>0</v>
      </c>
      <c r="H50" s="174">
        <v>0</v>
      </c>
      <c r="I50" s="174">
        <v>0</v>
      </c>
      <c r="J50" s="174">
        <v>0</v>
      </c>
      <c r="K50" s="174">
        <v>0</v>
      </c>
      <c r="L50" s="174">
        <v>0</v>
      </c>
      <c r="M50" s="174">
        <v>0</v>
      </c>
      <c r="N50" s="174">
        <v>0</v>
      </c>
      <c r="O50" s="174">
        <v>0</v>
      </c>
      <c r="P50" s="174">
        <v>0</v>
      </c>
      <c r="Q50" s="174">
        <v>0</v>
      </c>
      <c r="R50" s="174">
        <v>0</v>
      </c>
      <c r="S50" s="174">
        <v>0</v>
      </c>
      <c r="T50" s="174">
        <v>0</v>
      </c>
      <c r="U50" s="174">
        <v>0</v>
      </c>
      <c r="V50" s="174">
        <v>0</v>
      </c>
      <c r="W50" s="174">
        <v>0</v>
      </c>
      <c r="X50" s="174">
        <v>0</v>
      </c>
      <c r="Y50" s="174">
        <v>0</v>
      </c>
      <c r="Z50" s="174">
        <v>0</v>
      </c>
      <c r="AA50" s="174">
        <v>0</v>
      </c>
      <c r="AB50" s="174">
        <v>0</v>
      </c>
      <c r="AC50" s="174">
        <v>0</v>
      </c>
      <c r="AD50" s="174">
        <v>0</v>
      </c>
      <c r="AE50" s="174">
        <v>0</v>
      </c>
      <c r="AF50" s="174">
        <v>0</v>
      </c>
      <c r="AG50" s="174">
        <v>0</v>
      </c>
      <c r="AH50" s="174">
        <v>0</v>
      </c>
      <c r="AI50" s="174">
        <v>0</v>
      </c>
      <c r="AJ50" s="174">
        <v>0</v>
      </c>
      <c r="AK50" s="174">
        <v>0</v>
      </c>
      <c r="AL50" s="174">
        <v>0</v>
      </c>
      <c r="AM50" s="174">
        <v>0</v>
      </c>
      <c r="AN50" s="174">
        <v>0</v>
      </c>
      <c r="AO50" s="174">
        <v>0</v>
      </c>
      <c r="AP50" s="212">
        <v>1</v>
      </c>
      <c r="AQ50" s="212"/>
      <c r="AR50" s="213"/>
      <c r="AS50" s="213"/>
      <c r="AT50" s="213"/>
      <c r="AU50" s="213"/>
      <c r="AV50" s="213"/>
      <c r="AW50" s="213"/>
      <c r="AX50" s="213"/>
      <c r="AY50" s="213"/>
      <c r="AZ50" s="213"/>
      <c r="BA50" s="213"/>
      <c r="BB50" s="213"/>
      <c r="BC50" s="213"/>
      <c r="BD50" s="213"/>
      <c r="BE50" s="213"/>
      <c r="BF50" s="213"/>
      <c r="BG50" s="213"/>
      <c r="BH50" s="213"/>
      <c r="BI50" s="213"/>
      <c r="BJ50" s="213"/>
      <c r="BK50" s="213"/>
      <c r="BL50" s="213"/>
      <c r="BM50" s="213"/>
      <c r="BN50" s="213"/>
      <c r="BO50" s="213"/>
      <c r="BP50" s="213"/>
      <c r="BQ50" s="213"/>
      <c r="BR50" s="213"/>
      <c r="BS50" s="213"/>
      <c r="BT50" s="213"/>
      <c r="BU50" s="213"/>
      <c r="BV50" s="213"/>
      <c r="BW50" s="213"/>
      <c r="BX50" s="213"/>
      <c r="BY50" s="213"/>
      <c r="BZ50" s="213"/>
      <c r="CA50" s="213"/>
      <c r="CB50" s="213"/>
      <c r="CC50" s="213"/>
      <c r="CD50" s="213"/>
      <c r="CE50" s="213"/>
      <c r="CF50" s="213"/>
      <c r="CG50" s="213"/>
      <c r="CH50" s="213"/>
      <c r="CI50" s="213"/>
      <c r="CJ50" s="213"/>
      <c r="CK50" s="213"/>
      <c r="CL50" s="213"/>
      <c r="CM50" s="213"/>
      <c r="CN50" s="213"/>
      <c r="CO50" s="213"/>
      <c r="CP50" s="213"/>
    </row>
    <row r="51" ht="12.75" customHeight="1">
      <c r="A51" s="218" t="s">
        <v>194</v>
      </c>
      <c r="B51" s="218" t="s">
        <v>185</v>
      </c>
      <c r="C51" s="174">
        <v>0</v>
      </c>
      <c r="D51" s="174">
        <v>0</v>
      </c>
      <c r="E51" s="174">
        <v>0</v>
      </c>
      <c r="F51" s="174">
        <v>0</v>
      </c>
      <c r="G51" s="174">
        <v>0</v>
      </c>
      <c r="H51" s="174">
        <v>0</v>
      </c>
      <c r="I51" s="174">
        <v>0</v>
      </c>
      <c r="J51" s="174">
        <v>0</v>
      </c>
      <c r="K51" s="174">
        <v>0</v>
      </c>
      <c r="L51" s="174">
        <v>0</v>
      </c>
      <c r="M51" s="174">
        <v>0</v>
      </c>
      <c r="N51" s="174">
        <v>0</v>
      </c>
      <c r="O51" s="174">
        <v>0</v>
      </c>
      <c r="P51" s="174">
        <v>0</v>
      </c>
      <c r="Q51" s="174">
        <v>0</v>
      </c>
      <c r="R51" s="174">
        <v>0</v>
      </c>
      <c r="S51" s="174">
        <v>0</v>
      </c>
      <c r="T51" s="174">
        <v>0</v>
      </c>
      <c r="U51" s="174">
        <v>0</v>
      </c>
      <c r="V51" s="174">
        <v>0</v>
      </c>
      <c r="W51" s="174">
        <v>0</v>
      </c>
      <c r="X51" s="174">
        <v>0</v>
      </c>
      <c r="Y51" s="174">
        <v>0</v>
      </c>
      <c r="Z51" s="174">
        <v>0</v>
      </c>
      <c r="AA51" s="174">
        <v>0</v>
      </c>
      <c r="AB51" s="174">
        <v>0</v>
      </c>
      <c r="AC51" s="174">
        <v>0</v>
      </c>
      <c r="AD51" s="174">
        <v>0</v>
      </c>
      <c r="AE51" s="174">
        <v>0</v>
      </c>
      <c r="AF51" s="174">
        <v>0</v>
      </c>
      <c r="AG51" s="174">
        <v>0</v>
      </c>
      <c r="AH51" s="174">
        <v>0</v>
      </c>
      <c r="AI51" s="174">
        <v>0</v>
      </c>
      <c r="AJ51" s="174">
        <v>0</v>
      </c>
      <c r="AK51" s="174">
        <v>0</v>
      </c>
      <c r="AL51" s="174">
        <v>0</v>
      </c>
      <c r="AM51" s="174">
        <v>0</v>
      </c>
      <c r="AN51" s="174">
        <v>0</v>
      </c>
      <c r="AO51" s="174">
        <v>0</v>
      </c>
      <c r="AP51" s="174">
        <v>0</v>
      </c>
      <c r="AQ51" s="212">
        <v>1</v>
      </c>
      <c r="AR51" s="213"/>
      <c r="AS51" s="213"/>
      <c r="AT51" s="213"/>
      <c r="AU51" s="213"/>
      <c r="AV51" s="213"/>
      <c r="AW51" s="213"/>
      <c r="AX51" s="213"/>
      <c r="AY51" s="213"/>
      <c r="AZ51" s="213"/>
      <c r="BA51" s="213"/>
      <c r="BB51" s="213"/>
      <c r="BC51" s="213"/>
      <c r="BD51" s="213"/>
      <c r="BE51" s="213"/>
      <c r="BF51" s="213"/>
      <c r="BG51" s="213"/>
      <c r="BH51" s="213"/>
      <c r="BI51" s="213"/>
      <c r="BJ51" s="213"/>
      <c r="BK51" s="213"/>
      <c r="BL51" s="213"/>
      <c r="BM51" s="213"/>
      <c r="BN51" s="213"/>
      <c r="BO51" s="213"/>
      <c r="BP51" s="213"/>
      <c r="BQ51" s="213"/>
      <c r="BR51" s="213"/>
      <c r="BS51" s="213"/>
      <c r="BT51" s="213"/>
      <c r="BU51" s="213"/>
      <c r="BV51" s="213"/>
      <c r="BW51" s="213"/>
      <c r="BX51" s="213"/>
      <c r="BY51" s="213"/>
      <c r="BZ51" s="213"/>
      <c r="CA51" s="213"/>
      <c r="CB51" s="213"/>
      <c r="CC51" s="213"/>
      <c r="CD51" s="213"/>
      <c r="CE51" s="213"/>
      <c r="CF51" s="213"/>
      <c r="CG51" s="213"/>
      <c r="CH51" s="213"/>
      <c r="CI51" s="213"/>
      <c r="CJ51" s="213"/>
      <c r="CK51" s="213"/>
      <c r="CL51" s="213"/>
      <c r="CM51" s="213"/>
      <c r="CN51" s="213"/>
      <c r="CO51" s="213"/>
      <c r="CP51" s="213"/>
    </row>
    <row r="52" ht="12.75" customHeight="1">
      <c r="A52" s="218" t="s">
        <v>84</v>
      </c>
      <c r="B52" s="218" t="s">
        <v>185</v>
      </c>
      <c r="C52" s="174">
        <v>0</v>
      </c>
      <c r="D52" s="174">
        <v>0</v>
      </c>
      <c r="E52" s="174">
        <v>0</v>
      </c>
      <c r="F52" s="174">
        <v>0</v>
      </c>
      <c r="G52" s="174">
        <v>0</v>
      </c>
      <c r="H52" s="174">
        <v>0</v>
      </c>
      <c r="I52" s="174">
        <v>0</v>
      </c>
      <c r="J52" s="174">
        <v>0</v>
      </c>
      <c r="K52" s="174">
        <v>0</v>
      </c>
      <c r="L52" s="174">
        <v>0</v>
      </c>
      <c r="M52" s="174">
        <v>0</v>
      </c>
      <c r="N52" s="174">
        <v>0</v>
      </c>
      <c r="O52" s="174">
        <v>0</v>
      </c>
      <c r="P52" s="174">
        <v>0</v>
      </c>
      <c r="Q52" s="174">
        <v>0</v>
      </c>
      <c r="R52" s="174">
        <v>0</v>
      </c>
      <c r="S52" s="174">
        <v>0</v>
      </c>
      <c r="T52" s="174">
        <v>0</v>
      </c>
      <c r="U52" s="174">
        <v>0</v>
      </c>
      <c r="V52" s="174">
        <v>0</v>
      </c>
      <c r="W52" s="174">
        <v>0</v>
      </c>
      <c r="X52" s="174">
        <v>0</v>
      </c>
      <c r="Y52" s="174">
        <v>0</v>
      </c>
      <c r="Z52" s="174">
        <v>0</v>
      </c>
      <c r="AA52" s="174">
        <v>0</v>
      </c>
      <c r="AB52" s="174">
        <v>0</v>
      </c>
      <c r="AC52" s="174">
        <v>0</v>
      </c>
      <c r="AD52" s="174">
        <v>0</v>
      </c>
      <c r="AE52" s="174">
        <v>0</v>
      </c>
      <c r="AF52" s="174">
        <v>0</v>
      </c>
      <c r="AG52" s="174">
        <v>0</v>
      </c>
      <c r="AH52" s="174">
        <v>0</v>
      </c>
      <c r="AI52" s="174">
        <v>0</v>
      </c>
      <c r="AJ52" s="174">
        <v>0</v>
      </c>
      <c r="AK52" s="174">
        <v>0</v>
      </c>
      <c r="AL52" s="174">
        <v>0</v>
      </c>
      <c r="AM52" s="174">
        <v>0</v>
      </c>
      <c r="AN52" s="174">
        <v>0</v>
      </c>
      <c r="AO52" s="174">
        <v>0</v>
      </c>
      <c r="AP52" s="174">
        <v>0</v>
      </c>
      <c r="AQ52" s="174">
        <v>0</v>
      </c>
      <c r="AR52" s="212">
        <v>1</v>
      </c>
      <c r="AS52" s="213"/>
      <c r="AT52" s="213"/>
      <c r="AU52" s="213"/>
      <c r="AV52" s="213"/>
      <c r="AW52" s="213"/>
      <c r="AX52" s="213"/>
      <c r="AY52" s="213"/>
      <c r="AZ52" s="213"/>
      <c r="BA52" s="213"/>
      <c r="BB52" s="213"/>
      <c r="BC52" s="213"/>
      <c r="BD52" s="213"/>
      <c r="BE52" s="213"/>
      <c r="BF52" s="213"/>
      <c r="BG52" s="213"/>
      <c r="BH52" s="213"/>
      <c r="BI52" s="213"/>
      <c r="BJ52" s="213"/>
      <c r="BK52" s="213"/>
      <c r="BL52" s="213"/>
      <c r="BM52" s="213"/>
      <c r="BN52" s="213"/>
      <c r="BO52" s="213"/>
      <c r="BP52" s="213"/>
      <c r="BQ52" s="213"/>
      <c r="BR52" s="213"/>
      <c r="BS52" s="213"/>
      <c r="BT52" s="213"/>
      <c r="BU52" s="213"/>
      <c r="BV52" s="213"/>
      <c r="BW52" s="213"/>
      <c r="BX52" s="213"/>
      <c r="BY52" s="213"/>
      <c r="BZ52" s="213"/>
      <c r="CA52" s="213"/>
      <c r="CB52" s="213"/>
      <c r="CC52" s="213"/>
      <c r="CD52" s="213"/>
      <c r="CE52" s="213"/>
      <c r="CF52" s="213"/>
      <c r="CG52" s="213"/>
      <c r="CH52" s="213"/>
      <c r="CI52" s="213"/>
      <c r="CJ52" s="213"/>
      <c r="CK52" s="213"/>
      <c r="CL52" s="213"/>
      <c r="CM52" s="213"/>
      <c r="CN52" s="213"/>
      <c r="CO52" s="213"/>
      <c r="CP52" s="213"/>
    </row>
    <row r="53" ht="12.75" customHeight="1">
      <c r="A53" s="219" t="s">
        <v>171</v>
      </c>
      <c r="B53" s="219" t="s">
        <v>86</v>
      </c>
      <c r="C53" s="174">
        <v>0</v>
      </c>
      <c r="D53" s="174">
        <v>0</v>
      </c>
      <c r="E53" s="174">
        <v>0</v>
      </c>
      <c r="F53" s="174">
        <v>0</v>
      </c>
      <c r="G53" s="174">
        <v>0</v>
      </c>
      <c r="H53" s="174">
        <v>0</v>
      </c>
      <c r="I53" s="174">
        <v>0</v>
      </c>
      <c r="J53" s="174">
        <v>0</v>
      </c>
      <c r="K53" s="174">
        <v>0</v>
      </c>
      <c r="L53" s="174">
        <v>0</v>
      </c>
      <c r="M53" s="174">
        <v>0</v>
      </c>
      <c r="N53" s="174">
        <v>0</v>
      </c>
      <c r="O53" s="174">
        <v>0</v>
      </c>
      <c r="P53" s="174">
        <v>0</v>
      </c>
      <c r="Q53" s="174">
        <v>0</v>
      </c>
      <c r="R53" s="174">
        <v>0</v>
      </c>
      <c r="S53" s="174">
        <v>0</v>
      </c>
      <c r="T53" s="174">
        <v>0</v>
      </c>
      <c r="U53" s="174">
        <v>0</v>
      </c>
      <c r="V53" s="174">
        <v>0</v>
      </c>
      <c r="W53" s="174">
        <v>0</v>
      </c>
      <c r="X53" s="174">
        <v>0</v>
      </c>
      <c r="Y53" s="174">
        <v>0</v>
      </c>
      <c r="Z53" s="174">
        <v>0</v>
      </c>
      <c r="AA53" s="174">
        <v>0</v>
      </c>
      <c r="AB53" s="174">
        <v>0</v>
      </c>
      <c r="AC53" s="174">
        <v>0</v>
      </c>
      <c r="AD53" s="174">
        <v>0</v>
      </c>
      <c r="AE53" s="174">
        <v>0</v>
      </c>
      <c r="AF53" s="174">
        <v>0</v>
      </c>
      <c r="AG53" s="174">
        <v>0</v>
      </c>
      <c r="AH53" s="174">
        <v>0</v>
      </c>
      <c r="AI53" s="174">
        <v>0</v>
      </c>
      <c r="AJ53" s="174">
        <v>0</v>
      </c>
      <c r="AK53" s="174">
        <v>0</v>
      </c>
      <c r="AL53" s="174">
        <v>0</v>
      </c>
      <c r="AM53" s="174">
        <v>0</v>
      </c>
      <c r="AN53" s="174">
        <v>0</v>
      </c>
      <c r="AO53" s="174">
        <v>0</v>
      </c>
      <c r="AP53" s="174">
        <v>0</v>
      </c>
      <c r="AQ53" s="174">
        <v>0</v>
      </c>
      <c r="AR53" s="174">
        <v>0</v>
      </c>
      <c r="AS53" s="212">
        <v>1</v>
      </c>
      <c r="AT53" s="212"/>
      <c r="AU53" s="213"/>
      <c r="AV53" s="213"/>
      <c r="AW53" s="213"/>
      <c r="AX53" s="213"/>
      <c r="AY53" s="213"/>
      <c r="AZ53" s="213"/>
      <c r="BA53" s="213"/>
      <c r="BB53" s="213"/>
      <c r="BC53" s="213"/>
      <c r="BD53" s="213"/>
      <c r="BE53" s="213"/>
      <c r="BF53" s="213"/>
      <c r="BG53" s="213"/>
      <c r="BH53" s="213"/>
      <c r="BI53" s="213"/>
      <c r="BJ53" s="213"/>
      <c r="BK53" s="213"/>
      <c r="BL53" s="213"/>
      <c r="BM53" s="213"/>
      <c r="BN53" s="213"/>
      <c r="BO53" s="213"/>
      <c r="BP53" s="213"/>
      <c r="BQ53" s="213"/>
      <c r="BR53" s="213"/>
      <c r="BS53" s="213"/>
      <c r="BT53" s="213"/>
      <c r="BU53" s="213"/>
      <c r="BV53" s="213"/>
      <c r="BW53" s="213"/>
      <c r="BX53" s="213"/>
      <c r="BY53" s="213"/>
      <c r="BZ53" s="213"/>
      <c r="CA53" s="213"/>
      <c r="CB53" s="213"/>
      <c r="CC53" s="213"/>
      <c r="CD53" s="213"/>
      <c r="CE53" s="213"/>
      <c r="CF53" s="213"/>
      <c r="CG53" s="213"/>
      <c r="CH53" s="213"/>
      <c r="CI53" s="213"/>
      <c r="CJ53" s="213"/>
      <c r="CK53" s="213"/>
      <c r="CL53" s="213"/>
      <c r="CM53" s="213"/>
      <c r="CN53" s="213"/>
      <c r="CO53" s="213"/>
      <c r="CP53" s="213"/>
    </row>
    <row r="54" ht="12.75" customHeight="1">
      <c r="A54" s="219" t="s">
        <v>172</v>
      </c>
      <c r="B54" s="219" t="s">
        <v>86</v>
      </c>
      <c r="C54" s="174">
        <v>0</v>
      </c>
      <c r="D54" s="174">
        <v>0</v>
      </c>
      <c r="E54" s="174">
        <v>0</v>
      </c>
      <c r="F54" s="174">
        <v>0</v>
      </c>
      <c r="G54" s="174">
        <v>0</v>
      </c>
      <c r="H54" s="174">
        <v>0</v>
      </c>
      <c r="I54" s="174">
        <v>0</v>
      </c>
      <c r="J54" s="174">
        <v>0</v>
      </c>
      <c r="K54" s="174">
        <v>0</v>
      </c>
      <c r="L54" s="174">
        <v>0</v>
      </c>
      <c r="M54" s="174">
        <v>0</v>
      </c>
      <c r="N54" s="174">
        <v>0</v>
      </c>
      <c r="O54" s="174">
        <v>0</v>
      </c>
      <c r="P54" s="174">
        <v>0</v>
      </c>
      <c r="Q54" s="174">
        <v>0</v>
      </c>
      <c r="R54" s="174">
        <v>0</v>
      </c>
      <c r="S54" s="174">
        <v>0</v>
      </c>
      <c r="T54" s="174">
        <v>0</v>
      </c>
      <c r="U54" s="174">
        <v>0</v>
      </c>
      <c r="V54" s="174">
        <v>0</v>
      </c>
      <c r="W54" s="174">
        <v>0</v>
      </c>
      <c r="X54" s="174">
        <v>0</v>
      </c>
      <c r="Y54" s="174">
        <v>0</v>
      </c>
      <c r="Z54" s="174">
        <v>0</v>
      </c>
      <c r="AA54" s="174">
        <v>0</v>
      </c>
      <c r="AB54" s="174">
        <v>0</v>
      </c>
      <c r="AC54" s="174">
        <v>0</v>
      </c>
      <c r="AD54" s="174">
        <v>0</v>
      </c>
      <c r="AE54" s="174">
        <v>0</v>
      </c>
      <c r="AF54" s="174">
        <v>0</v>
      </c>
      <c r="AG54" s="174">
        <v>0</v>
      </c>
      <c r="AH54" s="174">
        <v>0</v>
      </c>
      <c r="AI54" s="174">
        <v>0</v>
      </c>
      <c r="AJ54" s="174">
        <v>0</v>
      </c>
      <c r="AK54" s="174">
        <v>0</v>
      </c>
      <c r="AL54" s="174">
        <v>0</v>
      </c>
      <c r="AM54" s="174">
        <v>0</v>
      </c>
      <c r="AN54" s="174">
        <v>0</v>
      </c>
      <c r="AO54" s="174">
        <v>0</v>
      </c>
      <c r="AP54" s="174">
        <v>0</v>
      </c>
      <c r="AQ54" s="174">
        <v>0</v>
      </c>
      <c r="AR54" s="174">
        <v>0</v>
      </c>
      <c r="AS54" s="174">
        <v>0</v>
      </c>
      <c r="AT54" s="212">
        <v>1</v>
      </c>
      <c r="AU54" s="213"/>
      <c r="AV54" s="213"/>
      <c r="AW54" s="213"/>
      <c r="AX54" s="213"/>
      <c r="AY54" s="213"/>
      <c r="AZ54" s="213"/>
      <c r="BA54" s="213"/>
      <c r="BB54" s="213"/>
      <c r="BC54" s="213"/>
      <c r="BD54" s="213"/>
      <c r="BE54" s="213"/>
      <c r="BF54" s="213"/>
      <c r="BG54" s="213"/>
      <c r="BH54" s="213"/>
      <c r="BI54" s="213"/>
      <c r="BJ54" s="213"/>
      <c r="BK54" s="213"/>
      <c r="BL54" s="213"/>
      <c r="BM54" s="213"/>
      <c r="BN54" s="213"/>
      <c r="BO54" s="213"/>
      <c r="BP54" s="213"/>
      <c r="BQ54" s="213"/>
      <c r="BR54" s="213"/>
      <c r="BS54" s="213"/>
      <c r="BT54" s="213"/>
      <c r="BU54" s="213"/>
      <c r="BV54" s="213"/>
      <c r="BW54" s="213"/>
      <c r="BX54" s="213"/>
      <c r="BY54" s="213"/>
      <c r="BZ54" s="213"/>
      <c r="CA54" s="213"/>
      <c r="CB54" s="213"/>
      <c r="CC54" s="213"/>
      <c r="CD54" s="213"/>
      <c r="CE54" s="213"/>
      <c r="CF54" s="213"/>
      <c r="CG54" s="213"/>
      <c r="CH54" s="213"/>
      <c r="CI54" s="213"/>
      <c r="CJ54" s="213"/>
      <c r="CK54" s="213"/>
      <c r="CL54" s="213"/>
      <c r="CM54" s="213"/>
      <c r="CN54" s="213"/>
      <c r="CO54" s="213"/>
      <c r="CP54" s="213"/>
    </row>
    <row r="55" ht="12.75" customHeight="1">
      <c r="A55" s="219" t="s">
        <v>175</v>
      </c>
      <c r="B55" s="219" t="s">
        <v>86</v>
      </c>
      <c r="C55" s="174">
        <v>0</v>
      </c>
      <c r="D55" s="174">
        <v>0</v>
      </c>
      <c r="E55" s="174">
        <v>0</v>
      </c>
      <c r="F55" s="174">
        <v>0</v>
      </c>
      <c r="G55" s="174">
        <v>0</v>
      </c>
      <c r="H55" s="174">
        <v>0</v>
      </c>
      <c r="I55" s="174">
        <v>0</v>
      </c>
      <c r="J55" s="174">
        <v>0</v>
      </c>
      <c r="K55" s="174">
        <v>0</v>
      </c>
      <c r="L55" s="174">
        <v>0</v>
      </c>
      <c r="M55" s="174">
        <v>0</v>
      </c>
      <c r="N55" s="174">
        <v>0</v>
      </c>
      <c r="O55" s="174">
        <v>0</v>
      </c>
      <c r="P55" s="174">
        <v>0</v>
      </c>
      <c r="Q55" s="174">
        <v>0</v>
      </c>
      <c r="R55" s="174">
        <v>0</v>
      </c>
      <c r="S55" s="174">
        <v>0</v>
      </c>
      <c r="T55" s="174">
        <v>0</v>
      </c>
      <c r="U55" s="174">
        <v>0</v>
      </c>
      <c r="V55" s="174">
        <v>0</v>
      </c>
      <c r="W55" s="174">
        <v>0</v>
      </c>
      <c r="X55" s="174">
        <v>0</v>
      </c>
      <c r="Y55" s="174">
        <v>0</v>
      </c>
      <c r="Z55" s="174">
        <v>0</v>
      </c>
      <c r="AA55" s="174">
        <v>0</v>
      </c>
      <c r="AB55" s="174">
        <v>0</v>
      </c>
      <c r="AC55" s="174">
        <v>0</v>
      </c>
      <c r="AD55" s="174">
        <v>0</v>
      </c>
      <c r="AE55" s="174">
        <v>0</v>
      </c>
      <c r="AF55" s="174">
        <v>0</v>
      </c>
      <c r="AG55" s="174">
        <v>0</v>
      </c>
      <c r="AH55" s="174">
        <v>0</v>
      </c>
      <c r="AI55" s="174">
        <v>0</v>
      </c>
      <c r="AJ55" s="174">
        <v>0</v>
      </c>
      <c r="AK55" s="174">
        <v>0</v>
      </c>
      <c r="AL55" s="174">
        <v>0</v>
      </c>
      <c r="AM55" s="174">
        <v>0</v>
      </c>
      <c r="AN55" s="174">
        <v>0</v>
      </c>
      <c r="AO55" s="174">
        <v>0</v>
      </c>
      <c r="AP55" s="174">
        <v>0</v>
      </c>
      <c r="AQ55" s="174">
        <v>0</v>
      </c>
      <c r="AR55" s="174">
        <v>0</v>
      </c>
      <c r="AS55" s="174">
        <v>0</v>
      </c>
      <c r="AT55" s="174">
        <v>0</v>
      </c>
      <c r="AU55" s="212">
        <v>1</v>
      </c>
      <c r="AV55" s="212"/>
      <c r="AW55" s="212"/>
      <c r="AX55" s="213"/>
      <c r="AY55" s="213"/>
      <c r="AZ55" s="213"/>
      <c r="BA55" s="213"/>
      <c r="BB55" s="213"/>
      <c r="BC55" s="213"/>
      <c r="BD55" s="213"/>
      <c r="BE55" s="213"/>
      <c r="BF55" s="213"/>
      <c r="BG55" s="213"/>
      <c r="BH55" s="213"/>
      <c r="BI55" s="213"/>
      <c r="BJ55" s="213"/>
      <c r="BK55" s="213"/>
      <c r="BL55" s="213"/>
      <c r="BM55" s="213"/>
      <c r="BN55" s="213"/>
      <c r="BO55" s="213"/>
      <c r="BP55" s="213"/>
      <c r="BQ55" s="213"/>
      <c r="BR55" s="213"/>
      <c r="BS55" s="213"/>
      <c r="BT55" s="213"/>
      <c r="BU55" s="213"/>
      <c r="BV55" s="213"/>
      <c r="BW55" s="213"/>
      <c r="BX55" s="213"/>
      <c r="BY55" s="213"/>
      <c r="BZ55" s="213"/>
      <c r="CA55" s="213"/>
      <c r="CB55" s="213"/>
      <c r="CC55" s="213"/>
      <c r="CD55" s="213"/>
      <c r="CE55" s="213"/>
      <c r="CF55" s="213"/>
      <c r="CG55" s="213"/>
      <c r="CH55" s="213"/>
      <c r="CI55" s="213"/>
      <c r="CJ55" s="213"/>
      <c r="CK55" s="213"/>
      <c r="CL55" s="213"/>
      <c r="CM55" s="213"/>
      <c r="CN55" s="213"/>
      <c r="CO55" s="213"/>
      <c r="CP55" s="213"/>
    </row>
    <row r="56" ht="12.75" customHeight="1">
      <c r="A56" s="219" t="s">
        <v>173</v>
      </c>
      <c r="B56" s="219" t="s">
        <v>86</v>
      </c>
      <c r="C56" s="174">
        <v>0</v>
      </c>
      <c r="D56" s="174">
        <v>0</v>
      </c>
      <c r="E56" s="174">
        <v>0</v>
      </c>
      <c r="F56" s="174">
        <v>0</v>
      </c>
      <c r="G56" s="174">
        <v>0</v>
      </c>
      <c r="H56" s="174">
        <v>0</v>
      </c>
      <c r="I56" s="174">
        <v>0</v>
      </c>
      <c r="J56" s="174">
        <v>0</v>
      </c>
      <c r="K56" s="174">
        <v>0</v>
      </c>
      <c r="L56" s="174">
        <v>0</v>
      </c>
      <c r="M56" s="174">
        <v>0</v>
      </c>
      <c r="N56" s="174">
        <v>0</v>
      </c>
      <c r="O56" s="174">
        <v>0</v>
      </c>
      <c r="P56" s="174">
        <v>0</v>
      </c>
      <c r="Q56" s="174">
        <v>0</v>
      </c>
      <c r="R56" s="174">
        <v>0</v>
      </c>
      <c r="S56" s="174">
        <v>0</v>
      </c>
      <c r="T56" s="174">
        <v>0</v>
      </c>
      <c r="U56" s="174">
        <v>0</v>
      </c>
      <c r="V56" s="174">
        <v>0</v>
      </c>
      <c r="W56" s="174">
        <v>0</v>
      </c>
      <c r="X56" s="174">
        <v>0</v>
      </c>
      <c r="Y56" s="174">
        <v>0</v>
      </c>
      <c r="Z56" s="174">
        <v>0</v>
      </c>
      <c r="AA56" s="174">
        <v>0</v>
      </c>
      <c r="AB56" s="174">
        <v>0</v>
      </c>
      <c r="AC56" s="174">
        <v>0</v>
      </c>
      <c r="AD56" s="174">
        <v>0</v>
      </c>
      <c r="AE56" s="174">
        <v>0</v>
      </c>
      <c r="AF56" s="174">
        <v>0</v>
      </c>
      <c r="AG56" s="174">
        <v>0</v>
      </c>
      <c r="AH56" s="174">
        <v>0</v>
      </c>
      <c r="AI56" s="174">
        <v>0</v>
      </c>
      <c r="AJ56" s="174">
        <v>0</v>
      </c>
      <c r="AK56" s="174">
        <v>0</v>
      </c>
      <c r="AL56" s="174">
        <v>0</v>
      </c>
      <c r="AM56" s="174">
        <v>0</v>
      </c>
      <c r="AN56" s="174">
        <v>0</v>
      </c>
      <c r="AO56" s="174">
        <v>0</v>
      </c>
      <c r="AP56" s="174">
        <v>0</v>
      </c>
      <c r="AQ56" s="174">
        <v>0</v>
      </c>
      <c r="AR56" s="174">
        <v>0</v>
      </c>
      <c r="AS56" s="174">
        <v>0</v>
      </c>
      <c r="AT56" s="174">
        <v>0</v>
      </c>
      <c r="AU56" s="174">
        <v>0</v>
      </c>
      <c r="AV56" s="212">
        <v>1</v>
      </c>
      <c r="AW56" s="212"/>
      <c r="AX56" s="213"/>
      <c r="AY56" s="213"/>
      <c r="AZ56" s="213"/>
      <c r="BA56" s="213"/>
      <c r="BB56" s="213"/>
      <c r="BC56" s="213"/>
      <c r="BD56" s="213"/>
      <c r="BE56" s="213"/>
      <c r="BF56" s="213"/>
      <c r="BG56" s="213"/>
      <c r="BH56" s="213"/>
      <c r="BI56" s="213"/>
      <c r="BJ56" s="213"/>
      <c r="BK56" s="213"/>
      <c r="BL56" s="213"/>
      <c r="BM56" s="213"/>
      <c r="BN56" s="213"/>
      <c r="BO56" s="213"/>
      <c r="BP56" s="213"/>
      <c r="BQ56" s="213"/>
      <c r="BR56" s="213"/>
      <c r="BS56" s="213"/>
      <c r="BT56" s="213"/>
      <c r="BU56" s="213"/>
      <c r="BV56" s="213"/>
      <c r="BW56" s="213"/>
      <c r="BX56" s="213"/>
      <c r="BY56" s="213"/>
      <c r="BZ56" s="213"/>
      <c r="CA56" s="213"/>
      <c r="CB56" s="213"/>
      <c r="CC56" s="213"/>
      <c r="CD56" s="213"/>
      <c r="CE56" s="213"/>
      <c r="CF56" s="213"/>
      <c r="CG56" s="213"/>
      <c r="CH56" s="213"/>
      <c r="CI56" s="213"/>
      <c r="CJ56" s="213"/>
      <c r="CK56" s="213"/>
      <c r="CL56" s="213"/>
      <c r="CM56" s="213"/>
      <c r="CN56" s="213"/>
      <c r="CO56" s="213"/>
      <c r="CP56" s="213"/>
    </row>
    <row r="57" ht="12.75" customHeight="1">
      <c r="A57" s="219" t="s">
        <v>176</v>
      </c>
      <c r="B57" s="219" t="s">
        <v>86</v>
      </c>
      <c r="C57" s="174">
        <v>0</v>
      </c>
      <c r="D57" s="174">
        <v>0</v>
      </c>
      <c r="E57" s="174">
        <v>0</v>
      </c>
      <c r="F57" s="174">
        <v>0</v>
      </c>
      <c r="G57" s="174">
        <v>0</v>
      </c>
      <c r="H57" s="174">
        <v>0</v>
      </c>
      <c r="I57" s="174">
        <v>0</v>
      </c>
      <c r="J57" s="174">
        <v>0</v>
      </c>
      <c r="K57" s="174">
        <v>0</v>
      </c>
      <c r="L57" s="174">
        <v>0</v>
      </c>
      <c r="M57" s="174">
        <v>0</v>
      </c>
      <c r="N57" s="174">
        <v>0</v>
      </c>
      <c r="O57" s="174">
        <v>0</v>
      </c>
      <c r="P57" s="174">
        <v>0</v>
      </c>
      <c r="Q57" s="174">
        <v>0</v>
      </c>
      <c r="R57" s="174">
        <v>0</v>
      </c>
      <c r="S57" s="174">
        <v>0</v>
      </c>
      <c r="T57" s="174">
        <v>0</v>
      </c>
      <c r="U57" s="174">
        <v>0</v>
      </c>
      <c r="V57" s="174">
        <v>0</v>
      </c>
      <c r="W57" s="174">
        <v>0</v>
      </c>
      <c r="X57" s="174">
        <v>0</v>
      </c>
      <c r="Y57" s="174">
        <v>0</v>
      </c>
      <c r="Z57" s="174">
        <v>0</v>
      </c>
      <c r="AA57" s="174">
        <v>0</v>
      </c>
      <c r="AB57" s="174">
        <v>0</v>
      </c>
      <c r="AC57" s="174">
        <v>0</v>
      </c>
      <c r="AD57" s="174">
        <v>0</v>
      </c>
      <c r="AE57" s="174">
        <v>0</v>
      </c>
      <c r="AF57" s="174">
        <v>0</v>
      </c>
      <c r="AG57" s="174">
        <v>0</v>
      </c>
      <c r="AH57" s="174">
        <v>0</v>
      </c>
      <c r="AI57" s="174">
        <v>0</v>
      </c>
      <c r="AJ57" s="174">
        <v>0</v>
      </c>
      <c r="AK57" s="174">
        <v>0</v>
      </c>
      <c r="AL57" s="174">
        <v>0</v>
      </c>
      <c r="AM57" s="174">
        <v>0</v>
      </c>
      <c r="AN57" s="174">
        <v>0</v>
      </c>
      <c r="AO57" s="174">
        <v>0</v>
      </c>
      <c r="AP57" s="174">
        <v>0</v>
      </c>
      <c r="AQ57" s="174">
        <v>0</v>
      </c>
      <c r="AR57" s="174">
        <v>0</v>
      </c>
      <c r="AS57" s="174">
        <v>0</v>
      </c>
      <c r="AT57" s="174">
        <v>0</v>
      </c>
      <c r="AU57" s="174">
        <v>0</v>
      </c>
      <c r="AV57" s="174">
        <v>0</v>
      </c>
      <c r="AW57" s="212">
        <v>1</v>
      </c>
      <c r="AX57" s="213"/>
      <c r="AY57" s="213"/>
      <c r="AZ57" s="213"/>
      <c r="BA57" s="213"/>
      <c r="BB57" s="213"/>
      <c r="BC57" s="213"/>
      <c r="BD57" s="213"/>
      <c r="BE57" s="213"/>
      <c r="BF57" s="213"/>
      <c r="BG57" s="213"/>
      <c r="BH57" s="213"/>
      <c r="BI57" s="213"/>
      <c r="BJ57" s="213"/>
      <c r="BK57" s="213"/>
      <c r="BL57" s="213"/>
      <c r="BM57" s="213"/>
      <c r="BN57" s="213"/>
      <c r="BO57" s="213"/>
      <c r="BP57" s="213"/>
      <c r="BQ57" s="213"/>
      <c r="BR57" s="213"/>
      <c r="BS57" s="213"/>
      <c r="BT57" s="213"/>
      <c r="BU57" s="213"/>
      <c r="BV57" s="213"/>
      <c r="BW57" s="213"/>
      <c r="BX57" s="213"/>
      <c r="BY57" s="213"/>
      <c r="BZ57" s="213"/>
      <c r="CA57" s="213"/>
      <c r="CB57" s="213"/>
      <c r="CC57" s="213"/>
      <c r="CD57" s="213"/>
      <c r="CE57" s="213"/>
      <c r="CF57" s="213"/>
      <c r="CG57" s="213"/>
      <c r="CH57" s="213"/>
      <c r="CI57" s="213"/>
      <c r="CJ57" s="213"/>
      <c r="CK57" s="213"/>
      <c r="CL57" s="213"/>
      <c r="CM57" s="213"/>
      <c r="CN57" s="213"/>
      <c r="CO57" s="213"/>
      <c r="CP57" s="213"/>
    </row>
    <row r="58" ht="12.75" customHeight="1">
      <c r="A58" s="219" t="s">
        <v>177</v>
      </c>
      <c r="B58" s="219" t="s">
        <v>86</v>
      </c>
      <c r="C58" s="174">
        <v>0</v>
      </c>
      <c r="D58" s="174">
        <v>0</v>
      </c>
      <c r="E58" s="174">
        <v>0</v>
      </c>
      <c r="F58" s="174">
        <v>0</v>
      </c>
      <c r="G58" s="174">
        <v>0</v>
      </c>
      <c r="H58" s="174">
        <v>0</v>
      </c>
      <c r="I58" s="174">
        <v>0</v>
      </c>
      <c r="J58" s="174">
        <v>0</v>
      </c>
      <c r="K58" s="174">
        <v>0</v>
      </c>
      <c r="L58" s="174">
        <v>0</v>
      </c>
      <c r="M58" s="174">
        <v>0</v>
      </c>
      <c r="N58" s="174">
        <v>0</v>
      </c>
      <c r="O58" s="174">
        <v>0</v>
      </c>
      <c r="P58" s="174">
        <v>0</v>
      </c>
      <c r="Q58" s="174">
        <v>0</v>
      </c>
      <c r="R58" s="174">
        <v>0</v>
      </c>
      <c r="S58" s="174">
        <v>0</v>
      </c>
      <c r="T58" s="174">
        <v>0</v>
      </c>
      <c r="U58" s="174">
        <v>0</v>
      </c>
      <c r="V58" s="174">
        <v>0</v>
      </c>
      <c r="W58" s="174">
        <v>0</v>
      </c>
      <c r="X58" s="174">
        <v>0</v>
      </c>
      <c r="Y58" s="174">
        <v>0</v>
      </c>
      <c r="Z58" s="174">
        <v>0</v>
      </c>
      <c r="AA58" s="174">
        <v>0</v>
      </c>
      <c r="AB58" s="174">
        <v>0</v>
      </c>
      <c r="AC58" s="174">
        <v>0</v>
      </c>
      <c r="AD58" s="174">
        <v>0</v>
      </c>
      <c r="AE58" s="174">
        <v>0</v>
      </c>
      <c r="AF58" s="174">
        <v>0</v>
      </c>
      <c r="AG58" s="174">
        <v>0</v>
      </c>
      <c r="AH58" s="174">
        <v>0</v>
      </c>
      <c r="AI58" s="174">
        <v>0</v>
      </c>
      <c r="AJ58" s="174">
        <v>0</v>
      </c>
      <c r="AK58" s="174">
        <v>0</v>
      </c>
      <c r="AL58" s="174">
        <v>0</v>
      </c>
      <c r="AM58" s="174">
        <v>0</v>
      </c>
      <c r="AN58" s="174">
        <v>0</v>
      </c>
      <c r="AO58" s="174">
        <v>0</v>
      </c>
      <c r="AP58" s="174">
        <v>0</v>
      </c>
      <c r="AQ58" s="174">
        <v>0</v>
      </c>
      <c r="AR58" s="174">
        <v>0</v>
      </c>
      <c r="AS58" s="174">
        <v>0</v>
      </c>
      <c r="AT58" s="174">
        <v>0</v>
      </c>
      <c r="AU58" s="174">
        <v>0</v>
      </c>
      <c r="AV58" s="174">
        <v>0</v>
      </c>
      <c r="AW58" s="174">
        <v>0</v>
      </c>
      <c r="AX58" s="212">
        <v>1</v>
      </c>
      <c r="AY58" s="212"/>
      <c r="AZ58" s="212"/>
      <c r="BA58" s="212"/>
      <c r="BB58" s="212"/>
      <c r="BC58" s="213"/>
      <c r="BD58" s="213"/>
      <c r="BE58" s="213"/>
      <c r="BF58" s="213"/>
      <c r="BG58" s="213"/>
      <c r="BH58" s="213"/>
      <c r="BI58" s="213"/>
      <c r="BJ58" s="213"/>
      <c r="BK58" s="213"/>
      <c r="BL58" s="213"/>
      <c r="BM58" s="213"/>
      <c r="BN58" s="213"/>
      <c r="BO58" s="213"/>
      <c r="BP58" s="213"/>
      <c r="BQ58" s="213"/>
      <c r="BR58" s="213"/>
      <c r="BS58" s="213"/>
      <c r="BT58" s="213"/>
      <c r="BU58" s="213"/>
      <c r="BV58" s="213"/>
      <c r="BW58" s="213"/>
      <c r="BX58" s="213"/>
      <c r="BY58" s="213"/>
      <c r="BZ58" s="213"/>
      <c r="CA58" s="213"/>
      <c r="CB58" s="213"/>
      <c r="CC58" s="213"/>
      <c r="CD58" s="213"/>
      <c r="CE58" s="213"/>
      <c r="CF58" s="213"/>
      <c r="CG58" s="213"/>
      <c r="CH58" s="213"/>
      <c r="CI58" s="213"/>
      <c r="CJ58" s="213"/>
      <c r="CK58" s="213"/>
      <c r="CL58" s="213"/>
      <c r="CM58" s="213"/>
      <c r="CN58" s="213"/>
      <c r="CO58" s="213"/>
      <c r="CP58" s="213"/>
    </row>
    <row r="59" ht="12.75" customHeight="1">
      <c r="A59" s="219" t="s">
        <v>179</v>
      </c>
      <c r="B59" s="219" t="s">
        <v>86</v>
      </c>
      <c r="C59" s="174">
        <v>0</v>
      </c>
      <c r="D59" s="174">
        <v>0</v>
      </c>
      <c r="E59" s="174">
        <v>0</v>
      </c>
      <c r="F59" s="174">
        <v>0</v>
      </c>
      <c r="G59" s="174">
        <v>0</v>
      </c>
      <c r="H59" s="174">
        <v>0</v>
      </c>
      <c r="I59" s="174">
        <v>0</v>
      </c>
      <c r="J59" s="174">
        <v>0</v>
      </c>
      <c r="K59" s="174">
        <v>0</v>
      </c>
      <c r="L59" s="174">
        <v>0</v>
      </c>
      <c r="M59" s="174">
        <v>0</v>
      </c>
      <c r="N59" s="174">
        <v>0</v>
      </c>
      <c r="O59" s="174">
        <v>0</v>
      </c>
      <c r="P59" s="174">
        <v>0</v>
      </c>
      <c r="Q59" s="174">
        <v>0</v>
      </c>
      <c r="R59" s="174">
        <v>0</v>
      </c>
      <c r="S59" s="174">
        <v>0</v>
      </c>
      <c r="T59" s="174">
        <v>0</v>
      </c>
      <c r="U59" s="174">
        <v>0</v>
      </c>
      <c r="V59" s="174">
        <v>0</v>
      </c>
      <c r="W59" s="174">
        <v>0</v>
      </c>
      <c r="X59" s="174">
        <v>0</v>
      </c>
      <c r="Y59" s="174">
        <v>0</v>
      </c>
      <c r="Z59" s="174">
        <v>0</v>
      </c>
      <c r="AA59" s="174">
        <v>0</v>
      </c>
      <c r="AB59" s="174">
        <v>0</v>
      </c>
      <c r="AC59" s="174">
        <v>0</v>
      </c>
      <c r="AD59" s="174">
        <v>0</v>
      </c>
      <c r="AE59" s="174">
        <v>0</v>
      </c>
      <c r="AF59" s="174">
        <v>0</v>
      </c>
      <c r="AG59" s="174">
        <v>0</v>
      </c>
      <c r="AH59" s="174">
        <v>0</v>
      </c>
      <c r="AI59" s="174">
        <v>0</v>
      </c>
      <c r="AJ59" s="174">
        <v>0</v>
      </c>
      <c r="AK59" s="174">
        <v>0</v>
      </c>
      <c r="AL59" s="174">
        <v>0</v>
      </c>
      <c r="AM59" s="174">
        <v>0</v>
      </c>
      <c r="AN59" s="174">
        <v>0</v>
      </c>
      <c r="AO59" s="174">
        <v>0</v>
      </c>
      <c r="AP59" s="174">
        <v>0</v>
      </c>
      <c r="AQ59" s="174">
        <v>0</v>
      </c>
      <c r="AR59" s="174">
        <v>0</v>
      </c>
      <c r="AS59" s="174">
        <v>0</v>
      </c>
      <c r="AT59" s="174">
        <v>0</v>
      </c>
      <c r="AU59" s="174">
        <v>0</v>
      </c>
      <c r="AV59" s="174">
        <v>0</v>
      </c>
      <c r="AW59" s="174">
        <v>0</v>
      </c>
      <c r="AX59" s="174">
        <v>0</v>
      </c>
      <c r="AY59" s="212">
        <v>1</v>
      </c>
      <c r="AZ59" s="212"/>
      <c r="BA59" s="212"/>
      <c r="BB59" s="212"/>
      <c r="BC59" s="213"/>
      <c r="BD59" s="213"/>
      <c r="BE59" s="213"/>
      <c r="BF59" s="213"/>
      <c r="BG59" s="213"/>
      <c r="BH59" s="213"/>
      <c r="BI59" s="213"/>
      <c r="BJ59" s="213"/>
      <c r="BK59" s="213"/>
      <c r="BL59" s="213"/>
      <c r="BM59" s="213"/>
      <c r="BN59" s="213"/>
      <c r="BO59" s="213"/>
      <c r="BP59" s="213"/>
      <c r="BQ59" s="213"/>
      <c r="BR59" s="213"/>
      <c r="BS59" s="213"/>
      <c r="BT59" s="213"/>
      <c r="BU59" s="213"/>
      <c r="BV59" s="213"/>
      <c r="BW59" s="213"/>
      <c r="BX59" s="213"/>
      <c r="BY59" s="213"/>
      <c r="BZ59" s="213"/>
      <c r="CA59" s="213"/>
      <c r="CB59" s="213"/>
      <c r="CC59" s="213"/>
      <c r="CD59" s="213"/>
      <c r="CE59" s="213"/>
      <c r="CF59" s="213"/>
      <c r="CG59" s="213"/>
      <c r="CH59" s="213"/>
      <c r="CI59" s="213"/>
      <c r="CJ59" s="213"/>
      <c r="CK59" s="213"/>
      <c r="CL59" s="213"/>
      <c r="CM59" s="213"/>
      <c r="CN59" s="213"/>
      <c r="CO59" s="213"/>
      <c r="CP59" s="213"/>
    </row>
    <row r="60" ht="12.75" customHeight="1">
      <c r="A60" s="219" t="s">
        <v>189</v>
      </c>
      <c r="B60" s="219" t="s">
        <v>86</v>
      </c>
      <c r="C60" s="174">
        <v>0</v>
      </c>
      <c r="D60" s="174">
        <v>0</v>
      </c>
      <c r="E60" s="174">
        <v>0</v>
      </c>
      <c r="F60" s="174">
        <v>0</v>
      </c>
      <c r="G60" s="174">
        <v>0</v>
      </c>
      <c r="H60" s="174">
        <v>0</v>
      </c>
      <c r="I60" s="174">
        <v>0</v>
      </c>
      <c r="J60" s="174">
        <v>0</v>
      </c>
      <c r="K60" s="174">
        <v>0</v>
      </c>
      <c r="L60" s="174">
        <v>0</v>
      </c>
      <c r="M60" s="174">
        <v>0</v>
      </c>
      <c r="N60" s="174">
        <v>0</v>
      </c>
      <c r="O60" s="174">
        <v>0</v>
      </c>
      <c r="P60" s="174">
        <v>0</v>
      </c>
      <c r="Q60" s="174">
        <v>0</v>
      </c>
      <c r="R60" s="174">
        <v>0</v>
      </c>
      <c r="S60" s="174">
        <v>0</v>
      </c>
      <c r="T60" s="174">
        <v>0</v>
      </c>
      <c r="U60" s="174">
        <v>0</v>
      </c>
      <c r="V60" s="174">
        <v>0</v>
      </c>
      <c r="W60" s="174">
        <v>0</v>
      </c>
      <c r="X60" s="174">
        <v>0</v>
      </c>
      <c r="Y60" s="174">
        <v>0</v>
      </c>
      <c r="Z60" s="174">
        <v>0</v>
      </c>
      <c r="AA60" s="174">
        <v>0</v>
      </c>
      <c r="AB60" s="174">
        <v>0</v>
      </c>
      <c r="AC60" s="174">
        <v>0</v>
      </c>
      <c r="AD60" s="174">
        <v>0</v>
      </c>
      <c r="AE60" s="174">
        <v>0</v>
      </c>
      <c r="AF60" s="174">
        <v>0</v>
      </c>
      <c r="AG60" s="174">
        <v>0</v>
      </c>
      <c r="AH60" s="174">
        <v>0</v>
      </c>
      <c r="AI60" s="174">
        <v>0</v>
      </c>
      <c r="AJ60" s="174">
        <v>0</v>
      </c>
      <c r="AK60" s="174">
        <v>0</v>
      </c>
      <c r="AL60" s="174">
        <v>0</v>
      </c>
      <c r="AM60" s="174">
        <v>0</v>
      </c>
      <c r="AN60" s="174">
        <v>0</v>
      </c>
      <c r="AO60" s="174">
        <v>0</v>
      </c>
      <c r="AP60" s="174">
        <v>0</v>
      </c>
      <c r="AQ60" s="174">
        <v>0</v>
      </c>
      <c r="AR60" s="174">
        <v>0</v>
      </c>
      <c r="AS60" s="174">
        <v>0</v>
      </c>
      <c r="AT60" s="174">
        <v>0</v>
      </c>
      <c r="AU60" s="174">
        <v>0</v>
      </c>
      <c r="AV60" s="174">
        <v>0</v>
      </c>
      <c r="AW60" s="174">
        <v>0</v>
      </c>
      <c r="AX60" s="174">
        <v>0</v>
      </c>
      <c r="AY60" s="174">
        <v>0</v>
      </c>
      <c r="AZ60" s="212">
        <v>1</v>
      </c>
      <c r="BA60" s="212"/>
      <c r="BB60" s="212"/>
      <c r="BC60" s="213"/>
      <c r="BD60" s="213"/>
      <c r="BE60" s="213"/>
      <c r="BF60" s="213"/>
      <c r="BG60" s="213"/>
      <c r="BH60" s="213"/>
      <c r="BI60" s="213"/>
      <c r="BJ60" s="213"/>
      <c r="BK60" s="213"/>
      <c r="BL60" s="213"/>
      <c r="BM60" s="213"/>
      <c r="BN60" s="213"/>
      <c r="BO60" s="213"/>
      <c r="BP60" s="213"/>
      <c r="BQ60" s="213"/>
      <c r="BR60" s="213"/>
      <c r="BS60" s="213"/>
      <c r="BT60" s="213"/>
      <c r="BU60" s="213"/>
      <c r="BV60" s="213"/>
      <c r="BW60" s="213"/>
      <c r="BX60" s="213"/>
      <c r="BY60" s="213"/>
      <c r="BZ60" s="213"/>
      <c r="CA60" s="213"/>
      <c r="CB60" s="213"/>
      <c r="CC60" s="213"/>
      <c r="CD60" s="213"/>
      <c r="CE60" s="213"/>
      <c r="CF60" s="213"/>
      <c r="CG60" s="213"/>
      <c r="CH60" s="213"/>
      <c r="CI60" s="213"/>
      <c r="CJ60" s="213"/>
      <c r="CK60" s="213"/>
      <c r="CL60" s="213"/>
      <c r="CM60" s="213"/>
      <c r="CN60" s="213"/>
      <c r="CO60" s="213"/>
      <c r="CP60" s="213"/>
    </row>
    <row r="61" ht="12.75" customHeight="1">
      <c r="A61" s="219" t="s">
        <v>178</v>
      </c>
      <c r="B61" s="219" t="s">
        <v>86</v>
      </c>
      <c r="C61" s="174">
        <v>0</v>
      </c>
      <c r="D61" s="174">
        <v>0</v>
      </c>
      <c r="E61" s="174">
        <v>0</v>
      </c>
      <c r="F61" s="174">
        <v>0</v>
      </c>
      <c r="G61" s="174">
        <v>0</v>
      </c>
      <c r="H61" s="174">
        <v>0</v>
      </c>
      <c r="I61" s="174">
        <v>0</v>
      </c>
      <c r="J61" s="174">
        <v>0</v>
      </c>
      <c r="K61" s="174">
        <v>0</v>
      </c>
      <c r="L61" s="174">
        <v>0</v>
      </c>
      <c r="M61" s="174">
        <v>0</v>
      </c>
      <c r="N61" s="174">
        <v>0</v>
      </c>
      <c r="O61" s="174">
        <v>0</v>
      </c>
      <c r="P61" s="174">
        <v>0</v>
      </c>
      <c r="Q61" s="174">
        <v>0</v>
      </c>
      <c r="R61" s="174">
        <v>0</v>
      </c>
      <c r="S61" s="174">
        <v>0</v>
      </c>
      <c r="T61" s="174">
        <v>0</v>
      </c>
      <c r="U61" s="174">
        <v>0</v>
      </c>
      <c r="V61" s="174">
        <v>0</v>
      </c>
      <c r="W61" s="174">
        <v>0</v>
      </c>
      <c r="X61" s="174">
        <v>0</v>
      </c>
      <c r="Y61" s="174">
        <v>0</v>
      </c>
      <c r="Z61" s="174">
        <v>0</v>
      </c>
      <c r="AA61" s="174">
        <v>0</v>
      </c>
      <c r="AB61" s="174">
        <v>0</v>
      </c>
      <c r="AC61" s="174">
        <v>0</v>
      </c>
      <c r="AD61" s="174">
        <v>0</v>
      </c>
      <c r="AE61" s="174">
        <v>0</v>
      </c>
      <c r="AF61" s="174">
        <v>0</v>
      </c>
      <c r="AG61" s="174">
        <v>0</v>
      </c>
      <c r="AH61" s="174">
        <v>0</v>
      </c>
      <c r="AI61" s="174">
        <v>0</v>
      </c>
      <c r="AJ61" s="174">
        <v>0</v>
      </c>
      <c r="AK61" s="174">
        <v>0</v>
      </c>
      <c r="AL61" s="174">
        <v>0</v>
      </c>
      <c r="AM61" s="174">
        <v>0</v>
      </c>
      <c r="AN61" s="174">
        <v>0</v>
      </c>
      <c r="AO61" s="174">
        <v>0</v>
      </c>
      <c r="AP61" s="174">
        <v>0</v>
      </c>
      <c r="AQ61" s="174">
        <v>0</v>
      </c>
      <c r="AR61" s="174">
        <v>0</v>
      </c>
      <c r="AS61" s="174">
        <v>0</v>
      </c>
      <c r="AT61" s="174">
        <v>0</v>
      </c>
      <c r="AU61" s="174">
        <v>0</v>
      </c>
      <c r="AV61" s="174">
        <v>0</v>
      </c>
      <c r="AW61" s="174">
        <v>0</v>
      </c>
      <c r="AX61" s="174">
        <v>0</v>
      </c>
      <c r="AY61" s="174">
        <v>0</v>
      </c>
      <c r="AZ61" s="174">
        <v>0</v>
      </c>
      <c r="BA61" s="212">
        <v>1</v>
      </c>
      <c r="BB61" s="212"/>
      <c r="BC61" s="213"/>
      <c r="BD61" s="213"/>
      <c r="BE61" s="213"/>
      <c r="BF61" s="213"/>
      <c r="BG61" s="213"/>
      <c r="BH61" s="213"/>
      <c r="BI61" s="213"/>
      <c r="BJ61" s="213"/>
      <c r="BK61" s="213"/>
      <c r="BL61" s="213"/>
      <c r="BM61" s="213"/>
      <c r="BN61" s="213"/>
      <c r="BO61" s="213"/>
      <c r="BP61" s="213"/>
      <c r="BQ61" s="213"/>
      <c r="BR61" s="213"/>
      <c r="BS61" s="213"/>
      <c r="BT61" s="213"/>
      <c r="BU61" s="213"/>
      <c r="BV61" s="213"/>
      <c r="BW61" s="213"/>
      <c r="BX61" s="213"/>
      <c r="BY61" s="213"/>
      <c r="BZ61" s="213"/>
      <c r="CA61" s="213"/>
      <c r="CB61" s="213"/>
      <c r="CC61" s="213"/>
      <c r="CD61" s="213"/>
      <c r="CE61" s="213"/>
      <c r="CF61" s="213"/>
      <c r="CG61" s="213"/>
      <c r="CH61" s="213"/>
      <c r="CI61" s="213"/>
      <c r="CJ61" s="213"/>
      <c r="CK61" s="213"/>
      <c r="CL61" s="213"/>
      <c r="CM61" s="213"/>
      <c r="CN61" s="213"/>
      <c r="CO61" s="213"/>
      <c r="CP61" s="213"/>
    </row>
    <row r="62" ht="12.75" customHeight="1">
      <c r="A62" s="219" t="s">
        <v>190</v>
      </c>
      <c r="B62" s="219" t="s">
        <v>86</v>
      </c>
      <c r="C62" s="174">
        <v>0</v>
      </c>
      <c r="D62" s="174">
        <v>0</v>
      </c>
      <c r="E62" s="174">
        <v>0</v>
      </c>
      <c r="F62" s="174">
        <v>0</v>
      </c>
      <c r="G62" s="174">
        <v>0</v>
      </c>
      <c r="H62" s="174">
        <v>0</v>
      </c>
      <c r="I62" s="174">
        <v>0</v>
      </c>
      <c r="J62" s="174">
        <v>0</v>
      </c>
      <c r="K62" s="174">
        <v>0</v>
      </c>
      <c r="L62" s="174">
        <v>0</v>
      </c>
      <c r="M62" s="174">
        <v>0</v>
      </c>
      <c r="N62" s="174">
        <v>0</v>
      </c>
      <c r="O62" s="174">
        <v>0</v>
      </c>
      <c r="P62" s="174">
        <v>0</v>
      </c>
      <c r="Q62" s="174">
        <v>0</v>
      </c>
      <c r="R62" s="174">
        <v>0</v>
      </c>
      <c r="S62" s="174">
        <v>0</v>
      </c>
      <c r="T62" s="174">
        <v>0</v>
      </c>
      <c r="U62" s="174">
        <v>0</v>
      </c>
      <c r="V62" s="174">
        <v>0</v>
      </c>
      <c r="W62" s="174">
        <v>0</v>
      </c>
      <c r="X62" s="174">
        <v>0</v>
      </c>
      <c r="Y62" s="174">
        <v>0</v>
      </c>
      <c r="Z62" s="174">
        <v>0</v>
      </c>
      <c r="AA62" s="174">
        <v>0</v>
      </c>
      <c r="AB62" s="174">
        <v>0</v>
      </c>
      <c r="AC62" s="174">
        <v>0</v>
      </c>
      <c r="AD62" s="174">
        <v>0</v>
      </c>
      <c r="AE62" s="174">
        <v>0</v>
      </c>
      <c r="AF62" s="174">
        <v>0</v>
      </c>
      <c r="AG62" s="174">
        <v>0</v>
      </c>
      <c r="AH62" s="174">
        <v>0</v>
      </c>
      <c r="AI62" s="174">
        <v>0</v>
      </c>
      <c r="AJ62" s="174">
        <v>0</v>
      </c>
      <c r="AK62" s="174">
        <v>0</v>
      </c>
      <c r="AL62" s="174">
        <v>0</v>
      </c>
      <c r="AM62" s="174">
        <v>0</v>
      </c>
      <c r="AN62" s="174">
        <v>0</v>
      </c>
      <c r="AO62" s="174">
        <v>0</v>
      </c>
      <c r="AP62" s="174">
        <v>0</v>
      </c>
      <c r="AQ62" s="174">
        <v>0</v>
      </c>
      <c r="AR62" s="174">
        <v>0</v>
      </c>
      <c r="AS62" s="174">
        <v>0</v>
      </c>
      <c r="AT62" s="174">
        <v>0</v>
      </c>
      <c r="AU62" s="174">
        <v>0</v>
      </c>
      <c r="AV62" s="174">
        <v>0</v>
      </c>
      <c r="AW62" s="174">
        <v>0</v>
      </c>
      <c r="AX62" s="174">
        <v>0</v>
      </c>
      <c r="AY62" s="174">
        <v>0</v>
      </c>
      <c r="AZ62" s="174">
        <v>0</v>
      </c>
      <c r="BA62" s="174">
        <v>0</v>
      </c>
      <c r="BB62" s="212">
        <v>1</v>
      </c>
      <c r="BC62" s="213"/>
      <c r="BD62" s="213"/>
      <c r="BE62" s="213"/>
      <c r="BF62" s="213"/>
      <c r="BG62" s="213"/>
      <c r="BH62" s="213"/>
      <c r="BI62" s="213"/>
      <c r="BJ62" s="213"/>
      <c r="BK62" s="213"/>
      <c r="BL62" s="213"/>
      <c r="BM62" s="213"/>
      <c r="BN62" s="213"/>
      <c r="BO62" s="213"/>
      <c r="BP62" s="213"/>
      <c r="BQ62" s="213"/>
      <c r="BR62" s="213"/>
      <c r="BS62" s="213"/>
      <c r="BT62" s="213"/>
      <c r="BU62" s="213"/>
      <c r="BV62" s="213"/>
      <c r="BW62" s="213"/>
      <c r="BX62" s="213"/>
      <c r="BY62" s="213"/>
      <c r="BZ62" s="213"/>
      <c r="CA62" s="213"/>
      <c r="CB62" s="213"/>
      <c r="CC62" s="213"/>
      <c r="CD62" s="213"/>
      <c r="CE62" s="213"/>
      <c r="CF62" s="213"/>
      <c r="CG62" s="213"/>
      <c r="CH62" s="213"/>
      <c r="CI62" s="213"/>
      <c r="CJ62" s="213"/>
      <c r="CK62" s="213"/>
      <c r="CL62" s="213"/>
      <c r="CM62" s="213"/>
      <c r="CN62" s="213"/>
      <c r="CO62" s="213"/>
      <c r="CP62" s="213"/>
    </row>
    <row r="63" ht="12.75" customHeight="1">
      <c r="A63" s="219" t="s">
        <v>85</v>
      </c>
      <c r="B63" s="219" t="s">
        <v>86</v>
      </c>
      <c r="C63" s="174">
        <v>0</v>
      </c>
      <c r="D63" s="174">
        <v>0</v>
      </c>
      <c r="E63" s="174">
        <v>0</v>
      </c>
      <c r="F63" s="174">
        <v>0</v>
      </c>
      <c r="G63" s="174">
        <v>0</v>
      </c>
      <c r="H63" s="174">
        <v>0</v>
      </c>
      <c r="I63" s="174">
        <v>0</v>
      </c>
      <c r="J63" s="174">
        <v>0</v>
      </c>
      <c r="K63" s="174">
        <v>0</v>
      </c>
      <c r="L63" s="174">
        <v>0</v>
      </c>
      <c r="M63" s="174">
        <v>0</v>
      </c>
      <c r="N63" s="174">
        <v>0</v>
      </c>
      <c r="O63" s="174">
        <v>0</v>
      </c>
      <c r="P63" s="174">
        <v>0</v>
      </c>
      <c r="Q63" s="174">
        <v>0</v>
      </c>
      <c r="R63" s="174">
        <v>0</v>
      </c>
      <c r="S63" s="174">
        <v>0</v>
      </c>
      <c r="T63" s="174">
        <v>0</v>
      </c>
      <c r="U63" s="174">
        <v>0</v>
      </c>
      <c r="V63" s="174">
        <v>0</v>
      </c>
      <c r="W63" s="174">
        <v>0</v>
      </c>
      <c r="X63" s="174">
        <v>0</v>
      </c>
      <c r="Y63" s="174">
        <v>0</v>
      </c>
      <c r="Z63" s="174">
        <v>0</v>
      </c>
      <c r="AA63" s="174">
        <v>0</v>
      </c>
      <c r="AB63" s="174">
        <v>0</v>
      </c>
      <c r="AC63" s="174">
        <v>0</v>
      </c>
      <c r="AD63" s="174">
        <v>0</v>
      </c>
      <c r="AE63" s="174">
        <v>0</v>
      </c>
      <c r="AF63" s="174">
        <v>0</v>
      </c>
      <c r="AG63" s="174">
        <v>0</v>
      </c>
      <c r="AH63" s="174">
        <v>0</v>
      </c>
      <c r="AI63" s="174">
        <v>0</v>
      </c>
      <c r="AJ63" s="174">
        <v>0</v>
      </c>
      <c r="AK63" s="174">
        <v>0</v>
      </c>
      <c r="AL63" s="174">
        <v>0</v>
      </c>
      <c r="AM63" s="174">
        <v>0</v>
      </c>
      <c r="AN63" s="174">
        <v>0</v>
      </c>
      <c r="AO63" s="174">
        <v>0</v>
      </c>
      <c r="AP63" s="174">
        <v>0</v>
      </c>
      <c r="AQ63" s="174">
        <v>0</v>
      </c>
      <c r="AR63" s="174">
        <v>0</v>
      </c>
      <c r="AS63" s="174">
        <v>0</v>
      </c>
      <c r="AT63" s="174">
        <v>0</v>
      </c>
      <c r="AU63" s="174">
        <v>0</v>
      </c>
      <c r="AV63" s="174">
        <v>0</v>
      </c>
      <c r="AW63" s="174">
        <v>0</v>
      </c>
      <c r="AX63" s="174">
        <v>0</v>
      </c>
      <c r="AY63" s="174">
        <v>0</v>
      </c>
      <c r="AZ63" s="174">
        <v>0</v>
      </c>
      <c r="BA63" s="174">
        <v>0</v>
      </c>
      <c r="BB63" s="174">
        <v>0</v>
      </c>
      <c r="BC63" s="212">
        <v>1</v>
      </c>
      <c r="BD63" s="213"/>
      <c r="BE63" s="213"/>
      <c r="BF63" s="213"/>
      <c r="BG63" s="213"/>
      <c r="BH63" s="213"/>
      <c r="BI63" s="213"/>
      <c r="BJ63" s="213"/>
      <c r="BK63" s="213"/>
      <c r="BL63" s="213"/>
      <c r="BM63" s="213"/>
      <c r="BN63" s="213"/>
      <c r="BO63" s="213"/>
      <c r="BP63" s="213"/>
      <c r="BQ63" s="213"/>
      <c r="BR63" s="213"/>
      <c r="BS63" s="213"/>
      <c r="BT63" s="213"/>
      <c r="BU63" s="213"/>
      <c r="BV63" s="213"/>
      <c r="BW63" s="213"/>
      <c r="BX63" s="213"/>
      <c r="BY63" s="213"/>
      <c r="BZ63" s="213"/>
      <c r="CA63" s="213"/>
      <c r="CB63" s="213"/>
      <c r="CC63" s="213"/>
      <c r="CD63" s="213"/>
      <c r="CE63" s="213"/>
      <c r="CF63" s="213"/>
      <c r="CG63" s="213"/>
      <c r="CH63" s="213"/>
      <c r="CI63" s="213"/>
      <c r="CJ63" s="213"/>
      <c r="CK63" s="213"/>
      <c r="CL63" s="213"/>
      <c r="CM63" s="213"/>
      <c r="CN63" s="213"/>
      <c r="CO63" s="213"/>
      <c r="CP63" s="213"/>
    </row>
    <row r="64" ht="12.75" customHeight="1">
      <c r="A64" s="219" t="s">
        <v>227</v>
      </c>
      <c r="B64" s="219" t="s">
        <v>86</v>
      </c>
      <c r="C64" s="174">
        <v>0</v>
      </c>
      <c r="D64" s="174">
        <v>0</v>
      </c>
      <c r="E64" s="174">
        <v>0</v>
      </c>
      <c r="F64" s="174">
        <v>0</v>
      </c>
      <c r="G64" s="174">
        <v>0</v>
      </c>
      <c r="H64" s="174">
        <v>0</v>
      </c>
      <c r="I64" s="174">
        <v>0</v>
      </c>
      <c r="J64" s="174">
        <v>0</v>
      </c>
      <c r="K64" s="174">
        <v>0</v>
      </c>
      <c r="L64" s="174">
        <v>0</v>
      </c>
      <c r="M64" s="174">
        <v>0</v>
      </c>
      <c r="N64" s="174">
        <v>0</v>
      </c>
      <c r="O64" s="174">
        <v>0</v>
      </c>
      <c r="P64" s="174">
        <v>0</v>
      </c>
      <c r="Q64" s="174">
        <v>0</v>
      </c>
      <c r="R64" s="174">
        <v>0</v>
      </c>
      <c r="S64" s="174">
        <v>0</v>
      </c>
      <c r="T64" s="174">
        <v>0</v>
      </c>
      <c r="U64" s="174">
        <v>0</v>
      </c>
      <c r="V64" s="174">
        <v>0</v>
      </c>
      <c r="W64" s="174">
        <v>0</v>
      </c>
      <c r="X64" s="174">
        <v>0</v>
      </c>
      <c r="Y64" s="174">
        <v>0</v>
      </c>
      <c r="Z64" s="174">
        <v>0</v>
      </c>
      <c r="AA64" s="174">
        <v>0</v>
      </c>
      <c r="AB64" s="174">
        <v>0</v>
      </c>
      <c r="AC64" s="174">
        <v>0</v>
      </c>
      <c r="AD64" s="174">
        <v>0</v>
      </c>
      <c r="AE64" s="174">
        <v>0</v>
      </c>
      <c r="AF64" s="174">
        <v>0</v>
      </c>
      <c r="AG64" s="174">
        <v>0</v>
      </c>
      <c r="AH64" s="174">
        <v>0</v>
      </c>
      <c r="AI64" s="174">
        <v>0</v>
      </c>
      <c r="AJ64" s="174">
        <v>0</v>
      </c>
      <c r="AK64" s="174">
        <v>0</v>
      </c>
      <c r="AL64" s="174">
        <v>0</v>
      </c>
      <c r="AM64" s="174">
        <v>0</v>
      </c>
      <c r="AN64" s="174">
        <v>0</v>
      </c>
      <c r="AO64" s="174">
        <v>0</v>
      </c>
      <c r="AP64" s="174">
        <v>0</v>
      </c>
      <c r="AQ64" s="174">
        <v>0</v>
      </c>
      <c r="AR64" s="174">
        <v>0</v>
      </c>
      <c r="AS64" s="174">
        <v>0</v>
      </c>
      <c r="AT64" s="174">
        <v>0</v>
      </c>
      <c r="AU64" s="174">
        <v>0</v>
      </c>
      <c r="AV64" s="174">
        <v>0</v>
      </c>
      <c r="AW64" s="174">
        <v>0</v>
      </c>
      <c r="AX64" s="174">
        <v>0</v>
      </c>
      <c r="AY64" s="174">
        <v>0</v>
      </c>
      <c r="AZ64" s="174">
        <v>0</v>
      </c>
      <c r="BA64" s="174">
        <v>0</v>
      </c>
      <c r="BB64" s="174">
        <v>0</v>
      </c>
      <c r="BC64" s="174">
        <v>0</v>
      </c>
      <c r="BD64" s="212">
        <v>1</v>
      </c>
      <c r="BE64" s="212"/>
      <c r="BF64" s="212"/>
      <c r="BG64" s="213"/>
      <c r="BH64" s="213"/>
      <c r="BI64" s="213"/>
      <c r="BJ64" s="213"/>
      <c r="BK64" s="213"/>
      <c r="BL64" s="213"/>
      <c r="BM64" s="213"/>
      <c r="BN64" s="213"/>
      <c r="BO64" s="213"/>
      <c r="BP64" s="213"/>
      <c r="BQ64" s="213"/>
      <c r="BR64" s="213"/>
      <c r="BS64" s="213"/>
      <c r="BT64" s="213"/>
      <c r="BU64" s="213"/>
      <c r="BV64" s="213"/>
      <c r="BW64" s="213"/>
      <c r="BX64" s="213"/>
      <c r="BY64" s="213"/>
      <c r="BZ64" s="213"/>
      <c r="CA64" s="213"/>
      <c r="CB64" s="213"/>
      <c r="CC64" s="213"/>
      <c r="CD64" s="213"/>
      <c r="CE64" s="213"/>
      <c r="CF64" s="213"/>
      <c r="CG64" s="213"/>
      <c r="CH64" s="213"/>
      <c r="CI64" s="213"/>
      <c r="CJ64" s="213"/>
      <c r="CK64" s="213"/>
      <c r="CL64" s="213"/>
      <c r="CM64" s="213"/>
      <c r="CN64" s="213"/>
      <c r="CO64" s="213"/>
      <c r="CP64" s="213"/>
    </row>
    <row r="65" ht="12.75" customHeight="1">
      <c r="A65" s="219" t="s">
        <v>191</v>
      </c>
      <c r="B65" s="219" t="s">
        <v>86</v>
      </c>
      <c r="C65" s="174">
        <v>0</v>
      </c>
      <c r="D65" s="174">
        <v>0</v>
      </c>
      <c r="E65" s="174">
        <v>0</v>
      </c>
      <c r="F65" s="174">
        <v>0</v>
      </c>
      <c r="G65" s="174">
        <v>0</v>
      </c>
      <c r="H65" s="174">
        <v>0</v>
      </c>
      <c r="I65" s="174">
        <v>0</v>
      </c>
      <c r="J65" s="174">
        <v>0</v>
      </c>
      <c r="K65" s="174">
        <v>0</v>
      </c>
      <c r="L65" s="174">
        <v>0</v>
      </c>
      <c r="M65" s="174">
        <v>0</v>
      </c>
      <c r="N65" s="174">
        <v>0</v>
      </c>
      <c r="O65" s="174">
        <v>0</v>
      </c>
      <c r="P65" s="174">
        <v>0</v>
      </c>
      <c r="Q65" s="174">
        <v>0</v>
      </c>
      <c r="R65" s="174">
        <v>0</v>
      </c>
      <c r="S65" s="174">
        <v>0</v>
      </c>
      <c r="T65" s="174">
        <v>0</v>
      </c>
      <c r="U65" s="174">
        <v>0</v>
      </c>
      <c r="V65" s="174">
        <v>0</v>
      </c>
      <c r="W65" s="174">
        <v>0</v>
      </c>
      <c r="X65" s="174">
        <v>0</v>
      </c>
      <c r="Y65" s="174">
        <v>0</v>
      </c>
      <c r="Z65" s="174">
        <v>0</v>
      </c>
      <c r="AA65" s="174">
        <v>0</v>
      </c>
      <c r="AB65" s="174">
        <v>0</v>
      </c>
      <c r="AC65" s="174">
        <v>0</v>
      </c>
      <c r="AD65" s="174">
        <v>0</v>
      </c>
      <c r="AE65" s="174">
        <v>0</v>
      </c>
      <c r="AF65" s="174">
        <v>0</v>
      </c>
      <c r="AG65" s="174">
        <v>0</v>
      </c>
      <c r="AH65" s="174">
        <v>0</v>
      </c>
      <c r="AI65" s="174">
        <v>0</v>
      </c>
      <c r="AJ65" s="174">
        <v>0</v>
      </c>
      <c r="AK65" s="174">
        <v>0</v>
      </c>
      <c r="AL65" s="174">
        <v>0</v>
      </c>
      <c r="AM65" s="174">
        <v>0</v>
      </c>
      <c r="AN65" s="174">
        <v>0</v>
      </c>
      <c r="AO65" s="174">
        <v>0</v>
      </c>
      <c r="AP65" s="174">
        <v>0</v>
      </c>
      <c r="AQ65" s="174">
        <v>0</v>
      </c>
      <c r="AR65" s="174">
        <v>0</v>
      </c>
      <c r="AS65" s="174">
        <v>0</v>
      </c>
      <c r="AT65" s="174">
        <v>0</v>
      </c>
      <c r="AU65" s="174">
        <v>0</v>
      </c>
      <c r="AV65" s="174">
        <v>0</v>
      </c>
      <c r="AW65" s="174">
        <v>0</v>
      </c>
      <c r="AX65" s="174">
        <v>0</v>
      </c>
      <c r="AY65" s="174">
        <v>0</v>
      </c>
      <c r="AZ65" s="174">
        <v>0</v>
      </c>
      <c r="BA65" s="174">
        <v>0</v>
      </c>
      <c r="BB65" s="174">
        <v>0</v>
      </c>
      <c r="BC65" s="174">
        <v>0</v>
      </c>
      <c r="BD65" s="174">
        <v>0</v>
      </c>
      <c r="BE65" s="212">
        <v>1</v>
      </c>
      <c r="BF65" s="212"/>
      <c r="BG65" s="213"/>
      <c r="BH65" s="213"/>
      <c r="BI65" s="213"/>
      <c r="BJ65" s="213"/>
      <c r="BK65" s="213"/>
      <c r="BL65" s="213"/>
      <c r="BM65" s="213"/>
      <c r="BN65" s="213"/>
      <c r="BO65" s="213"/>
      <c r="BP65" s="213"/>
      <c r="BQ65" s="213"/>
      <c r="BR65" s="213"/>
      <c r="BS65" s="213"/>
      <c r="BT65" s="213"/>
      <c r="BU65" s="213"/>
      <c r="BV65" s="213"/>
      <c r="BW65" s="213"/>
      <c r="BX65" s="213"/>
      <c r="BY65" s="213"/>
      <c r="BZ65" s="213"/>
      <c r="CA65" s="213"/>
      <c r="CB65" s="213"/>
      <c r="CC65" s="213"/>
      <c r="CD65" s="213"/>
      <c r="CE65" s="213"/>
      <c r="CF65" s="213"/>
      <c r="CG65" s="213"/>
      <c r="CH65" s="213"/>
      <c r="CI65" s="213"/>
      <c r="CJ65" s="213"/>
      <c r="CK65" s="213"/>
      <c r="CL65" s="213"/>
      <c r="CM65" s="213"/>
      <c r="CN65" s="213"/>
      <c r="CO65" s="213"/>
      <c r="CP65" s="213"/>
    </row>
    <row r="66" ht="12.75" customHeight="1">
      <c r="A66" s="219" t="s">
        <v>180</v>
      </c>
      <c r="B66" s="219" t="s">
        <v>86</v>
      </c>
      <c r="C66" s="174">
        <v>0</v>
      </c>
      <c r="D66" s="174">
        <v>0</v>
      </c>
      <c r="E66" s="174">
        <v>0</v>
      </c>
      <c r="F66" s="174">
        <v>0</v>
      </c>
      <c r="G66" s="174">
        <v>0</v>
      </c>
      <c r="H66" s="174">
        <v>0</v>
      </c>
      <c r="I66" s="174">
        <v>0</v>
      </c>
      <c r="J66" s="174">
        <v>0</v>
      </c>
      <c r="K66" s="174">
        <v>0</v>
      </c>
      <c r="L66" s="174">
        <v>0</v>
      </c>
      <c r="M66" s="174">
        <v>0</v>
      </c>
      <c r="N66" s="174">
        <v>0</v>
      </c>
      <c r="O66" s="174">
        <v>0</v>
      </c>
      <c r="P66" s="174">
        <v>0</v>
      </c>
      <c r="Q66" s="174">
        <v>0</v>
      </c>
      <c r="R66" s="174">
        <v>0</v>
      </c>
      <c r="S66" s="174">
        <v>0</v>
      </c>
      <c r="T66" s="174">
        <v>0</v>
      </c>
      <c r="U66" s="174">
        <v>0</v>
      </c>
      <c r="V66" s="174">
        <v>0</v>
      </c>
      <c r="W66" s="174">
        <v>0</v>
      </c>
      <c r="X66" s="174">
        <v>0</v>
      </c>
      <c r="Y66" s="174">
        <v>0</v>
      </c>
      <c r="Z66" s="174">
        <v>0</v>
      </c>
      <c r="AA66" s="174">
        <v>0</v>
      </c>
      <c r="AB66" s="174">
        <v>0</v>
      </c>
      <c r="AC66" s="174">
        <v>0</v>
      </c>
      <c r="AD66" s="174">
        <v>0</v>
      </c>
      <c r="AE66" s="174">
        <v>0</v>
      </c>
      <c r="AF66" s="174">
        <v>0</v>
      </c>
      <c r="AG66" s="174">
        <v>0</v>
      </c>
      <c r="AH66" s="174">
        <v>0</v>
      </c>
      <c r="AI66" s="174">
        <v>0</v>
      </c>
      <c r="AJ66" s="174">
        <v>0</v>
      </c>
      <c r="AK66" s="174">
        <v>0</v>
      </c>
      <c r="AL66" s="174">
        <v>0</v>
      </c>
      <c r="AM66" s="174">
        <v>0</v>
      </c>
      <c r="AN66" s="174">
        <v>0</v>
      </c>
      <c r="AO66" s="174">
        <v>0</v>
      </c>
      <c r="AP66" s="174">
        <v>0</v>
      </c>
      <c r="AQ66" s="174">
        <v>0</v>
      </c>
      <c r="AR66" s="174">
        <v>0</v>
      </c>
      <c r="AS66" s="174">
        <v>0</v>
      </c>
      <c r="AT66" s="174">
        <v>0</v>
      </c>
      <c r="AU66" s="174">
        <v>0</v>
      </c>
      <c r="AV66" s="174">
        <v>0</v>
      </c>
      <c r="AW66" s="174">
        <v>0</v>
      </c>
      <c r="AX66" s="174">
        <v>0</v>
      </c>
      <c r="AY66" s="174">
        <v>0</v>
      </c>
      <c r="AZ66" s="174">
        <v>0</v>
      </c>
      <c r="BA66" s="174">
        <v>0</v>
      </c>
      <c r="BB66" s="174">
        <v>0</v>
      </c>
      <c r="BC66" s="174">
        <v>0</v>
      </c>
      <c r="BD66" s="174">
        <v>0</v>
      </c>
      <c r="BE66" s="174">
        <v>0</v>
      </c>
      <c r="BF66" s="212">
        <v>1</v>
      </c>
      <c r="BG66" s="213"/>
      <c r="BH66" s="213"/>
      <c r="BI66" s="213"/>
      <c r="BJ66" s="213"/>
      <c r="BK66" s="213"/>
      <c r="BL66" s="213"/>
      <c r="BM66" s="213"/>
      <c r="BN66" s="213"/>
      <c r="BO66" s="213"/>
      <c r="BP66" s="213"/>
      <c r="BQ66" s="213"/>
      <c r="BR66" s="213"/>
      <c r="BS66" s="213"/>
      <c r="BT66" s="213"/>
      <c r="BU66" s="213"/>
      <c r="BV66" s="213"/>
      <c r="BW66" s="213"/>
      <c r="BX66" s="213"/>
      <c r="BY66" s="213"/>
      <c r="BZ66" s="213"/>
      <c r="CA66" s="213"/>
      <c r="CB66" s="213"/>
      <c r="CC66" s="213"/>
      <c r="CD66" s="213"/>
      <c r="CE66" s="213"/>
      <c r="CF66" s="213"/>
      <c r="CG66" s="213"/>
      <c r="CH66" s="213"/>
      <c r="CI66" s="213"/>
      <c r="CJ66" s="213"/>
      <c r="CK66" s="213"/>
      <c r="CL66" s="213"/>
      <c r="CM66" s="213"/>
      <c r="CN66" s="213"/>
      <c r="CO66" s="213"/>
      <c r="CP66" s="213"/>
    </row>
    <row r="67" ht="12.75" customHeight="1">
      <c r="A67" s="219" t="s">
        <v>181</v>
      </c>
      <c r="B67" s="219" t="s">
        <v>86</v>
      </c>
      <c r="C67" s="174">
        <v>0</v>
      </c>
      <c r="D67" s="174">
        <v>0</v>
      </c>
      <c r="E67" s="174">
        <v>0</v>
      </c>
      <c r="F67" s="174">
        <v>0</v>
      </c>
      <c r="G67" s="174">
        <v>0</v>
      </c>
      <c r="H67" s="174">
        <v>0</v>
      </c>
      <c r="I67" s="174">
        <v>0</v>
      </c>
      <c r="J67" s="174">
        <v>0</v>
      </c>
      <c r="K67" s="174">
        <v>0</v>
      </c>
      <c r="L67" s="174">
        <v>0</v>
      </c>
      <c r="M67" s="174">
        <v>0</v>
      </c>
      <c r="N67" s="174">
        <v>0</v>
      </c>
      <c r="O67" s="174">
        <v>0</v>
      </c>
      <c r="P67" s="174">
        <v>0</v>
      </c>
      <c r="Q67" s="174">
        <v>0</v>
      </c>
      <c r="R67" s="174">
        <v>0</v>
      </c>
      <c r="S67" s="174">
        <v>0</v>
      </c>
      <c r="T67" s="174">
        <v>0</v>
      </c>
      <c r="U67" s="174">
        <v>0</v>
      </c>
      <c r="V67" s="174">
        <v>0</v>
      </c>
      <c r="W67" s="174">
        <v>0</v>
      </c>
      <c r="X67" s="174">
        <v>0</v>
      </c>
      <c r="Y67" s="174">
        <v>0</v>
      </c>
      <c r="Z67" s="174">
        <v>0</v>
      </c>
      <c r="AA67" s="174">
        <v>0</v>
      </c>
      <c r="AB67" s="174">
        <v>0</v>
      </c>
      <c r="AC67" s="174">
        <v>0</v>
      </c>
      <c r="AD67" s="174">
        <v>0</v>
      </c>
      <c r="AE67" s="174">
        <v>0</v>
      </c>
      <c r="AF67" s="174">
        <v>0</v>
      </c>
      <c r="AG67" s="174">
        <v>0</v>
      </c>
      <c r="AH67" s="174">
        <v>0</v>
      </c>
      <c r="AI67" s="174">
        <v>0</v>
      </c>
      <c r="AJ67" s="174">
        <v>0</v>
      </c>
      <c r="AK67" s="174">
        <v>0</v>
      </c>
      <c r="AL67" s="174">
        <v>0</v>
      </c>
      <c r="AM67" s="174">
        <v>0</v>
      </c>
      <c r="AN67" s="174">
        <v>0</v>
      </c>
      <c r="AO67" s="174">
        <v>0</v>
      </c>
      <c r="AP67" s="174">
        <v>0</v>
      </c>
      <c r="AQ67" s="174">
        <v>0</v>
      </c>
      <c r="AR67" s="174">
        <v>0</v>
      </c>
      <c r="AS67" s="174">
        <v>0</v>
      </c>
      <c r="AT67" s="174">
        <v>0</v>
      </c>
      <c r="AU67" s="174">
        <v>0</v>
      </c>
      <c r="AV67" s="174">
        <v>0</v>
      </c>
      <c r="AW67" s="174">
        <v>0</v>
      </c>
      <c r="AX67" s="174">
        <v>0</v>
      </c>
      <c r="AY67" s="174">
        <v>0</v>
      </c>
      <c r="AZ67" s="174">
        <v>0</v>
      </c>
      <c r="BA67" s="174">
        <v>0</v>
      </c>
      <c r="BB67" s="174">
        <v>0</v>
      </c>
      <c r="BC67" s="174">
        <v>0</v>
      </c>
      <c r="BD67" s="174">
        <v>0</v>
      </c>
      <c r="BE67" s="174">
        <v>0</v>
      </c>
      <c r="BF67" s="174">
        <v>0</v>
      </c>
      <c r="BG67" s="212">
        <v>1</v>
      </c>
      <c r="BH67" s="212"/>
      <c r="BI67" s="213"/>
      <c r="BJ67" s="213"/>
      <c r="BK67" s="213"/>
      <c r="BL67" s="213"/>
      <c r="BM67" s="213"/>
      <c r="BN67" s="213"/>
      <c r="BO67" s="213"/>
      <c r="BP67" s="213"/>
      <c r="BQ67" s="213"/>
      <c r="BR67" s="213"/>
      <c r="BS67" s="213"/>
      <c r="BT67" s="213"/>
      <c r="BU67" s="213"/>
      <c r="BV67" s="213"/>
      <c r="BW67" s="213"/>
      <c r="BX67" s="213"/>
      <c r="BY67" s="213"/>
      <c r="BZ67" s="213"/>
      <c r="CA67" s="213"/>
      <c r="CB67" s="213"/>
      <c r="CC67" s="213"/>
      <c r="CD67" s="213"/>
      <c r="CE67" s="213"/>
      <c r="CF67" s="213"/>
      <c r="CG67" s="213"/>
      <c r="CH67" s="213"/>
      <c r="CI67" s="213"/>
      <c r="CJ67" s="213"/>
      <c r="CK67" s="213"/>
      <c r="CL67" s="213"/>
      <c r="CM67" s="213"/>
      <c r="CN67" s="213"/>
      <c r="CO67" s="213"/>
      <c r="CP67" s="213"/>
    </row>
    <row r="68" ht="12.75" customHeight="1">
      <c r="A68" s="219" t="s">
        <v>182</v>
      </c>
      <c r="B68" s="219" t="s">
        <v>86</v>
      </c>
      <c r="C68" s="174">
        <v>0</v>
      </c>
      <c r="D68" s="174">
        <v>0</v>
      </c>
      <c r="E68" s="174">
        <v>0</v>
      </c>
      <c r="F68" s="174">
        <v>0</v>
      </c>
      <c r="G68" s="174">
        <v>0</v>
      </c>
      <c r="H68" s="174">
        <v>0</v>
      </c>
      <c r="I68" s="174">
        <v>0</v>
      </c>
      <c r="J68" s="174">
        <v>0</v>
      </c>
      <c r="K68" s="174">
        <v>0</v>
      </c>
      <c r="L68" s="174">
        <v>0</v>
      </c>
      <c r="M68" s="174">
        <v>0</v>
      </c>
      <c r="N68" s="174">
        <v>0</v>
      </c>
      <c r="O68" s="174">
        <v>0</v>
      </c>
      <c r="P68" s="174">
        <v>0</v>
      </c>
      <c r="Q68" s="174">
        <v>0</v>
      </c>
      <c r="R68" s="174">
        <v>0</v>
      </c>
      <c r="S68" s="174">
        <v>0</v>
      </c>
      <c r="T68" s="174">
        <v>0</v>
      </c>
      <c r="U68" s="174">
        <v>0</v>
      </c>
      <c r="V68" s="174">
        <v>0</v>
      </c>
      <c r="W68" s="174">
        <v>0</v>
      </c>
      <c r="X68" s="174">
        <v>0</v>
      </c>
      <c r="Y68" s="174">
        <v>0</v>
      </c>
      <c r="Z68" s="174">
        <v>0</v>
      </c>
      <c r="AA68" s="174">
        <v>0</v>
      </c>
      <c r="AB68" s="174">
        <v>0</v>
      </c>
      <c r="AC68" s="174">
        <v>0</v>
      </c>
      <c r="AD68" s="174">
        <v>0</v>
      </c>
      <c r="AE68" s="174">
        <v>0</v>
      </c>
      <c r="AF68" s="174">
        <v>0</v>
      </c>
      <c r="AG68" s="174">
        <v>0</v>
      </c>
      <c r="AH68" s="174">
        <v>0</v>
      </c>
      <c r="AI68" s="174">
        <v>0</v>
      </c>
      <c r="AJ68" s="174">
        <v>0</v>
      </c>
      <c r="AK68" s="174">
        <v>0</v>
      </c>
      <c r="AL68" s="174">
        <v>0</v>
      </c>
      <c r="AM68" s="174">
        <v>0</v>
      </c>
      <c r="AN68" s="174">
        <v>0</v>
      </c>
      <c r="AO68" s="174">
        <v>0</v>
      </c>
      <c r="AP68" s="174">
        <v>0</v>
      </c>
      <c r="AQ68" s="174">
        <v>0</v>
      </c>
      <c r="AR68" s="174">
        <v>0</v>
      </c>
      <c r="AS68" s="174">
        <v>0</v>
      </c>
      <c r="AT68" s="174">
        <v>0</v>
      </c>
      <c r="AU68" s="174">
        <v>0</v>
      </c>
      <c r="AV68" s="174">
        <v>0</v>
      </c>
      <c r="AW68" s="174">
        <v>0</v>
      </c>
      <c r="AX68" s="174">
        <v>0</v>
      </c>
      <c r="AY68" s="174">
        <v>0</v>
      </c>
      <c r="AZ68" s="174">
        <v>0</v>
      </c>
      <c r="BA68" s="174">
        <v>0</v>
      </c>
      <c r="BB68" s="174">
        <v>0</v>
      </c>
      <c r="BC68" s="174">
        <v>0</v>
      </c>
      <c r="BD68" s="174">
        <v>0</v>
      </c>
      <c r="BE68" s="174">
        <v>0</v>
      </c>
      <c r="BF68" s="174">
        <v>0</v>
      </c>
      <c r="BG68" s="174">
        <v>0</v>
      </c>
      <c r="BH68" s="212">
        <v>1</v>
      </c>
      <c r="BI68" s="213"/>
      <c r="BJ68" s="213"/>
      <c r="BK68" s="213"/>
      <c r="BL68" s="213"/>
      <c r="BM68" s="213"/>
      <c r="BN68" s="213"/>
      <c r="BO68" s="213"/>
      <c r="BP68" s="213"/>
      <c r="BQ68" s="213"/>
      <c r="BR68" s="213"/>
      <c r="BS68" s="213"/>
      <c r="BT68" s="213"/>
      <c r="BU68" s="213"/>
      <c r="BV68" s="213"/>
      <c r="BW68" s="213"/>
      <c r="BX68" s="213"/>
      <c r="BY68" s="213"/>
      <c r="BZ68" s="213"/>
      <c r="CA68" s="213"/>
      <c r="CB68" s="213"/>
      <c r="CC68" s="213"/>
      <c r="CD68" s="213"/>
      <c r="CE68" s="213"/>
      <c r="CF68" s="213"/>
      <c r="CG68" s="213"/>
      <c r="CH68" s="213"/>
      <c r="CI68" s="213"/>
      <c r="CJ68" s="213"/>
      <c r="CK68" s="213"/>
      <c r="CL68" s="213"/>
      <c r="CM68" s="213"/>
      <c r="CN68" s="213"/>
      <c r="CO68" s="213"/>
      <c r="CP68" s="213"/>
    </row>
    <row r="69" ht="12.75" customHeight="1">
      <c r="A69" s="219" t="s">
        <v>184</v>
      </c>
      <c r="B69" s="219" t="s">
        <v>86</v>
      </c>
      <c r="C69" s="174">
        <v>0</v>
      </c>
      <c r="D69" s="174">
        <v>0</v>
      </c>
      <c r="E69" s="174">
        <v>0</v>
      </c>
      <c r="F69" s="174">
        <v>0</v>
      </c>
      <c r="G69" s="174">
        <v>0</v>
      </c>
      <c r="H69" s="174">
        <v>0</v>
      </c>
      <c r="I69" s="174">
        <v>0</v>
      </c>
      <c r="J69" s="174">
        <v>0</v>
      </c>
      <c r="K69" s="174">
        <v>0</v>
      </c>
      <c r="L69" s="174">
        <v>0</v>
      </c>
      <c r="M69" s="174">
        <v>0</v>
      </c>
      <c r="N69" s="174">
        <v>0</v>
      </c>
      <c r="O69" s="174">
        <v>0</v>
      </c>
      <c r="P69" s="174">
        <v>0</v>
      </c>
      <c r="Q69" s="174">
        <v>0</v>
      </c>
      <c r="R69" s="174">
        <v>0</v>
      </c>
      <c r="S69" s="174">
        <v>0</v>
      </c>
      <c r="T69" s="174">
        <v>0</v>
      </c>
      <c r="U69" s="174">
        <v>0</v>
      </c>
      <c r="V69" s="174">
        <v>0</v>
      </c>
      <c r="W69" s="174">
        <v>0</v>
      </c>
      <c r="X69" s="174">
        <v>0</v>
      </c>
      <c r="Y69" s="174">
        <v>0</v>
      </c>
      <c r="Z69" s="174">
        <v>0</v>
      </c>
      <c r="AA69" s="174">
        <v>0</v>
      </c>
      <c r="AB69" s="174">
        <v>0</v>
      </c>
      <c r="AC69" s="174">
        <v>0</v>
      </c>
      <c r="AD69" s="174">
        <v>0</v>
      </c>
      <c r="AE69" s="174">
        <v>0</v>
      </c>
      <c r="AF69" s="174">
        <v>0</v>
      </c>
      <c r="AG69" s="174">
        <v>0</v>
      </c>
      <c r="AH69" s="174">
        <v>0</v>
      </c>
      <c r="AI69" s="174">
        <v>0</v>
      </c>
      <c r="AJ69" s="174">
        <v>0</v>
      </c>
      <c r="AK69" s="174">
        <v>0</v>
      </c>
      <c r="AL69" s="174">
        <v>0</v>
      </c>
      <c r="AM69" s="174">
        <v>0</v>
      </c>
      <c r="AN69" s="174">
        <v>0</v>
      </c>
      <c r="AO69" s="174">
        <v>0</v>
      </c>
      <c r="AP69" s="174">
        <v>0</v>
      </c>
      <c r="AQ69" s="174">
        <v>0</v>
      </c>
      <c r="AR69" s="174">
        <v>0</v>
      </c>
      <c r="AS69" s="174">
        <v>0</v>
      </c>
      <c r="AT69" s="174">
        <v>0</v>
      </c>
      <c r="AU69" s="174">
        <v>0</v>
      </c>
      <c r="AV69" s="174">
        <v>0</v>
      </c>
      <c r="AW69" s="174">
        <v>0</v>
      </c>
      <c r="AX69" s="174">
        <v>0</v>
      </c>
      <c r="AY69" s="174">
        <v>0</v>
      </c>
      <c r="AZ69" s="174">
        <v>0</v>
      </c>
      <c r="BA69" s="174">
        <v>0</v>
      </c>
      <c r="BB69" s="174">
        <v>0</v>
      </c>
      <c r="BC69" s="174">
        <v>0</v>
      </c>
      <c r="BD69" s="174">
        <v>0</v>
      </c>
      <c r="BE69" s="174">
        <v>0</v>
      </c>
      <c r="BF69" s="174">
        <v>0</v>
      </c>
      <c r="BG69" s="174">
        <v>0</v>
      </c>
      <c r="BH69" s="174">
        <v>0</v>
      </c>
      <c r="BI69" s="212">
        <v>1</v>
      </c>
      <c r="BJ69" s="212"/>
      <c r="BK69" s="212"/>
      <c r="BL69" s="212"/>
      <c r="BM69" s="212"/>
      <c r="BN69" s="213"/>
      <c r="BO69" s="213"/>
      <c r="BP69" s="213"/>
      <c r="BQ69" s="213"/>
      <c r="BR69" s="213"/>
      <c r="BS69" s="213"/>
      <c r="BT69" s="213"/>
      <c r="BU69" s="213"/>
      <c r="BV69" s="213"/>
      <c r="BW69" s="213"/>
      <c r="BX69" s="213"/>
      <c r="BY69" s="213"/>
      <c r="BZ69" s="213"/>
      <c r="CA69" s="213"/>
      <c r="CB69" s="213"/>
      <c r="CC69" s="213"/>
      <c r="CD69" s="213"/>
      <c r="CE69" s="213"/>
      <c r="CF69" s="213"/>
      <c r="CG69" s="213"/>
      <c r="CH69" s="213"/>
      <c r="CI69" s="213"/>
      <c r="CJ69" s="213"/>
      <c r="CK69" s="213"/>
      <c r="CL69" s="213"/>
      <c r="CM69" s="213"/>
      <c r="CN69" s="213"/>
      <c r="CO69" s="213"/>
      <c r="CP69" s="213"/>
    </row>
    <row r="70" ht="12.75" customHeight="1">
      <c r="A70" s="219" t="s">
        <v>183</v>
      </c>
      <c r="B70" s="219" t="s">
        <v>86</v>
      </c>
      <c r="C70" s="174">
        <v>0</v>
      </c>
      <c r="D70" s="174">
        <v>0</v>
      </c>
      <c r="E70" s="174">
        <v>0</v>
      </c>
      <c r="F70" s="174">
        <v>0</v>
      </c>
      <c r="G70" s="174">
        <v>0</v>
      </c>
      <c r="H70" s="174">
        <v>0</v>
      </c>
      <c r="I70" s="174">
        <v>0</v>
      </c>
      <c r="J70" s="174">
        <v>0</v>
      </c>
      <c r="K70" s="174">
        <v>0</v>
      </c>
      <c r="L70" s="174">
        <v>0</v>
      </c>
      <c r="M70" s="174">
        <v>0</v>
      </c>
      <c r="N70" s="174">
        <v>0</v>
      </c>
      <c r="O70" s="174">
        <v>0</v>
      </c>
      <c r="P70" s="174">
        <v>0</v>
      </c>
      <c r="Q70" s="174">
        <v>0</v>
      </c>
      <c r="R70" s="174">
        <v>0</v>
      </c>
      <c r="S70" s="174">
        <v>0</v>
      </c>
      <c r="T70" s="174">
        <v>0</v>
      </c>
      <c r="U70" s="174">
        <v>0</v>
      </c>
      <c r="V70" s="174">
        <v>0</v>
      </c>
      <c r="W70" s="174">
        <v>0</v>
      </c>
      <c r="X70" s="174">
        <v>0</v>
      </c>
      <c r="Y70" s="174">
        <v>0</v>
      </c>
      <c r="Z70" s="174">
        <v>0</v>
      </c>
      <c r="AA70" s="174">
        <v>0</v>
      </c>
      <c r="AB70" s="174">
        <v>0</v>
      </c>
      <c r="AC70" s="174">
        <v>0</v>
      </c>
      <c r="AD70" s="174">
        <v>0</v>
      </c>
      <c r="AE70" s="174">
        <v>0</v>
      </c>
      <c r="AF70" s="174">
        <v>0</v>
      </c>
      <c r="AG70" s="174">
        <v>0</v>
      </c>
      <c r="AH70" s="174">
        <v>0</v>
      </c>
      <c r="AI70" s="174">
        <v>0</v>
      </c>
      <c r="AJ70" s="174">
        <v>0</v>
      </c>
      <c r="AK70" s="174">
        <v>0</v>
      </c>
      <c r="AL70" s="174">
        <v>0</v>
      </c>
      <c r="AM70" s="174">
        <v>0</v>
      </c>
      <c r="AN70" s="174">
        <v>0</v>
      </c>
      <c r="AO70" s="174">
        <v>0</v>
      </c>
      <c r="AP70" s="174">
        <v>0</v>
      </c>
      <c r="AQ70" s="174">
        <v>0</v>
      </c>
      <c r="AR70" s="174">
        <v>0</v>
      </c>
      <c r="AS70" s="174">
        <v>0</v>
      </c>
      <c r="AT70" s="174">
        <v>0</v>
      </c>
      <c r="AU70" s="174">
        <v>0</v>
      </c>
      <c r="AV70" s="174">
        <v>0</v>
      </c>
      <c r="AW70" s="174">
        <v>0</v>
      </c>
      <c r="AX70" s="174">
        <v>0</v>
      </c>
      <c r="AY70" s="174">
        <v>0</v>
      </c>
      <c r="AZ70" s="174">
        <v>0</v>
      </c>
      <c r="BA70" s="174">
        <v>0</v>
      </c>
      <c r="BB70" s="174">
        <v>0</v>
      </c>
      <c r="BC70" s="174">
        <v>0</v>
      </c>
      <c r="BD70" s="174">
        <v>0</v>
      </c>
      <c r="BE70" s="174">
        <v>0</v>
      </c>
      <c r="BF70" s="174">
        <v>0</v>
      </c>
      <c r="BG70" s="174">
        <v>0</v>
      </c>
      <c r="BH70" s="174">
        <v>0</v>
      </c>
      <c r="BI70" s="174">
        <v>0</v>
      </c>
      <c r="BJ70" s="212">
        <v>1</v>
      </c>
      <c r="BK70" s="212"/>
      <c r="BL70" s="212"/>
      <c r="BM70" s="212"/>
      <c r="BN70" s="213"/>
      <c r="BO70" s="213"/>
      <c r="BP70" s="213"/>
      <c r="BQ70" s="213"/>
      <c r="BR70" s="213"/>
      <c r="BS70" s="213"/>
      <c r="BT70" s="213"/>
      <c r="BU70" s="213"/>
      <c r="BV70" s="213"/>
      <c r="BW70" s="213"/>
      <c r="BX70" s="213"/>
      <c r="BY70" s="213"/>
      <c r="BZ70" s="213"/>
      <c r="CA70" s="213"/>
      <c r="CB70" s="213"/>
      <c r="CC70" s="213"/>
      <c r="CD70" s="213"/>
      <c r="CE70" s="213"/>
      <c r="CF70" s="213"/>
      <c r="CG70" s="213"/>
      <c r="CH70" s="213"/>
      <c r="CI70" s="213"/>
      <c r="CJ70" s="213"/>
      <c r="CK70" s="213"/>
      <c r="CL70" s="213"/>
      <c r="CM70" s="213"/>
      <c r="CN70" s="213"/>
      <c r="CO70" s="213"/>
      <c r="CP70" s="213"/>
    </row>
    <row r="71" ht="12.75" customHeight="1">
      <c r="A71" s="219" t="s">
        <v>192</v>
      </c>
      <c r="B71" s="219" t="s">
        <v>86</v>
      </c>
      <c r="C71" s="174">
        <v>0</v>
      </c>
      <c r="D71" s="174">
        <v>0</v>
      </c>
      <c r="E71" s="174">
        <v>0</v>
      </c>
      <c r="F71" s="174">
        <v>0</v>
      </c>
      <c r="G71" s="174">
        <v>0</v>
      </c>
      <c r="H71" s="174">
        <v>0</v>
      </c>
      <c r="I71" s="174">
        <v>0</v>
      </c>
      <c r="J71" s="174">
        <v>0</v>
      </c>
      <c r="K71" s="174">
        <v>0</v>
      </c>
      <c r="L71" s="174">
        <v>0</v>
      </c>
      <c r="M71" s="174">
        <v>0</v>
      </c>
      <c r="N71" s="174">
        <v>0</v>
      </c>
      <c r="O71" s="174">
        <v>0</v>
      </c>
      <c r="P71" s="174">
        <v>0</v>
      </c>
      <c r="Q71" s="174">
        <v>0</v>
      </c>
      <c r="R71" s="174">
        <v>0</v>
      </c>
      <c r="S71" s="174">
        <v>0</v>
      </c>
      <c r="T71" s="174">
        <v>0</v>
      </c>
      <c r="U71" s="174">
        <v>0</v>
      </c>
      <c r="V71" s="174">
        <v>0</v>
      </c>
      <c r="W71" s="174">
        <v>0</v>
      </c>
      <c r="X71" s="174">
        <v>0</v>
      </c>
      <c r="Y71" s="174">
        <v>0</v>
      </c>
      <c r="Z71" s="174">
        <v>0</v>
      </c>
      <c r="AA71" s="174">
        <v>0</v>
      </c>
      <c r="AB71" s="174">
        <v>0</v>
      </c>
      <c r="AC71" s="174">
        <v>0</v>
      </c>
      <c r="AD71" s="174">
        <v>0</v>
      </c>
      <c r="AE71" s="174">
        <v>0</v>
      </c>
      <c r="AF71" s="174">
        <v>0</v>
      </c>
      <c r="AG71" s="174">
        <v>0</v>
      </c>
      <c r="AH71" s="174">
        <v>0</v>
      </c>
      <c r="AI71" s="174">
        <v>0</v>
      </c>
      <c r="AJ71" s="174">
        <v>0</v>
      </c>
      <c r="AK71" s="174">
        <v>0</v>
      </c>
      <c r="AL71" s="174">
        <v>0</v>
      </c>
      <c r="AM71" s="174">
        <v>0</v>
      </c>
      <c r="AN71" s="174">
        <v>0</v>
      </c>
      <c r="AO71" s="174">
        <v>0</v>
      </c>
      <c r="AP71" s="174">
        <v>0</v>
      </c>
      <c r="AQ71" s="174">
        <v>0</v>
      </c>
      <c r="AR71" s="174">
        <v>0</v>
      </c>
      <c r="AS71" s="174">
        <v>0</v>
      </c>
      <c r="AT71" s="174">
        <v>0</v>
      </c>
      <c r="AU71" s="174">
        <v>0</v>
      </c>
      <c r="AV71" s="174">
        <v>0</v>
      </c>
      <c r="AW71" s="174">
        <v>0</v>
      </c>
      <c r="AX71" s="174">
        <v>0</v>
      </c>
      <c r="AY71" s="174">
        <v>0</v>
      </c>
      <c r="AZ71" s="174">
        <v>0</v>
      </c>
      <c r="BA71" s="174">
        <v>0</v>
      </c>
      <c r="BB71" s="174">
        <v>0</v>
      </c>
      <c r="BC71" s="174">
        <v>0</v>
      </c>
      <c r="BD71" s="174">
        <v>0</v>
      </c>
      <c r="BE71" s="174">
        <v>0</v>
      </c>
      <c r="BF71" s="174">
        <v>0</v>
      </c>
      <c r="BG71" s="174">
        <v>0</v>
      </c>
      <c r="BH71" s="174">
        <v>0</v>
      </c>
      <c r="BI71" s="174">
        <v>0</v>
      </c>
      <c r="BJ71" s="174">
        <v>0</v>
      </c>
      <c r="BK71" s="212">
        <v>1</v>
      </c>
      <c r="BL71" s="212"/>
      <c r="BM71" s="212"/>
      <c r="BN71" s="213"/>
      <c r="BO71" s="213"/>
      <c r="BP71" s="213"/>
      <c r="BQ71" s="213"/>
      <c r="BR71" s="213"/>
      <c r="BS71" s="213"/>
      <c r="BT71" s="213"/>
      <c r="BU71" s="213"/>
      <c r="BV71" s="213"/>
      <c r="BW71" s="213"/>
      <c r="BX71" s="213"/>
      <c r="BY71" s="213"/>
      <c r="BZ71" s="213"/>
      <c r="CA71" s="213"/>
      <c r="CB71" s="213"/>
      <c r="CC71" s="213"/>
      <c r="CD71" s="213"/>
      <c r="CE71" s="213"/>
      <c r="CF71" s="213"/>
      <c r="CG71" s="213"/>
      <c r="CH71" s="213"/>
      <c r="CI71" s="213"/>
      <c r="CJ71" s="213"/>
      <c r="CK71" s="213"/>
      <c r="CL71" s="213"/>
      <c r="CM71" s="213"/>
      <c r="CN71" s="213"/>
      <c r="CO71" s="213"/>
      <c r="CP71" s="213"/>
    </row>
    <row r="72" ht="12.75" customHeight="1">
      <c r="A72" s="219" t="s">
        <v>193</v>
      </c>
      <c r="B72" s="219" t="s">
        <v>86</v>
      </c>
      <c r="C72" s="174">
        <v>0</v>
      </c>
      <c r="D72" s="174">
        <v>0</v>
      </c>
      <c r="E72" s="174">
        <v>0</v>
      </c>
      <c r="F72" s="174">
        <v>0</v>
      </c>
      <c r="G72" s="174">
        <v>0</v>
      </c>
      <c r="H72" s="174">
        <v>0</v>
      </c>
      <c r="I72" s="174">
        <v>0</v>
      </c>
      <c r="J72" s="174">
        <v>0</v>
      </c>
      <c r="K72" s="174">
        <v>0</v>
      </c>
      <c r="L72" s="174">
        <v>0</v>
      </c>
      <c r="M72" s="174">
        <v>0</v>
      </c>
      <c r="N72" s="174">
        <v>0</v>
      </c>
      <c r="O72" s="174">
        <v>0</v>
      </c>
      <c r="P72" s="174">
        <v>0</v>
      </c>
      <c r="Q72" s="174">
        <v>0</v>
      </c>
      <c r="R72" s="174">
        <v>0</v>
      </c>
      <c r="S72" s="174">
        <v>0</v>
      </c>
      <c r="T72" s="174">
        <v>0</v>
      </c>
      <c r="U72" s="174">
        <v>0</v>
      </c>
      <c r="V72" s="174">
        <v>0</v>
      </c>
      <c r="W72" s="174">
        <v>0</v>
      </c>
      <c r="X72" s="174">
        <v>0</v>
      </c>
      <c r="Y72" s="174">
        <v>0</v>
      </c>
      <c r="Z72" s="174">
        <v>0</v>
      </c>
      <c r="AA72" s="174">
        <v>0</v>
      </c>
      <c r="AB72" s="174">
        <v>0</v>
      </c>
      <c r="AC72" s="174">
        <v>0</v>
      </c>
      <c r="AD72" s="174">
        <v>0</v>
      </c>
      <c r="AE72" s="174">
        <v>0</v>
      </c>
      <c r="AF72" s="174">
        <v>0</v>
      </c>
      <c r="AG72" s="174">
        <v>0</v>
      </c>
      <c r="AH72" s="174">
        <v>0</v>
      </c>
      <c r="AI72" s="174">
        <v>0</v>
      </c>
      <c r="AJ72" s="174">
        <v>0</v>
      </c>
      <c r="AK72" s="174">
        <v>0</v>
      </c>
      <c r="AL72" s="174">
        <v>0</v>
      </c>
      <c r="AM72" s="174">
        <v>0</v>
      </c>
      <c r="AN72" s="174">
        <v>0</v>
      </c>
      <c r="AO72" s="174">
        <v>0</v>
      </c>
      <c r="AP72" s="174">
        <v>0</v>
      </c>
      <c r="AQ72" s="174">
        <v>0</v>
      </c>
      <c r="AR72" s="174">
        <v>0</v>
      </c>
      <c r="AS72" s="174">
        <v>0</v>
      </c>
      <c r="AT72" s="174">
        <v>0</v>
      </c>
      <c r="AU72" s="174">
        <v>0</v>
      </c>
      <c r="AV72" s="174">
        <v>0</v>
      </c>
      <c r="AW72" s="174">
        <v>0</v>
      </c>
      <c r="AX72" s="174">
        <v>0</v>
      </c>
      <c r="AY72" s="174">
        <v>0</v>
      </c>
      <c r="AZ72" s="174">
        <v>0</v>
      </c>
      <c r="BA72" s="174">
        <v>0</v>
      </c>
      <c r="BB72" s="174">
        <v>0</v>
      </c>
      <c r="BC72" s="174">
        <v>0</v>
      </c>
      <c r="BD72" s="174">
        <v>0</v>
      </c>
      <c r="BE72" s="174">
        <v>0</v>
      </c>
      <c r="BF72" s="174">
        <v>0</v>
      </c>
      <c r="BG72" s="174">
        <v>0</v>
      </c>
      <c r="BH72" s="174">
        <v>0</v>
      </c>
      <c r="BI72" s="174">
        <v>0</v>
      </c>
      <c r="BJ72" s="174">
        <v>0</v>
      </c>
      <c r="BK72" s="174">
        <v>0</v>
      </c>
      <c r="BL72" s="212">
        <v>1</v>
      </c>
      <c r="BM72" s="212"/>
      <c r="BN72" s="213"/>
      <c r="BO72" s="213"/>
      <c r="BP72" s="213"/>
      <c r="BQ72" s="213"/>
      <c r="BR72" s="213"/>
      <c r="BS72" s="213"/>
      <c r="BT72" s="213"/>
      <c r="BU72" s="213"/>
      <c r="BV72" s="213"/>
      <c r="BW72" s="213"/>
      <c r="BX72" s="213"/>
      <c r="BY72" s="213"/>
      <c r="BZ72" s="213"/>
      <c r="CA72" s="213"/>
      <c r="CB72" s="213"/>
      <c r="CC72" s="213"/>
      <c r="CD72" s="213"/>
      <c r="CE72" s="213"/>
      <c r="CF72" s="213"/>
      <c r="CG72" s="213"/>
      <c r="CH72" s="213"/>
      <c r="CI72" s="213"/>
      <c r="CJ72" s="213"/>
      <c r="CK72" s="213"/>
      <c r="CL72" s="213"/>
      <c r="CM72" s="213"/>
      <c r="CN72" s="213"/>
      <c r="CO72" s="213"/>
      <c r="CP72" s="213"/>
    </row>
    <row r="73" ht="12.75" customHeight="1">
      <c r="A73" s="219" t="s">
        <v>194</v>
      </c>
      <c r="B73" s="219" t="s">
        <v>86</v>
      </c>
      <c r="C73" s="174">
        <v>0</v>
      </c>
      <c r="D73" s="174">
        <v>0</v>
      </c>
      <c r="E73" s="174">
        <v>0</v>
      </c>
      <c r="F73" s="174">
        <v>0</v>
      </c>
      <c r="G73" s="174">
        <v>0</v>
      </c>
      <c r="H73" s="174">
        <v>0</v>
      </c>
      <c r="I73" s="174">
        <v>0</v>
      </c>
      <c r="J73" s="174">
        <v>0</v>
      </c>
      <c r="K73" s="174">
        <v>0</v>
      </c>
      <c r="L73" s="174">
        <v>0</v>
      </c>
      <c r="M73" s="174">
        <v>0</v>
      </c>
      <c r="N73" s="174">
        <v>0</v>
      </c>
      <c r="O73" s="174">
        <v>0</v>
      </c>
      <c r="P73" s="174">
        <v>0</v>
      </c>
      <c r="Q73" s="174">
        <v>0</v>
      </c>
      <c r="R73" s="174">
        <v>0</v>
      </c>
      <c r="S73" s="174">
        <v>0</v>
      </c>
      <c r="T73" s="174">
        <v>0</v>
      </c>
      <c r="U73" s="174">
        <v>0</v>
      </c>
      <c r="V73" s="174">
        <v>0</v>
      </c>
      <c r="W73" s="174">
        <v>0</v>
      </c>
      <c r="X73" s="174">
        <v>0</v>
      </c>
      <c r="Y73" s="174">
        <v>0</v>
      </c>
      <c r="Z73" s="174">
        <v>0</v>
      </c>
      <c r="AA73" s="174">
        <v>0</v>
      </c>
      <c r="AB73" s="174">
        <v>0</v>
      </c>
      <c r="AC73" s="174">
        <v>0</v>
      </c>
      <c r="AD73" s="174">
        <v>0</v>
      </c>
      <c r="AE73" s="174">
        <v>0</v>
      </c>
      <c r="AF73" s="174">
        <v>0</v>
      </c>
      <c r="AG73" s="174">
        <v>0</v>
      </c>
      <c r="AH73" s="174">
        <v>0</v>
      </c>
      <c r="AI73" s="174">
        <v>0</v>
      </c>
      <c r="AJ73" s="174">
        <v>0</v>
      </c>
      <c r="AK73" s="174">
        <v>0</v>
      </c>
      <c r="AL73" s="174">
        <v>0</v>
      </c>
      <c r="AM73" s="174">
        <v>0</v>
      </c>
      <c r="AN73" s="174">
        <v>0</v>
      </c>
      <c r="AO73" s="174">
        <v>0</v>
      </c>
      <c r="AP73" s="174">
        <v>0</v>
      </c>
      <c r="AQ73" s="174">
        <v>0</v>
      </c>
      <c r="AR73" s="174">
        <v>0</v>
      </c>
      <c r="AS73" s="174">
        <v>0</v>
      </c>
      <c r="AT73" s="174">
        <v>0</v>
      </c>
      <c r="AU73" s="174">
        <v>0</v>
      </c>
      <c r="AV73" s="174">
        <v>0</v>
      </c>
      <c r="AW73" s="174">
        <v>0</v>
      </c>
      <c r="AX73" s="174">
        <v>0</v>
      </c>
      <c r="AY73" s="174">
        <v>0</v>
      </c>
      <c r="AZ73" s="174">
        <v>0</v>
      </c>
      <c r="BA73" s="174">
        <v>0</v>
      </c>
      <c r="BB73" s="174">
        <v>0</v>
      </c>
      <c r="BC73" s="174">
        <v>0</v>
      </c>
      <c r="BD73" s="174">
        <v>0</v>
      </c>
      <c r="BE73" s="174">
        <v>0</v>
      </c>
      <c r="BF73" s="174">
        <v>0</v>
      </c>
      <c r="BG73" s="174">
        <v>0</v>
      </c>
      <c r="BH73" s="174">
        <v>0</v>
      </c>
      <c r="BI73" s="174">
        <v>0</v>
      </c>
      <c r="BJ73" s="174">
        <v>0</v>
      </c>
      <c r="BK73" s="174">
        <v>0</v>
      </c>
      <c r="BL73" s="174">
        <v>0</v>
      </c>
      <c r="BM73" s="212">
        <v>1</v>
      </c>
      <c r="BN73" s="213"/>
      <c r="BO73" s="213"/>
      <c r="BP73" s="213"/>
      <c r="BQ73" s="213"/>
      <c r="BR73" s="213"/>
      <c r="BS73" s="213"/>
      <c r="BT73" s="213"/>
      <c r="BU73" s="213"/>
      <c r="BV73" s="213"/>
      <c r="BW73" s="213"/>
      <c r="BX73" s="213"/>
      <c r="BY73" s="213"/>
      <c r="BZ73" s="213"/>
      <c r="CA73" s="213"/>
      <c r="CB73" s="213"/>
      <c r="CC73" s="213"/>
      <c r="CD73" s="213"/>
      <c r="CE73" s="213"/>
      <c r="CF73" s="213"/>
      <c r="CG73" s="213"/>
      <c r="CH73" s="213"/>
      <c r="CI73" s="213"/>
      <c r="CJ73" s="213"/>
      <c r="CK73" s="213"/>
      <c r="CL73" s="213"/>
      <c r="CM73" s="213"/>
      <c r="CN73" s="213"/>
      <c r="CO73" s="213"/>
      <c r="CP73" s="213"/>
    </row>
    <row r="74" ht="12.75" customHeight="1">
      <c r="A74" s="219" t="s">
        <v>84</v>
      </c>
      <c r="B74" s="219" t="s">
        <v>86</v>
      </c>
      <c r="C74" s="174">
        <v>0</v>
      </c>
      <c r="D74" s="174">
        <v>0</v>
      </c>
      <c r="E74" s="174">
        <v>0</v>
      </c>
      <c r="F74" s="174">
        <v>0</v>
      </c>
      <c r="G74" s="174">
        <v>0</v>
      </c>
      <c r="H74" s="174">
        <v>0</v>
      </c>
      <c r="I74" s="174">
        <v>0</v>
      </c>
      <c r="J74" s="174">
        <v>0</v>
      </c>
      <c r="K74" s="174">
        <v>0</v>
      </c>
      <c r="L74" s="174">
        <v>0</v>
      </c>
      <c r="M74" s="174">
        <v>0</v>
      </c>
      <c r="N74" s="174">
        <v>0</v>
      </c>
      <c r="O74" s="174">
        <v>0</v>
      </c>
      <c r="P74" s="174">
        <v>0</v>
      </c>
      <c r="Q74" s="174">
        <v>0</v>
      </c>
      <c r="R74" s="174">
        <v>0</v>
      </c>
      <c r="S74" s="174">
        <v>0</v>
      </c>
      <c r="T74" s="174">
        <v>0</v>
      </c>
      <c r="U74" s="174">
        <v>0</v>
      </c>
      <c r="V74" s="174">
        <v>0</v>
      </c>
      <c r="W74" s="174">
        <v>0</v>
      </c>
      <c r="X74" s="174">
        <v>0</v>
      </c>
      <c r="Y74" s="174">
        <v>0</v>
      </c>
      <c r="Z74" s="174">
        <v>0</v>
      </c>
      <c r="AA74" s="174">
        <v>0</v>
      </c>
      <c r="AB74" s="174">
        <v>0</v>
      </c>
      <c r="AC74" s="174">
        <v>0</v>
      </c>
      <c r="AD74" s="174">
        <v>0</v>
      </c>
      <c r="AE74" s="174">
        <v>0</v>
      </c>
      <c r="AF74" s="174">
        <v>0</v>
      </c>
      <c r="AG74" s="174">
        <v>0</v>
      </c>
      <c r="AH74" s="174">
        <v>0</v>
      </c>
      <c r="AI74" s="174">
        <v>0</v>
      </c>
      <c r="AJ74" s="174">
        <v>0</v>
      </c>
      <c r="AK74" s="174">
        <v>0</v>
      </c>
      <c r="AL74" s="174">
        <v>0</v>
      </c>
      <c r="AM74" s="174">
        <v>0</v>
      </c>
      <c r="AN74" s="174">
        <v>0</v>
      </c>
      <c r="AO74" s="174">
        <v>0</v>
      </c>
      <c r="AP74" s="174">
        <v>0</v>
      </c>
      <c r="AQ74" s="174">
        <v>0</v>
      </c>
      <c r="AR74" s="174">
        <v>0</v>
      </c>
      <c r="AS74" s="174">
        <v>0</v>
      </c>
      <c r="AT74" s="174">
        <v>0</v>
      </c>
      <c r="AU74" s="174">
        <v>0</v>
      </c>
      <c r="AV74" s="174">
        <v>0</v>
      </c>
      <c r="AW74" s="174">
        <v>0</v>
      </c>
      <c r="AX74" s="174">
        <v>0</v>
      </c>
      <c r="AY74" s="174">
        <v>0</v>
      </c>
      <c r="AZ74" s="174">
        <v>0</v>
      </c>
      <c r="BA74" s="174">
        <v>0</v>
      </c>
      <c r="BB74" s="174">
        <v>0</v>
      </c>
      <c r="BC74" s="174">
        <v>0</v>
      </c>
      <c r="BD74" s="174">
        <v>0</v>
      </c>
      <c r="BE74" s="174">
        <v>0</v>
      </c>
      <c r="BF74" s="174">
        <v>0</v>
      </c>
      <c r="BG74" s="174">
        <v>0</v>
      </c>
      <c r="BH74" s="174">
        <v>0</v>
      </c>
      <c r="BI74" s="174">
        <v>0</v>
      </c>
      <c r="BJ74" s="174">
        <v>0</v>
      </c>
      <c r="BK74" s="174">
        <v>0</v>
      </c>
      <c r="BL74" s="174">
        <v>0</v>
      </c>
      <c r="BM74" s="174">
        <v>0</v>
      </c>
      <c r="BN74" s="212">
        <v>1</v>
      </c>
      <c r="BO74" s="213"/>
      <c r="BP74" s="213"/>
      <c r="BQ74" s="213"/>
      <c r="BR74" s="213"/>
      <c r="BS74" s="213"/>
      <c r="BT74" s="213"/>
      <c r="BU74" s="213"/>
      <c r="BV74" s="213"/>
      <c r="BW74" s="213"/>
      <c r="BX74" s="213"/>
      <c r="BY74" s="213"/>
      <c r="BZ74" s="213"/>
      <c r="CA74" s="213"/>
      <c r="CB74" s="213"/>
      <c r="CC74" s="213"/>
      <c r="CD74" s="213"/>
      <c r="CE74" s="213"/>
      <c r="CF74" s="213"/>
      <c r="CG74" s="213"/>
      <c r="CH74" s="213"/>
      <c r="CI74" s="213"/>
      <c r="CJ74" s="213"/>
      <c r="CK74" s="213"/>
      <c r="CL74" s="213"/>
      <c r="CM74" s="213"/>
      <c r="CN74" s="213"/>
      <c r="CO74" s="213"/>
      <c r="CP74" s="213"/>
    </row>
    <row r="75" ht="12.75" customHeight="1">
      <c r="A75" s="220" t="s">
        <v>171</v>
      </c>
      <c r="B75" s="220" t="s">
        <v>83</v>
      </c>
      <c r="C75" s="174">
        <v>0</v>
      </c>
      <c r="D75" s="174">
        <v>0</v>
      </c>
      <c r="E75" s="174">
        <v>0</v>
      </c>
      <c r="F75" s="174">
        <v>0</v>
      </c>
      <c r="G75" s="174">
        <v>0</v>
      </c>
      <c r="H75" s="174">
        <v>0</v>
      </c>
      <c r="I75" s="174">
        <v>0</v>
      </c>
      <c r="J75" s="174">
        <v>0</v>
      </c>
      <c r="K75" s="174">
        <v>0</v>
      </c>
      <c r="L75" s="174">
        <v>0</v>
      </c>
      <c r="M75" s="174">
        <v>0</v>
      </c>
      <c r="N75" s="174">
        <v>0</v>
      </c>
      <c r="O75" s="174">
        <v>0</v>
      </c>
      <c r="P75" s="174">
        <v>0</v>
      </c>
      <c r="Q75" s="174">
        <v>0</v>
      </c>
      <c r="R75" s="174">
        <v>0</v>
      </c>
      <c r="S75" s="174">
        <v>0</v>
      </c>
      <c r="T75" s="174">
        <v>0</v>
      </c>
      <c r="U75" s="174">
        <v>0</v>
      </c>
      <c r="V75" s="174">
        <v>0</v>
      </c>
      <c r="W75" s="174">
        <v>0</v>
      </c>
      <c r="X75" s="174">
        <v>0</v>
      </c>
      <c r="Y75" s="174">
        <v>0</v>
      </c>
      <c r="Z75" s="174">
        <v>0</v>
      </c>
      <c r="AA75" s="174">
        <v>0</v>
      </c>
      <c r="AB75" s="174">
        <v>0</v>
      </c>
      <c r="AC75" s="174">
        <v>0</v>
      </c>
      <c r="AD75" s="174">
        <v>0</v>
      </c>
      <c r="AE75" s="174">
        <v>0</v>
      </c>
      <c r="AF75" s="174">
        <v>0</v>
      </c>
      <c r="AG75" s="174">
        <v>0</v>
      </c>
      <c r="AH75" s="174">
        <v>0</v>
      </c>
      <c r="AI75" s="174">
        <v>0</v>
      </c>
      <c r="AJ75" s="174">
        <v>0</v>
      </c>
      <c r="AK75" s="174">
        <v>0</v>
      </c>
      <c r="AL75" s="174">
        <v>0</v>
      </c>
      <c r="AM75" s="174">
        <v>0</v>
      </c>
      <c r="AN75" s="174">
        <v>0</v>
      </c>
      <c r="AO75" s="174">
        <v>0</v>
      </c>
      <c r="AP75" s="174">
        <v>0</v>
      </c>
      <c r="AQ75" s="174">
        <v>0</v>
      </c>
      <c r="AR75" s="174">
        <v>0</v>
      </c>
      <c r="AS75" s="174">
        <v>0</v>
      </c>
      <c r="AT75" s="174">
        <v>0</v>
      </c>
      <c r="AU75" s="174">
        <v>0</v>
      </c>
      <c r="AV75" s="174">
        <v>0</v>
      </c>
      <c r="AW75" s="174">
        <v>0</v>
      </c>
      <c r="AX75" s="174">
        <v>0</v>
      </c>
      <c r="AY75" s="174">
        <v>0</v>
      </c>
      <c r="AZ75" s="174">
        <v>0</v>
      </c>
      <c r="BA75" s="174">
        <v>0</v>
      </c>
      <c r="BB75" s="174">
        <v>0</v>
      </c>
      <c r="BC75" s="174">
        <v>0</v>
      </c>
      <c r="BD75" s="174">
        <v>0</v>
      </c>
      <c r="BE75" s="174">
        <v>0</v>
      </c>
      <c r="BF75" s="174">
        <v>0</v>
      </c>
      <c r="BG75" s="174">
        <v>0</v>
      </c>
      <c r="BH75" s="174">
        <v>0</v>
      </c>
      <c r="BI75" s="174">
        <v>0</v>
      </c>
      <c r="BJ75" s="174">
        <v>0</v>
      </c>
      <c r="BK75" s="174">
        <v>0</v>
      </c>
      <c r="BL75" s="174">
        <v>0</v>
      </c>
      <c r="BM75" s="174">
        <v>0</v>
      </c>
      <c r="BN75" s="174">
        <v>0</v>
      </c>
      <c r="BO75" s="212">
        <v>1</v>
      </c>
      <c r="BP75" s="212"/>
      <c r="BQ75" s="213"/>
      <c r="BR75" s="213"/>
      <c r="BS75" s="213"/>
      <c r="BT75" s="213"/>
      <c r="BU75" s="213"/>
      <c r="BV75" s="213"/>
      <c r="BW75" s="213"/>
      <c r="BX75" s="213"/>
      <c r="BY75" s="213"/>
      <c r="BZ75" s="213"/>
      <c r="CA75" s="213"/>
      <c r="CB75" s="213"/>
      <c r="CC75" s="213"/>
      <c r="CD75" s="213"/>
      <c r="CE75" s="213"/>
      <c r="CF75" s="213"/>
      <c r="CG75" s="213"/>
      <c r="CH75" s="213"/>
      <c r="CI75" s="213"/>
      <c r="CJ75" s="213"/>
      <c r="CK75" s="213"/>
      <c r="CL75" s="213"/>
      <c r="CM75" s="213"/>
      <c r="CN75" s="213"/>
      <c r="CO75" s="213"/>
      <c r="CP75" s="213"/>
    </row>
    <row r="76" ht="12.75" customHeight="1">
      <c r="A76" s="220" t="s">
        <v>172</v>
      </c>
      <c r="B76" s="220" t="s">
        <v>83</v>
      </c>
      <c r="C76" s="174">
        <v>0</v>
      </c>
      <c r="D76" s="174">
        <v>0</v>
      </c>
      <c r="E76" s="174">
        <v>0</v>
      </c>
      <c r="F76" s="174">
        <v>0</v>
      </c>
      <c r="G76" s="174">
        <v>0</v>
      </c>
      <c r="H76" s="174">
        <v>0</v>
      </c>
      <c r="I76" s="174">
        <v>0</v>
      </c>
      <c r="J76" s="174">
        <v>0</v>
      </c>
      <c r="K76" s="174">
        <v>0</v>
      </c>
      <c r="L76" s="174">
        <v>0</v>
      </c>
      <c r="M76" s="174">
        <v>0</v>
      </c>
      <c r="N76" s="174">
        <v>0</v>
      </c>
      <c r="O76" s="174">
        <v>0</v>
      </c>
      <c r="P76" s="174">
        <v>0</v>
      </c>
      <c r="Q76" s="174">
        <v>0</v>
      </c>
      <c r="R76" s="174">
        <v>0</v>
      </c>
      <c r="S76" s="174">
        <v>0</v>
      </c>
      <c r="T76" s="174">
        <v>0</v>
      </c>
      <c r="U76" s="174">
        <v>0</v>
      </c>
      <c r="V76" s="174">
        <v>0</v>
      </c>
      <c r="W76" s="174">
        <v>0</v>
      </c>
      <c r="X76" s="174">
        <v>0</v>
      </c>
      <c r="Y76" s="174">
        <v>0</v>
      </c>
      <c r="Z76" s="174">
        <v>0</v>
      </c>
      <c r="AA76" s="174">
        <v>0</v>
      </c>
      <c r="AB76" s="174">
        <v>0</v>
      </c>
      <c r="AC76" s="174">
        <v>0</v>
      </c>
      <c r="AD76" s="174">
        <v>0</v>
      </c>
      <c r="AE76" s="174">
        <v>0</v>
      </c>
      <c r="AF76" s="174">
        <v>0</v>
      </c>
      <c r="AG76" s="174">
        <v>0</v>
      </c>
      <c r="AH76" s="174">
        <v>0</v>
      </c>
      <c r="AI76" s="174">
        <v>0</v>
      </c>
      <c r="AJ76" s="174">
        <v>0</v>
      </c>
      <c r="AK76" s="174">
        <v>0</v>
      </c>
      <c r="AL76" s="174">
        <v>0</v>
      </c>
      <c r="AM76" s="174">
        <v>0</v>
      </c>
      <c r="AN76" s="174">
        <v>0</v>
      </c>
      <c r="AO76" s="174">
        <v>0</v>
      </c>
      <c r="AP76" s="174">
        <v>0</v>
      </c>
      <c r="AQ76" s="174">
        <v>0</v>
      </c>
      <c r="AR76" s="174">
        <v>0</v>
      </c>
      <c r="AS76" s="174">
        <v>0</v>
      </c>
      <c r="AT76" s="174">
        <v>0</v>
      </c>
      <c r="AU76" s="174">
        <v>0</v>
      </c>
      <c r="AV76" s="174">
        <v>0</v>
      </c>
      <c r="AW76" s="174">
        <v>0</v>
      </c>
      <c r="AX76" s="174">
        <v>0</v>
      </c>
      <c r="AY76" s="174">
        <v>0</v>
      </c>
      <c r="AZ76" s="174">
        <v>0</v>
      </c>
      <c r="BA76" s="174">
        <v>0</v>
      </c>
      <c r="BB76" s="174">
        <v>0</v>
      </c>
      <c r="BC76" s="174">
        <v>0</v>
      </c>
      <c r="BD76" s="174">
        <v>0</v>
      </c>
      <c r="BE76" s="174">
        <v>0</v>
      </c>
      <c r="BF76" s="174">
        <v>0</v>
      </c>
      <c r="BG76" s="174">
        <v>0</v>
      </c>
      <c r="BH76" s="174">
        <v>0</v>
      </c>
      <c r="BI76" s="174">
        <v>0</v>
      </c>
      <c r="BJ76" s="174">
        <v>0</v>
      </c>
      <c r="BK76" s="174">
        <v>0</v>
      </c>
      <c r="BL76" s="174">
        <v>0</v>
      </c>
      <c r="BM76" s="174">
        <v>0</v>
      </c>
      <c r="BN76" s="174">
        <v>0</v>
      </c>
      <c r="BO76" s="174">
        <v>0</v>
      </c>
      <c r="BP76" s="212">
        <v>1</v>
      </c>
      <c r="BQ76" s="213"/>
      <c r="BR76" s="213"/>
      <c r="BS76" s="213"/>
      <c r="BT76" s="213"/>
      <c r="BU76" s="213"/>
      <c r="BV76" s="213"/>
      <c r="BW76" s="213"/>
      <c r="BX76" s="213"/>
      <c r="BY76" s="213"/>
      <c r="BZ76" s="213"/>
      <c r="CA76" s="213"/>
      <c r="CB76" s="213"/>
      <c r="CC76" s="213"/>
      <c r="CD76" s="213"/>
      <c r="CE76" s="213"/>
      <c r="CF76" s="213"/>
      <c r="CG76" s="213"/>
      <c r="CH76" s="213"/>
      <c r="CI76" s="213"/>
      <c r="CJ76" s="213"/>
      <c r="CK76" s="213"/>
      <c r="CL76" s="213"/>
      <c r="CM76" s="213"/>
      <c r="CN76" s="213"/>
      <c r="CO76" s="213"/>
      <c r="CP76" s="213"/>
    </row>
    <row r="77" ht="12.75" customHeight="1">
      <c r="A77" s="220" t="s">
        <v>175</v>
      </c>
      <c r="B77" s="220" t="s">
        <v>83</v>
      </c>
      <c r="C77" s="174">
        <v>0</v>
      </c>
      <c r="D77" s="174">
        <v>0</v>
      </c>
      <c r="E77" s="174">
        <v>0</v>
      </c>
      <c r="F77" s="174">
        <v>0</v>
      </c>
      <c r="G77" s="174">
        <v>0</v>
      </c>
      <c r="H77" s="174">
        <v>0</v>
      </c>
      <c r="I77" s="174">
        <v>0</v>
      </c>
      <c r="J77" s="174">
        <v>0</v>
      </c>
      <c r="K77" s="174">
        <v>0</v>
      </c>
      <c r="L77" s="174">
        <v>0</v>
      </c>
      <c r="M77" s="174">
        <v>0</v>
      </c>
      <c r="N77" s="174">
        <v>0</v>
      </c>
      <c r="O77" s="174">
        <v>0</v>
      </c>
      <c r="P77" s="174">
        <v>0</v>
      </c>
      <c r="Q77" s="174">
        <v>0</v>
      </c>
      <c r="R77" s="174">
        <v>0</v>
      </c>
      <c r="S77" s="174">
        <v>0</v>
      </c>
      <c r="T77" s="174">
        <v>0</v>
      </c>
      <c r="U77" s="174">
        <v>0</v>
      </c>
      <c r="V77" s="174">
        <v>0</v>
      </c>
      <c r="W77" s="174">
        <v>0</v>
      </c>
      <c r="X77" s="174">
        <v>0</v>
      </c>
      <c r="Y77" s="174">
        <v>0</v>
      </c>
      <c r="Z77" s="174">
        <v>0</v>
      </c>
      <c r="AA77" s="174">
        <v>0</v>
      </c>
      <c r="AB77" s="174">
        <v>0</v>
      </c>
      <c r="AC77" s="174">
        <v>0</v>
      </c>
      <c r="AD77" s="174">
        <v>0</v>
      </c>
      <c r="AE77" s="174">
        <v>0</v>
      </c>
      <c r="AF77" s="174">
        <v>0</v>
      </c>
      <c r="AG77" s="174">
        <v>0</v>
      </c>
      <c r="AH77" s="174">
        <v>0</v>
      </c>
      <c r="AI77" s="174">
        <v>0</v>
      </c>
      <c r="AJ77" s="174">
        <v>0</v>
      </c>
      <c r="AK77" s="174">
        <v>0</v>
      </c>
      <c r="AL77" s="174">
        <v>0</v>
      </c>
      <c r="AM77" s="174">
        <v>0</v>
      </c>
      <c r="AN77" s="174">
        <v>0</v>
      </c>
      <c r="AO77" s="174">
        <v>0</v>
      </c>
      <c r="AP77" s="174">
        <v>0</v>
      </c>
      <c r="AQ77" s="174">
        <v>0</v>
      </c>
      <c r="AR77" s="174">
        <v>0</v>
      </c>
      <c r="AS77" s="174">
        <v>0</v>
      </c>
      <c r="AT77" s="174">
        <v>0</v>
      </c>
      <c r="AU77" s="174">
        <v>0</v>
      </c>
      <c r="AV77" s="174">
        <v>0</v>
      </c>
      <c r="AW77" s="174">
        <v>0</v>
      </c>
      <c r="AX77" s="174">
        <v>0</v>
      </c>
      <c r="AY77" s="174">
        <v>0</v>
      </c>
      <c r="AZ77" s="174">
        <v>0</v>
      </c>
      <c r="BA77" s="174">
        <v>0</v>
      </c>
      <c r="BB77" s="174">
        <v>0</v>
      </c>
      <c r="BC77" s="174">
        <v>0</v>
      </c>
      <c r="BD77" s="174">
        <v>0</v>
      </c>
      <c r="BE77" s="174">
        <v>0</v>
      </c>
      <c r="BF77" s="174">
        <v>0</v>
      </c>
      <c r="BG77" s="174">
        <v>0</v>
      </c>
      <c r="BH77" s="174">
        <v>0</v>
      </c>
      <c r="BI77" s="174">
        <v>0</v>
      </c>
      <c r="BJ77" s="174">
        <v>0</v>
      </c>
      <c r="BK77" s="174">
        <v>0</v>
      </c>
      <c r="BL77" s="174">
        <v>0</v>
      </c>
      <c r="BM77" s="174">
        <v>0</v>
      </c>
      <c r="BN77" s="174">
        <v>0</v>
      </c>
      <c r="BO77" s="174">
        <v>0</v>
      </c>
      <c r="BP77" s="174">
        <v>0</v>
      </c>
      <c r="BQ77" s="212">
        <v>1</v>
      </c>
      <c r="BR77" s="213"/>
      <c r="BS77" s="213"/>
      <c r="BT77" s="213"/>
      <c r="BU77" s="213"/>
      <c r="BV77" s="213"/>
      <c r="BW77" s="213"/>
      <c r="BX77" s="213"/>
      <c r="BY77" s="213"/>
      <c r="BZ77" s="213"/>
      <c r="CA77" s="213"/>
      <c r="CB77" s="213"/>
      <c r="CC77" s="213"/>
      <c r="CD77" s="213"/>
      <c r="CE77" s="213"/>
      <c r="CF77" s="213"/>
      <c r="CG77" s="213"/>
      <c r="CH77" s="213"/>
      <c r="CI77" s="213"/>
      <c r="CJ77" s="213"/>
      <c r="CK77" s="213"/>
      <c r="CL77" s="213"/>
      <c r="CM77" s="213"/>
      <c r="CN77" s="213"/>
      <c r="CO77" s="213"/>
      <c r="CP77" s="213"/>
    </row>
    <row r="78" ht="12.75" customHeight="1">
      <c r="A78" s="220" t="s">
        <v>173</v>
      </c>
      <c r="B78" s="220" t="s">
        <v>83</v>
      </c>
      <c r="C78" s="174">
        <v>0</v>
      </c>
      <c r="D78" s="174">
        <v>0</v>
      </c>
      <c r="E78" s="174">
        <v>0</v>
      </c>
      <c r="F78" s="174">
        <v>0</v>
      </c>
      <c r="G78" s="174">
        <v>0</v>
      </c>
      <c r="H78" s="174">
        <v>0</v>
      </c>
      <c r="I78" s="174">
        <v>0</v>
      </c>
      <c r="J78" s="174">
        <v>0</v>
      </c>
      <c r="K78" s="174">
        <v>0</v>
      </c>
      <c r="L78" s="174">
        <v>0</v>
      </c>
      <c r="M78" s="174">
        <v>0</v>
      </c>
      <c r="N78" s="174">
        <v>0</v>
      </c>
      <c r="O78" s="174">
        <v>0</v>
      </c>
      <c r="P78" s="174">
        <v>0</v>
      </c>
      <c r="Q78" s="174">
        <v>0</v>
      </c>
      <c r="R78" s="174">
        <v>0</v>
      </c>
      <c r="S78" s="174">
        <v>0</v>
      </c>
      <c r="T78" s="174">
        <v>0</v>
      </c>
      <c r="U78" s="174">
        <v>0</v>
      </c>
      <c r="V78" s="174">
        <v>0</v>
      </c>
      <c r="W78" s="174">
        <v>0</v>
      </c>
      <c r="X78" s="174">
        <v>0</v>
      </c>
      <c r="Y78" s="174">
        <v>0</v>
      </c>
      <c r="Z78" s="174">
        <v>0</v>
      </c>
      <c r="AA78" s="174">
        <v>0</v>
      </c>
      <c r="AB78" s="174">
        <v>0</v>
      </c>
      <c r="AC78" s="174">
        <v>0</v>
      </c>
      <c r="AD78" s="174">
        <v>0</v>
      </c>
      <c r="AE78" s="174">
        <v>0</v>
      </c>
      <c r="AF78" s="174">
        <v>0</v>
      </c>
      <c r="AG78" s="174">
        <v>0</v>
      </c>
      <c r="AH78" s="174">
        <v>0</v>
      </c>
      <c r="AI78" s="174">
        <v>0</v>
      </c>
      <c r="AJ78" s="174">
        <v>0</v>
      </c>
      <c r="AK78" s="174">
        <v>0</v>
      </c>
      <c r="AL78" s="174">
        <v>0</v>
      </c>
      <c r="AM78" s="174">
        <v>0</v>
      </c>
      <c r="AN78" s="174">
        <v>0</v>
      </c>
      <c r="AO78" s="174">
        <v>0</v>
      </c>
      <c r="AP78" s="174">
        <v>0</v>
      </c>
      <c r="AQ78" s="174">
        <v>0</v>
      </c>
      <c r="AR78" s="174">
        <v>0</v>
      </c>
      <c r="AS78" s="174">
        <v>0</v>
      </c>
      <c r="AT78" s="174">
        <v>0</v>
      </c>
      <c r="AU78" s="174">
        <v>0</v>
      </c>
      <c r="AV78" s="174">
        <v>0</v>
      </c>
      <c r="AW78" s="174">
        <v>0</v>
      </c>
      <c r="AX78" s="174">
        <v>0</v>
      </c>
      <c r="AY78" s="174">
        <v>0</v>
      </c>
      <c r="AZ78" s="174">
        <v>0</v>
      </c>
      <c r="BA78" s="174">
        <v>0</v>
      </c>
      <c r="BB78" s="174">
        <v>0</v>
      </c>
      <c r="BC78" s="174">
        <v>0</v>
      </c>
      <c r="BD78" s="174">
        <v>0</v>
      </c>
      <c r="BE78" s="174">
        <v>0</v>
      </c>
      <c r="BF78" s="174">
        <v>0</v>
      </c>
      <c r="BG78" s="174">
        <v>0</v>
      </c>
      <c r="BH78" s="174">
        <v>0</v>
      </c>
      <c r="BI78" s="174">
        <v>0</v>
      </c>
      <c r="BJ78" s="174">
        <v>0</v>
      </c>
      <c r="BK78" s="174">
        <v>0</v>
      </c>
      <c r="BL78" s="174">
        <v>0</v>
      </c>
      <c r="BM78" s="174">
        <v>0</v>
      </c>
      <c r="BN78" s="174">
        <v>0</v>
      </c>
      <c r="BO78" s="174">
        <v>0</v>
      </c>
      <c r="BP78" s="174">
        <v>0</v>
      </c>
      <c r="BQ78" s="174">
        <v>0</v>
      </c>
      <c r="BR78" s="212">
        <v>1</v>
      </c>
      <c r="BS78" s="213"/>
      <c r="BT78" s="213"/>
      <c r="BU78" s="213"/>
      <c r="BV78" s="213"/>
      <c r="BW78" s="213"/>
      <c r="BX78" s="213"/>
      <c r="BY78" s="213"/>
      <c r="BZ78" s="213"/>
      <c r="CA78" s="213"/>
      <c r="CB78" s="213"/>
      <c r="CC78" s="213"/>
      <c r="CD78" s="213"/>
      <c r="CE78" s="213"/>
      <c r="CF78" s="213"/>
      <c r="CG78" s="213"/>
      <c r="CH78" s="213"/>
      <c r="CI78" s="213"/>
      <c r="CJ78" s="213"/>
      <c r="CK78" s="213"/>
      <c r="CL78" s="213"/>
      <c r="CM78" s="213"/>
      <c r="CN78" s="213"/>
      <c r="CO78" s="213"/>
      <c r="CP78" s="213"/>
    </row>
    <row r="79" ht="12.75" customHeight="1">
      <c r="A79" s="220" t="s">
        <v>176</v>
      </c>
      <c r="B79" s="220" t="s">
        <v>83</v>
      </c>
      <c r="C79" s="174">
        <v>0</v>
      </c>
      <c r="D79" s="174">
        <v>0</v>
      </c>
      <c r="E79" s="174">
        <v>0</v>
      </c>
      <c r="F79" s="174">
        <v>0</v>
      </c>
      <c r="G79" s="174">
        <v>0</v>
      </c>
      <c r="H79" s="174">
        <v>0</v>
      </c>
      <c r="I79" s="174">
        <v>0</v>
      </c>
      <c r="J79" s="174">
        <v>0</v>
      </c>
      <c r="K79" s="174">
        <v>0</v>
      </c>
      <c r="L79" s="174">
        <v>0</v>
      </c>
      <c r="M79" s="174">
        <v>0</v>
      </c>
      <c r="N79" s="174">
        <v>0</v>
      </c>
      <c r="O79" s="174">
        <v>0</v>
      </c>
      <c r="P79" s="174">
        <v>0</v>
      </c>
      <c r="Q79" s="174">
        <v>0</v>
      </c>
      <c r="R79" s="174">
        <v>0</v>
      </c>
      <c r="S79" s="174">
        <v>0</v>
      </c>
      <c r="T79" s="174">
        <v>0</v>
      </c>
      <c r="U79" s="174">
        <v>0</v>
      </c>
      <c r="V79" s="174">
        <v>0</v>
      </c>
      <c r="W79" s="174">
        <v>0</v>
      </c>
      <c r="X79" s="174">
        <v>0</v>
      </c>
      <c r="Y79" s="174">
        <v>0</v>
      </c>
      <c r="Z79" s="174">
        <v>0</v>
      </c>
      <c r="AA79" s="174">
        <v>0</v>
      </c>
      <c r="AB79" s="174">
        <v>0</v>
      </c>
      <c r="AC79" s="174">
        <v>0</v>
      </c>
      <c r="AD79" s="174">
        <v>0</v>
      </c>
      <c r="AE79" s="174">
        <v>0</v>
      </c>
      <c r="AF79" s="174">
        <v>0</v>
      </c>
      <c r="AG79" s="174">
        <v>0</v>
      </c>
      <c r="AH79" s="174">
        <v>0</v>
      </c>
      <c r="AI79" s="174">
        <v>0</v>
      </c>
      <c r="AJ79" s="174">
        <v>0</v>
      </c>
      <c r="AK79" s="174">
        <v>0</v>
      </c>
      <c r="AL79" s="174">
        <v>0</v>
      </c>
      <c r="AM79" s="174">
        <v>0</v>
      </c>
      <c r="AN79" s="174">
        <v>0</v>
      </c>
      <c r="AO79" s="174">
        <v>0</v>
      </c>
      <c r="AP79" s="174">
        <v>0</v>
      </c>
      <c r="AQ79" s="174">
        <v>0</v>
      </c>
      <c r="AR79" s="174">
        <v>0</v>
      </c>
      <c r="AS79" s="174">
        <v>0</v>
      </c>
      <c r="AT79" s="174">
        <v>0</v>
      </c>
      <c r="AU79" s="174">
        <v>0</v>
      </c>
      <c r="AV79" s="174">
        <v>0</v>
      </c>
      <c r="AW79" s="174">
        <v>0</v>
      </c>
      <c r="AX79" s="174">
        <v>0</v>
      </c>
      <c r="AY79" s="174">
        <v>0</v>
      </c>
      <c r="AZ79" s="174">
        <v>0</v>
      </c>
      <c r="BA79" s="174">
        <v>0</v>
      </c>
      <c r="BB79" s="174">
        <v>0</v>
      </c>
      <c r="BC79" s="174">
        <v>0</v>
      </c>
      <c r="BD79" s="174">
        <v>0</v>
      </c>
      <c r="BE79" s="174">
        <v>0</v>
      </c>
      <c r="BF79" s="174">
        <v>0</v>
      </c>
      <c r="BG79" s="174">
        <v>0</v>
      </c>
      <c r="BH79" s="174">
        <v>0</v>
      </c>
      <c r="BI79" s="174">
        <v>0</v>
      </c>
      <c r="BJ79" s="174">
        <v>0</v>
      </c>
      <c r="BK79" s="174">
        <v>0</v>
      </c>
      <c r="BL79" s="174">
        <v>0</v>
      </c>
      <c r="BM79" s="174">
        <v>0</v>
      </c>
      <c r="BN79" s="174">
        <v>0</v>
      </c>
      <c r="BO79" s="174">
        <v>0</v>
      </c>
      <c r="BP79" s="174">
        <v>0</v>
      </c>
      <c r="BQ79" s="174">
        <v>0</v>
      </c>
      <c r="BR79" s="174">
        <v>0</v>
      </c>
      <c r="BS79" s="212">
        <v>1</v>
      </c>
      <c r="BT79" s="213"/>
      <c r="BU79" s="213"/>
      <c r="BV79" s="213"/>
      <c r="BW79" s="213"/>
      <c r="BX79" s="213"/>
      <c r="BY79" s="213"/>
      <c r="BZ79" s="213"/>
      <c r="CA79" s="213"/>
      <c r="CB79" s="213"/>
      <c r="CC79" s="213"/>
      <c r="CD79" s="213"/>
      <c r="CE79" s="213"/>
      <c r="CF79" s="213"/>
      <c r="CG79" s="213"/>
      <c r="CH79" s="213"/>
      <c r="CI79" s="213"/>
      <c r="CJ79" s="213"/>
      <c r="CK79" s="213"/>
      <c r="CL79" s="213"/>
      <c r="CM79" s="213"/>
      <c r="CN79" s="213"/>
      <c r="CO79" s="213"/>
      <c r="CP79" s="213"/>
    </row>
    <row r="80" ht="12.75" customHeight="1">
      <c r="A80" s="220" t="s">
        <v>177</v>
      </c>
      <c r="B80" s="220" t="s">
        <v>83</v>
      </c>
      <c r="C80" s="174">
        <v>0</v>
      </c>
      <c r="D80" s="174">
        <v>0</v>
      </c>
      <c r="E80" s="174">
        <v>0</v>
      </c>
      <c r="F80" s="174">
        <v>0</v>
      </c>
      <c r="G80" s="174">
        <v>0</v>
      </c>
      <c r="H80" s="174">
        <v>0</v>
      </c>
      <c r="I80" s="174">
        <v>0</v>
      </c>
      <c r="J80" s="174">
        <v>0</v>
      </c>
      <c r="K80" s="174">
        <v>0</v>
      </c>
      <c r="L80" s="174">
        <v>0</v>
      </c>
      <c r="M80" s="174">
        <v>0</v>
      </c>
      <c r="N80" s="174">
        <v>0</v>
      </c>
      <c r="O80" s="174">
        <v>0</v>
      </c>
      <c r="P80" s="174">
        <v>0</v>
      </c>
      <c r="Q80" s="174">
        <v>0</v>
      </c>
      <c r="R80" s="174">
        <v>0</v>
      </c>
      <c r="S80" s="174">
        <v>0</v>
      </c>
      <c r="T80" s="174">
        <v>0</v>
      </c>
      <c r="U80" s="174">
        <v>0</v>
      </c>
      <c r="V80" s="174">
        <v>0</v>
      </c>
      <c r="W80" s="174">
        <v>0</v>
      </c>
      <c r="X80" s="174">
        <v>0</v>
      </c>
      <c r="Y80" s="174">
        <v>0</v>
      </c>
      <c r="Z80" s="174">
        <v>0</v>
      </c>
      <c r="AA80" s="174">
        <v>0</v>
      </c>
      <c r="AB80" s="174">
        <v>0</v>
      </c>
      <c r="AC80" s="174">
        <v>0</v>
      </c>
      <c r="AD80" s="174">
        <v>0</v>
      </c>
      <c r="AE80" s="174">
        <v>0</v>
      </c>
      <c r="AF80" s="174">
        <v>0</v>
      </c>
      <c r="AG80" s="174">
        <v>0</v>
      </c>
      <c r="AH80" s="174">
        <v>0</v>
      </c>
      <c r="AI80" s="174">
        <v>0</v>
      </c>
      <c r="AJ80" s="174">
        <v>0</v>
      </c>
      <c r="AK80" s="174">
        <v>0</v>
      </c>
      <c r="AL80" s="174">
        <v>0</v>
      </c>
      <c r="AM80" s="174">
        <v>0</v>
      </c>
      <c r="AN80" s="174">
        <v>0</v>
      </c>
      <c r="AO80" s="174">
        <v>0</v>
      </c>
      <c r="AP80" s="174">
        <v>0</v>
      </c>
      <c r="AQ80" s="174">
        <v>0</v>
      </c>
      <c r="AR80" s="174">
        <v>0</v>
      </c>
      <c r="AS80" s="174">
        <v>0</v>
      </c>
      <c r="AT80" s="174">
        <v>0</v>
      </c>
      <c r="AU80" s="174">
        <v>0</v>
      </c>
      <c r="AV80" s="174">
        <v>0</v>
      </c>
      <c r="AW80" s="174">
        <v>0</v>
      </c>
      <c r="AX80" s="174">
        <v>0</v>
      </c>
      <c r="AY80" s="174">
        <v>0</v>
      </c>
      <c r="AZ80" s="174">
        <v>0</v>
      </c>
      <c r="BA80" s="174">
        <v>0</v>
      </c>
      <c r="BB80" s="174">
        <v>0</v>
      </c>
      <c r="BC80" s="174">
        <v>0</v>
      </c>
      <c r="BD80" s="174">
        <v>0</v>
      </c>
      <c r="BE80" s="174">
        <v>0</v>
      </c>
      <c r="BF80" s="174">
        <v>0</v>
      </c>
      <c r="BG80" s="174">
        <v>0</v>
      </c>
      <c r="BH80" s="174">
        <v>0</v>
      </c>
      <c r="BI80" s="174">
        <v>0</v>
      </c>
      <c r="BJ80" s="174">
        <v>0</v>
      </c>
      <c r="BK80" s="174">
        <v>0</v>
      </c>
      <c r="BL80" s="174">
        <v>0</v>
      </c>
      <c r="BM80" s="174">
        <v>0</v>
      </c>
      <c r="BN80" s="174">
        <v>0</v>
      </c>
      <c r="BO80" s="174">
        <v>0</v>
      </c>
      <c r="BP80" s="174">
        <v>0</v>
      </c>
      <c r="BQ80" s="174">
        <v>0</v>
      </c>
      <c r="BR80" s="174">
        <v>0</v>
      </c>
      <c r="BS80" s="174">
        <v>0</v>
      </c>
      <c r="BT80" s="212">
        <v>1</v>
      </c>
      <c r="BU80" s="212"/>
      <c r="BV80" s="212"/>
      <c r="BW80" s="212"/>
      <c r="BX80" s="212"/>
      <c r="BY80" s="213"/>
      <c r="BZ80" s="213"/>
      <c r="CA80" s="213"/>
      <c r="CB80" s="213"/>
      <c r="CC80" s="213"/>
      <c r="CD80" s="213"/>
      <c r="CE80" s="213"/>
      <c r="CF80" s="213"/>
      <c r="CG80" s="213"/>
      <c r="CH80" s="213"/>
      <c r="CI80" s="213"/>
      <c r="CJ80" s="213"/>
      <c r="CK80" s="213"/>
      <c r="CL80" s="213"/>
      <c r="CM80" s="213"/>
      <c r="CN80" s="213"/>
      <c r="CO80" s="213"/>
      <c r="CP80" s="213"/>
    </row>
    <row r="81" ht="12.75" customHeight="1">
      <c r="A81" s="220" t="s">
        <v>179</v>
      </c>
      <c r="B81" s="220" t="s">
        <v>83</v>
      </c>
      <c r="C81" s="174">
        <v>0</v>
      </c>
      <c r="D81" s="174">
        <v>0</v>
      </c>
      <c r="E81" s="174">
        <v>0</v>
      </c>
      <c r="F81" s="174">
        <v>0</v>
      </c>
      <c r="G81" s="174">
        <v>0</v>
      </c>
      <c r="H81" s="174">
        <v>0</v>
      </c>
      <c r="I81" s="174">
        <v>0</v>
      </c>
      <c r="J81" s="174">
        <v>0</v>
      </c>
      <c r="K81" s="174">
        <v>0</v>
      </c>
      <c r="L81" s="174">
        <v>0</v>
      </c>
      <c r="M81" s="174">
        <v>0</v>
      </c>
      <c r="N81" s="174">
        <v>0</v>
      </c>
      <c r="O81" s="174">
        <v>0</v>
      </c>
      <c r="P81" s="174">
        <v>0</v>
      </c>
      <c r="Q81" s="174">
        <v>0</v>
      </c>
      <c r="R81" s="174">
        <v>0</v>
      </c>
      <c r="S81" s="174">
        <v>0</v>
      </c>
      <c r="T81" s="174">
        <v>0</v>
      </c>
      <c r="U81" s="174">
        <v>0</v>
      </c>
      <c r="V81" s="174">
        <v>0</v>
      </c>
      <c r="W81" s="174">
        <v>0</v>
      </c>
      <c r="X81" s="174">
        <v>0</v>
      </c>
      <c r="Y81" s="174">
        <v>0</v>
      </c>
      <c r="Z81" s="174">
        <v>0</v>
      </c>
      <c r="AA81" s="174">
        <v>0</v>
      </c>
      <c r="AB81" s="174">
        <v>0</v>
      </c>
      <c r="AC81" s="174">
        <v>0</v>
      </c>
      <c r="AD81" s="174">
        <v>0</v>
      </c>
      <c r="AE81" s="174">
        <v>0</v>
      </c>
      <c r="AF81" s="174">
        <v>0</v>
      </c>
      <c r="AG81" s="174">
        <v>0</v>
      </c>
      <c r="AH81" s="174">
        <v>0</v>
      </c>
      <c r="AI81" s="174">
        <v>0</v>
      </c>
      <c r="AJ81" s="174">
        <v>0</v>
      </c>
      <c r="AK81" s="174">
        <v>0</v>
      </c>
      <c r="AL81" s="174">
        <v>0</v>
      </c>
      <c r="AM81" s="174">
        <v>0</v>
      </c>
      <c r="AN81" s="174">
        <v>0</v>
      </c>
      <c r="AO81" s="174">
        <v>0</v>
      </c>
      <c r="AP81" s="174">
        <v>0</v>
      </c>
      <c r="AQ81" s="174">
        <v>0</v>
      </c>
      <c r="AR81" s="174">
        <v>0</v>
      </c>
      <c r="AS81" s="174">
        <v>0</v>
      </c>
      <c r="AT81" s="174">
        <v>0</v>
      </c>
      <c r="AU81" s="174">
        <v>0</v>
      </c>
      <c r="AV81" s="174">
        <v>0</v>
      </c>
      <c r="AW81" s="174">
        <v>0</v>
      </c>
      <c r="AX81" s="174">
        <v>0</v>
      </c>
      <c r="AY81" s="174">
        <v>0</v>
      </c>
      <c r="AZ81" s="174">
        <v>0</v>
      </c>
      <c r="BA81" s="174">
        <v>0</v>
      </c>
      <c r="BB81" s="174">
        <v>0</v>
      </c>
      <c r="BC81" s="174">
        <v>0</v>
      </c>
      <c r="BD81" s="174">
        <v>0</v>
      </c>
      <c r="BE81" s="174">
        <v>0</v>
      </c>
      <c r="BF81" s="174">
        <v>0</v>
      </c>
      <c r="BG81" s="174">
        <v>0</v>
      </c>
      <c r="BH81" s="174">
        <v>0</v>
      </c>
      <c r="BI81" s="174">
        <v>0</v>
      </c>
      <c r="BJ81" s="174">
        <v>0</v>
      </c>
      <c r="BK81" s="174">
        <v>0</v>
      </c>
      <c r="BL81" s="174">
        <v>0</v>
      </c>
      <c r="BM81" s="174">
        <v>0</v>
      </c>
      <c r="BN81" s="174">
        <v>0</v>
      </c>
      <c r="BO81" s="174">
        <v>0</v>
      </c>
      <c r="BP81" s="174">
        <v>0</v>
      </c>
      <c r="BQ81" s="174">
        <v>0</v>
      </c>
      <c r="BR81" s="174">
        <v>0</v>
      </c>
      <c r="BS81" s="174">
        <v>0</v>
      </c>
      <c r="BT81" s="174">
        <v>0</v>
      </c>
      <c r="BU81" s="212">
        <v>1</v>
      </c>
      <c r="BV81" s="212"/>
      <c r="BW81" s="212"/>
      <c r="BX81" s="212"/>
      <c r="BY81" s="213"/>
      <c r="BZ81" s="213"/>
      <c r="CA81" s="213"/>
      <c r="CB81" s="213"/>
      <c r="CC81" s="213"/>
      <c r="CD81" s="213"/>
      <c r="CE81" s="213"/>
      <c r="CF81" s="213"/>
      <c r="CG81" s="213"/>
      <c r="CH81" s="213"/>
      <c r="CI81" s="213"/>
      <c r="CJ81" s="213"/>
      <c r="CK81" s="213"/>
      <c r="CL81" s="213"/>
      <c r="CM81" s="213"/>
      <c r="CN81" s="213"/>
      <c r="CO81" s="213"/>
      <c r="CP81" s="213"/>
    </row>
    <row r="82" ht="12.75" customHeight="1">
      <c r="A82" s="220" t="s">
        <v>189</v>
      </c>
      <c r="B82" s="220" t="s">
        <v>83</v>
      </c>
      <c r="C82" s="174">
        <v>0</v>
      </c>
      <c r="D82" s="174">
        <v>0</v>
      </c>
      <c r="E82" s="174">
        <v>0</v>
      </c>
      <c r="F82" s="174">
        <v>0</v>
      </c>
      <c r="G82" s="174">
        <v>0</v>
      </c>
      <c r="H82" s="174">
        <v>0</v>
      </c>
      <c r="I82" s="174">
        <v>0</v>
      </c>
      <c r="J82" s="174">
        <v>0</v>
      </c>
      <c r="K82" s="174">
        <v>0</v>
      </c>
      <c r="L82" s="174">
        <v>0</v>
      </c>
      <c r="M82" s="174">
        <v>0</v>
      </c>
      <c r="N82" s="174">
        <v>0</v>
      </c>
      <c r="O82" s="174">
        <v>0</v>
      </c>
      <c r="P82" s="174">
        <v>0</v>
      </c>
      <c r="Q82" s="174">
        <v>0</v>
      </c>
      <c r="R82" s="174">
        <v>0</v>
      </c>
      <c r="S82" s="174">
        <v>0</v>
      </c>
      <c r="T82" s="174">
        <v>0</v>
      </c>
      <c r="U82" s="174">
        <v>0</v>
      </c>
      <c r="V82" s="174">
        <v>0</v>
      </c>
      <c r="W82" s="174">
        <v>0</v>
      </c>
      <c r="X82" s="174">
        <v>0</v>
      </c>
      <c r="Y82" s="174">
        <v>0</v>
      </c>
      <c r="Z82" s="174">
        <v>0</v>
      </c>
      <c r="AA82" s="174">
        <v>0</v>
      </c>
      <c r="AB82" s="174">
        <v>0</v>
      </c>
      <c r="AC82" s="174">
        <v>0</v>
      </c>
      <c r="AD82" s="174">
        <v>0</v>
      </c>
      <c r="AE82" s="174">
        <v>0</v>
      </c>
      <c r="AF82" s="174">
        <v>0</v>
      </c>
      <c r="AG82" s="174">
        <v>0</v>
      </c>
      <c r="AH82" s="174">
        <v>0</v>
      </c>
      <c r="AI82" s="174">
        <v>0</v>
      </c>
      <c r="AJ82" s="174">
        <v>0</v>
      </c>
      <c r="AK82" s="174">
        <v>0</v>
      </c>
      <c r="AL82" s="174">
        <v>0</v>
      </c>
      <c r="AM82" s="174">
        <v>0</v>
      </c>
      <c r="AN82" s="174">
        <v>0</v>
      </c>
      <c r="AO82" s="174">
        <v>0</v>
      </c>
      <c r="AP82" s="174">
        <v>0</v>
      </c>
      <c r="AQ82" s="174">
        <v>0</v>
      </c>
      <c r="AR82" s="174">
        <v>0</v>
      </c>
      <c r="AS82" s="174">
        <v>0</v>
      </c>
      <c r="AT82" s="174">
        <v>0</v>
      </c>
      <c r="AU82" s="174">
        <v>0</v>
      </c>
      <c r="AV82" s="174">
        <v>0</v>
      </c>
      <c r="AW82" s="174">
        <v>0</v>
      </c>
      <c r="AX82" s="174">
        <v>0</v>
      </c>
      <c r="AY82" s="174">
        <v>0</v>
      </c>
      <c r="AZ82" s="174">
        <v>0</v>
      </c>
      <c r="BA82" s="174">
        <v>0</v>
      </c>
      <c r="BB82" s="174">
        <v>0</v>
      </c>
      <c r="BC82" s="174">
        <v>0</v>
      </c>
      <c r="BD82" s="174">
        <v>0</v>
      </c>
      <c r="BE82" s="174">
        <v>0</v>
      </c>
      <c r="BF82" s="174">
        <v>0</v>
      </c>
      <c r="BG82" s="174">
        <v>0</v>
      </c>
      <c r="BH82" s="174">
        <v>0</v>
      </c>
      <c r="BI82" s="174">
        <v>0</v>
      </c>
      <c r="BJ82" s="174">
        <v>0</v>
      </c>
      <c r="BK82" s="174">
        <v>0</v>
      </c>
      <c r="BL82" s="174">
        <v>0</v>
      </c>
      <c r="BM82" s="174">
        <v>0</v>
      </c>
      <c r="BN82" s="174">
        <v>0</v>
      </c>
      <c r="BO82" s="174">
        <v>0</v>
      </c>
      <c r="BP82" s="174">
        <v>0</v>
      </c>
      <c r="BQ82" s="174">
        <v>0</v>
      </c>
      <c r="BR82" s="174">
        <v>0</v>
      </c>
      <c r="BS82" s="174">
        <v>0</v>
      </c>
      <c r="BT82" s="174">
        <v>0</v>
      </c>
      <c r="BU82" s="174">
        <v>0</v>
      </c>
      <c r="BV82" s="212">
        <v>1</v>
      </c>
      <c r="BW82" s="212"/>
      <c r="BX82" s="212"/>
      <c r="BY82" s="213"/>
      <c r="BZ82" s="213"/>
      <c r="CA82" s="213"/>
      <c r="CB82" s="213"/>
      <c r="CC82" s="213"/>
      <c r="CD82" s="213"/>
      <c r="CE82" s="213"/>
      <c r="CF82" s="213"/>
      <c r="CG82" s="213"/>
      <c r="CH82" s="213"/>
      <c r="CI82" s="213"/>
      <c r="CJ82" s="213"/>
      <c r="CK82" s="213"/>
      <c r="CL82" s="213"/>
      <c r="CM82" s="213"/>
      <c r="CN82" s="213"/>
      <c r="CO82" s="213"/>
      <c r="CP82" s="213"/>
    </row>
    <row r="83" ht="12.75" customHeight="1">
      <c r="A83" s="220" t="s">
        <v>178</v>
      </c>
      <c r="B83" s="220" t="s">
        <v>83</v>
      </c>
      <c r="C83" s="174">
        <v>0</v>
      </c>
      <c r="D83" s="174">
        <v>0</v>
      </c>
      <c r="E83" s="174">
        <v>0</v>
      </c>
      <c r="F83" s="174">
        <v>0</v>
      </c>
      <c r="G83" s="174">
        <v>0</v>
      </c>
      <c r="H83" s="174">
        <v>0</v>
      </c>
      <c r="I83" s="174">
        <v>0</v>
      </c>
      <c r="J83" s="174">
        <v>0</v>
      </c>
      <c r="K83" s="174">
        <v>0</v>
      </c>
      <c r="L83" s="174">
        <v>0</v>
      </c>
      <c r="M83" s="174">
        <v>0</v>
      </c>
      <c r="N83" s="174">
        <v>0</v>
      </c>
      <c r="O83" s="174">
        <v>0</v>
      </c>
      <c r="P83" s="174">
        <v>0</v>
      </c>
      <c r="Q83" s="174">
        <v>0</v>
      </c>
      <c r="R83" s="174">
        <v>0</v>
      </c>
      <c r="S83" s="174">
        <v>0</v>
      </c>
      <c r="T83" s="174">
        <v>0</v>
      </c>
      <c r="U83" s="174">
        <v>0</v>
      </c>
      <c r="V83" s="174">
        <v>0</v>
      </c>
      <c r="W83" s="174">
        <v>0</v>
      </c>
      <c r="X83" s="174">
        <v>0</v>
      </c>
      <c r="Y83" s="174">
        <v>0</v>
      </c>
      <c r="Z83" s="174">
        <v>0</v>
      </c>
      <c r="AA83" s="174">
        <v>0</v>
      </c>
      <c r="AB83" s="174">
        <v>0</v>
      </c>
      <c r="AC83" s="174">
        <v>0</v>
      </c>
      <c r="AD83" s="174">
        <v>0</v>
      </c>
      <c r="AE83" s="174">
        <v>0</v>
      </c>
      <c r="AF83" s="174">
        <v>0</v>
      </c>
      <c r="AG83" s="174">
        <v>0</v>
      </c>
      <c r="AH83" s="174">
        <v>0</v>
      </c>
      <c r="AI83" s="174">
        <v>0</v>
      </c>
      <c r="AJ83" s="174">
        <v>0</v>
      </c>
      <c r="AK83" s="174">
        <v>0</v>
      </c>
      <c r="AL83" s="174">
        <v>0</v>
      </c>
      <c r="AM83" s="174">
        <v>0</v>
      </c>
      <c r="AN83" s="174">
        <v>0</v>
      </c>
      <c r="AO83" s="174">
        <v>0</v>
      </c>
      <c r="AP83" s="174">
        <v>0</v>
      </c>
      <c r="AQ83" s="174">
        <v>0</v>
      </c>
      <c r="AR83" s="174">
        <v>0</v>
      </c>
      <c r="AS83" s="174">
        <v>0</v>
      </c>
      <c r="AT83" s="174">
        <v>0</v>
      </c>
      <c r="AU83" s="174">
        <v>0</v>
      </c>
      <c r="AV83" s="174">
        <v>0</v>
      </c>
      <c r="AW83" s="174">
        <v>0</v>
      </c>
      <c r="AX83" s="174">
        <v>0</v>
      </c>
      <c r="AY83" s="174">
        <v>0</v>
      </c>
      <c r="AZ83" s="174">
        <v>0</v>
      </c>
      <c r="BA83" s="174">
        <v>0</v>
      </c>
      <c r="BB83" s="174">
        <v>0</v>
      </c>
      <c r="BC83" s="174">
        <v>0</v>
      </c>
      <c r="BD83" s="174">
        <v>0</v>
      </c>
      <c r="BE83" s="174">
        <v>0</v>
      </c>
      <c r="BF83" s="174">
        <v>0</v>
      </c>
      <c r="BG83" s="174">
        <v>0</v>
      </c>
      <c r="BH83" s="174">
        <v>0</v>
      </c>
      <c r="BI83" s="174">
        <v>0</v>
      </c>
      <c r="BJ83" s="174">
        <v>0</v>
      </c>
      <c r="BK83" s="174">
        <v>0</v>
      </c>
      <c r="BL83" s="174">
        <v>0</v>
      </c>
      <c r="BM83" s="174">
        <v>0</v>
      </c>
      <c r="BN83" s="174">
        <v>0</v>
      </c>
      <c r="BO83" s="174">
        <v>0</v>
      </c>
      <c r="BP83" s="174">
        <v>0</v>
      </c>
      <c r="BQ83" s="174">
        <v>0</v>
      </c>
      <c r="BR83" s="174">
        <v>0</v>
      </c>
      <c r="BS83" s="174">
        <v>0</v>
      </c>
      <c r="BT83" s="174">
        <v>0</v>
      </c>
      <c r="BU83" s="174">
        <v>0</v>
      </c>
      <c r="BV83" s="174">
        <v>0</v>
      </c>
      <c r="BW83" s="212">
        <v>1</v>
      </c>
      <c r="BX83" s="212"/>
      <c r="BY83" s="213"/>
      <c r="BZ83" s="213"/>
      <c r="CA83" s="213"/>
      <c r="CB83" s="213"/>
      <c r="CC83" s="213"/>
      <c r="CD83" s="213"/>
      <c r="CE83" s="213"/>
      <c r="CF83" s="213"/>
      <c r="CG83" s="213"/>
      <c r="CH83" s="213"/>
      <c r="CI83" s="213"/>
      <c r="CJ83" s="213"/>
      <c r="CK83" s="213"/>
      <c r="CL83" s="213"/>
      <c r="CM83" s="213"/>
      <c r="CN83" s="213"/>
      <c r="CO83" s="213"/>
      <c r="CP83" s="213"/>
    </row>
    <row r="84" ht="12.75" customHeight="1">
      <c r="A84" s="220" t="s">
        <v>190</v>
      </c>
      <c r="B84" s="220" t="s">
        <v>83</v>
      </c>
      <c r="C84" s="174">
        <v>0</v>
      </c>
      <c r="D84" s="174">
        <v>0</v>
      </c>
      <c r="E84" s="174">
        <v>0</v>
      </c>
      <c r="F84" s="174">
        <v>0</v>
      </c>
      <c r="G84" s="174">
        <v>0</v>
      </c>
      <c r="H84" s="174">
        <v>0</v>
      </c>
      <c r="I84" s="174">
        <v>0</v>
      </c>
      <c r="J84" s="174">
        <v>0</v>
      </c>
      <c r="K84" s="174">
        <v>0</v>
      </c>
      <c r="L84" s="174">
        <v>0</v>
      </c>
      <c r="M84" s="174">
        <v>0</v>
      </c>
      <c r="N84" s="174">
        <v>0</v>
      </c>
      <c r="O84" s="174">
        <v>0</v>
      </c>
      <c r="P84" s="174">
        <v>0</v>
      </c>
      <c r="Q84" s="174">
        <v>0</v>
      </c>
      <c r="R84" s="174">
        <v>0</v>
      </c>
      <c r="S84" s="174">
        <v>0</v>
      </c>
      <c r="T84" s="174">
        <v>0</v>
      </c>
      <c r="U84" s="174">
        <v>0</v>
      </c>
      <c r="V84" s="174">
        <v>0</v>
      </c>
      <c r="W84" s="174">
        <v>0</v>
      </c>
      <c r="X84" s="174">
        <v>0</v>
      </c>
      <c r="Y84" s="174">
        <v>0</v>
      </c>
      <c r="Z84" s="174">
        <v>0</v>
      </c>
      <c r="AA84" s="174">
        <v>0</v>
      </c>
      <c r="AB84" s="174">
        <v>0</v>
      </c>
      <c r="AC84" s="174">
        <v>0</v>
      </c>
      <c r="AD84" s="174">
        <v>0</v>
      </c>
      <c r="AE84" s="174">
        <v>0</v>
      </c>
      <c r="AF84" s="174">
        <v>0</v>
      </c>
      <c r="AG84" s="174">
        <v>0</v>
      </c>
      <c r="AH84" s="174">
        <v>0</v>
      </c>
      <c r="AI84" s="174">
        <v>0</v>
      </c>
      <c r="AJ84" s="174">
        <v>0</v>
      </c>
      <c r="AK84" s="174">
        <v>0</v>
      </c>
      <c r="AL84" s="174">
        <v>0</v>
      </c>
      <c r="AM84" s="174">
        <v>0</v>
      </c>
      <c r="AN84" s="174">
        <v>0</v>
      </c>
      <c r="AO84" s="174">
        <v>0</v>
      </c>
      <c r="AP84" s="174">
        <v>0</v>
      </c>
      <c r="AQ84" s="174">
        <v>0</v>
      </c>
      <c r="AR84" s="174">
        <v>0</v>
      </c>
      <c r="AS84" s="174">
        <v>0</v>
      </c>
      <c r="AT84" s="174">
        <v>0</v>
      </c>
      <c r="AU84" s="174">
        <v>0</v>
      </c>
      <c r="AV84" s="174">
        <v>0</v>
      </c>
      <c r="AW84" s="174">
        <v>0</v>
      </c>
      <c r="AX84" s="174">
        <v>0</v>
      </c>
      <c r="AY84" s="174">
        <v>0</v>
      </c>
      <c r="AZ84" s="174">
        <v>0</v>
      </c>
      <c r="BA84" s="174">
        <v>0</v>
      </c>
      <c r="BB84" s="174">
        <v>0</v>
      </c>
      <c r="BC84" s="174">
        <v>0</v>
      </c>
      <c r="BD84" s="174">
        <v>0</v>
      </c>
      <c r="BE84" s="174">
        <v>0</v>
      </c>
      <c r="BF84" s="174">
        <v>0</v>
      </c>
      <c r="BG84" s="174">
        <v>0</v>
      </c>
      <c r="BH84" s="174">
        <v>0</v>
      </c>
      <c r="BI84" s="174">
        <v>0</v>
      </c>
      <c r="BJ84" s="174">
        <v>0</v>
      </c>
      <c r="BK84" s="174">
        <v>0</v>
      </c>
      <c r="BL84" s="174">
        <v>0</v>
      </c>
      <c r="BM84" s="174">
        <v>0</v>
      </c>
      <c r="BN84" s="174">
        <v>0</v>
      </c>
      <c r="BO84" s="174">
        <v>0</v>
      </c>
      <c r="BP84" s="174">
        <v>0</v>
      </c>
      <c r="BQ84" s="174">
        <v>0</v>
      </c>
      <c r="BR84" s="174">
        <v>0</v>
      </c>
      <c r="BS84" s="174">
        <v>0</v>
      </c>
      <c r="BT84" s="174">
        <v>0</v>
      </c>
      <c r="BU84" s="174">
        <v>0</v>
      </c>
      <c r="BV84" s="174">
        <v>0</v>
      </c>
      <c r="BW84" s="174">
        <v>0</v>
      </c>
      <c r="BX84" s="212">
        <v>1</v>
      </c>
      <c r="BY84" s="213"/>
      <c r="BZ84" s="213"/>
      <c r="CA84" s="213"/>
      <c r="CB84" s="213"/>
      <c r="CC84" s="213"/>
      <c r="CD84" s="213"/>
      <c r="CE84" s="213"/>
      <c r="CF84" s="213"/>
      <c r="CG84" s="213"/>
      <c r="CH84" s="213"/>
      <c r="CI84" s="213"/>
      <c r="CJ84" s="213"/>
      <c r="CK84" s="213"/>
      <c r="CL84" s="213"/>
      <c r="CM84" s="213"/>
      <c r="CN84" s="213"/>
      <c r="CO84" s="213"/>
      <c r="CP84" s="213"/>
    </row>
    <row r="85" ht="12.75" customHeight="1">
      <c r="A85" s="220" t="s">
        <v>85</v>
      </c>
      <c r="B85" s="220" t="s">
        <v>83</v>
      </c>
      <c r="C85" s="174">
        <v>0</v>
      </c>
      <c r="D85" s="174">
        <v>0</v>
      </c>
      <c r="E85" s="174">
        <v>0</v>
      </c>
      <c r="F85" s="174">
        <v>0</v>
      </c>
      <c r="G85" s="174">
        <v>0</v>
      </c>
      <c r="H85" s="174">
        <v>0</v>
      </c>
      <c r="I85" s="174">
        <v>0</v>
      </c>
      <c r="J85" s="174">
        <v>0</v>
      </c>
      <c r="K85" s="174">
        <v>0</v>
      </c>
      <c r="L85" s="174">
        <v>0</v>
      </c>
      <c r="M85" s="174">
        <v>0</v>
      </c>
      <c r="N85" s="174">
        <v>0</v>
      </c>
      <c r="O85" s="174">
        <v>0</v>
      </c>
      <c r="P85" s="174">
        <v>0</v>
      </c>
      <c r="Q85" s="174">
        <v>0</v>
      </c>
      <c r="R85" s="174">
        <v>0</v>
      </c>
      <c r="S85" s="174">
        <v>0</v>
      </c>
      <c r="T85" s="174">
        <v>0</v>
      </c>
      <c r="U85" s="174">
        <v>0</v>
      </c>
      <c r="V85" s="174">
        <v>0</v>
      </c>
      <c r="W85" s="174">
        <v>0</v>
      </c>
      <c r="X85" s="174">
        <v>0</v>
      </c>
      <c r="Y85" s="174">
        <v>0</v>
      </c>
      <c r="Z85" s="174">
        <v>0</v>
      </c>
      <c r="AA85" s="174">
        <v>0</v>
      </c>
      <c r="AB85" s="174">
        <v>0</v>
      </c>
      <c r="AC85" s="174">
        <v>0</v>
      </c>
      <c r="AD85" s="174">
        <v>0</v>
      </c>
      <c r="AE85" s="174">
        <v>0</v>
      </c>
      <c r="AF85" s="174">
        <v>0</v>
      </c>
      <c r="AG85" s="174">
        <v>0</v>
      </c>
      <c r="AH85" s="174">
        <v>0</v>
      </c>
      <c r="AI85" s="174">
        <v>0</v>
      </c>
      <c r="AJ85" s="174">
        <v>0</v>
      </c>
      <c r="AK85" s="174">
        <v>0</v>
      </c>
      <c r="AL85" s="174">
        <v>0</v>
      </c>
      <c r="AM85" s="174">
        <v>0</v>
      </c>
      <c r="AN85" s="174">
        <v>0</v>
      </c>
      <c r="AO85" s="174">
        <v>0</v>
      </c>
      <c r="AP85" s="174">
        <v>0</v>
      </c>
      <c r="AQ85" s="174">
        <v>0</v>
      </c>
      <c r="AR85" s="174">
        <v>0</v>
      </c>
      <c r="AS85" s="174">
        <v>0</v>
      </c>
      <c r="AT85" s="174">
        <v>0</v>
      </c>
      <c r="AU85" s="174">
        <v>0</v>
      </c>
      <c r="AV85" s="174">
        <v>0</v>
      </c>
      <c r="AW85" s="174">
        <v>0</v>
      </c>
      <c r="AX85" s="174">
        <v>0</v>
      </c>
      <c r="AY85" s="174">
        <v>0</v>
      </c>
      <c r="AZ85" s="174">
        <v>0</v>
      </c>
      <c r="BA85" s="174">
        <v>0</v>
      </c>
      <c r="BB85" s="174">
        <v>0</v>
      </c>
      <c r="BC85" s="174">
        <v>0</v>
      </c>
      <c r="BD85" s="174">
        <v>0</v>
      </c>
      <c r="BE85" s="174">
        <v>0</v>
      </c>
      <c r="BF85" s="174">
        <v>0</v>
      </c>
      <c r="BG85" s="174">
        <v>0</v>
      </c>
      <c r="BH85" s="174">
        <v>0</v>
      </c>
      <c r="BI85" s="174">
        <v>0</v>
      </c>
      <c r="BJ85" s="174">
        <v>0</v>
      </c>
      <c r="BK85" s="174">
        <v>0</v>
      </c>
      <c r="BL85" s="174">
        <v>0</v>
      </c>
      <c r="BM85" s="174">
        <v>0</v>
      </c>
      <c r="BN85" s="174">
        <v>0</v>
      </c>
      <c r="BO85" s="174">
        <v>0</v>
      </c>
      <c r="BP85" s="174">
        <v>0</v>
      </c>
      <c r="BQ85" s="174">
        <v>0</v>
      </c>
      <c r="BR85" s="174">
        <v>0</v>
      </c>
      <c r="BS85" s="174">
        <v>0</v>
      </c>
      <c r="BT85" s="174">
        <v>0</v>
      </c>
      <c r="BU85" s="174">
        <v>0</v>
      </c>
      <c r="BV85" s="174">
        <v>0</v>
      </c>
      <c r="BW85" s="174">
        <v>0</v>
      </c>
      <c r="BX85" s="174">
        <v>0</v>
      </c>
      <c r="BY85" s="212">
        <v>1</v>
      </c>
      <c r="BZ85" s="213"/>
      <c r="CA85" s="213"/>
      <c r="CB85" s="213"/>
      <c r="CC85" s="213"/>
      <c r="CD85" s="213"/>
      <c r="CE85" s="213"/>
      <c r="CF85" s="213"/>
      <c r="CG85" s="213"/>
      <c r="CH85" s="213"/>
      <c r="CI85" s="213"/>
      <c r="CJ85" s="213"/>
      <c r="CK85" s="213"/>
      <c r="CL85" s="213"/>
      <c r="CM85" s="213"/>
      <c r="CN85" s="213"/>
      <c r="CO85" s="213"/>
      <c r="CP85" s="213"/>
    </row>
    <row r="86" ht="12.75" customHeight="1">
      <c r="A86" s="220" t="s">
        <v>227</v>
      </c>
      <c r="B86" s="220" t="s">
        <v>83</v>
      </c>
      <c r="C86" s="174">
        <v>0</v>
      </c>
      <c r="D86" s="174">
        <v>0</v>
      </c>
      <c r="E86" s="174">
        <v>0</v>
      </c>
      <c r="F86" s="174">
        <v>0</v>
      </c>
      <c r="G86" s="174">
        <v>0</v>
      </c>
      <c r="H86" s="174">
        <v>0</v>
      </c>
      <c r="I86" s="174">
        <v>0</v>
      </c>
      <c r="J86" s="174">
        <v>0</v>
      </c>
      <c r="K86" s="174">
        <v>0</v>
      </c>
      <c r="L86" s="174">
        <v>0</v>
      </c>
      <c r="M86" s="174">
        <v>0</v>
      </c>
      <c r="N86" s="174">
        <v>0</v>
      </c>
      <c r="O86" s="174">
        <v>0</v>
      </c>
      <c r="P86" s="174">
        <v>0</v>
      </c>
      <c r="Q86" s="174">
        <v>0</v>
      </c>
      <c r="R86" s="174">
        <v>0</v>
      </c>
      <c r="S86" s="174">
        <v>0</v>
      </c>
      <c r="T86" s="174">
        <v>0</v>
      </c>
      <c r="U86" s="174">
        <v>0</v>
      </c>
      <c r="V86" s="174">
        <v>0</v>
      </c>
      <c r="W86" s="174">
        <v>0</v>
      </c>
      <c r="X86" s="174">
        <v>0</v>
      </c>
      <c r="Y86" s="174">
        <v>0</v>
      </c>
      <c r="Z86" s="174">
        <v>0</v>
      </c>
      <c r="AA86" s="174">
        <v>0</v>
      </c>
      <c r="AB86" s="174">
        <v>0</v>
      </c>
      <c r="AC86" s="174">
        <v>0</v>
      </c>
      <c r="AD86" s="174">
        <v>0</v>
      </c>
      <c r="AE86" s="174">
        <v>0</v>
      </c>
      <c r="AF86" s="174">
        <v>0</v>
      </c>
      <c r="AG86" s="174">
        <v>0</v>
      </c>
      <c r="AH86" s="174">
        <v>0</v>
      </c>
      <c r="AI86" s="174">
        <v>0</v>
      </c>
      <c r="AJ86" s="174">
        <v>0</v>
      </c>
      <c r="AK86" s="174">
        <v>0</v>
      </c>
      <c r="AL86" s="174">
        <v>0</v>
      </c>
      <c r="AM86" s="174">
        <v>0</v>
      </c>
      <c r="AN86" s="174">
        <v>0</v>
      </c>
      <c r="AO86" s="174">
        <v>0</v>
      </c>
      <c r="AP86" s="174">
        <v>0</v>
      </c>
      <c r="AQ86" s="174">
        <v>0</v>
      </c>
      <c r="AR86" s="174">
        <v>0</v>
      </c>
      <c r="AS86" s="174">
        <v>0</v>
      </c>
      <c r="AT86" s="174">
        <v>0</v>
      </c>
      <c r="AU86" s="174">
        <v>0</v>
      </c>
      <c r="AV86" s="174">
        <v>0</v>
      </c>
      <c r="AW86" s="174">
        <v>0</v>
      </c>
      <c r="AX86" s="174">
        <v>0</v>
      </c>
      <c r="AY86" s="174">
        <v>0</v>
      </c>
      <c r="AZ86" s="174">
        <v>0</v>
      </c>
      <c r="BA86" s="174">
        <v>0</v>
      </c>
      <c r="BB86" s="174">
        <v>0</v>
      </c>
      <c r="BC86" s="174">
        <v>0</v>
      </c>
      <c r="BD86" s="174">
        <v>0</v>
      </c>
      <c r="BE86" s="174">
        <v>0</v>
      </c>
      <c r="BF86" s="174">
        <v>0</v>
      </c>
      <c r="BG86" s="174">
        <v>0</v>
      </c>
      <c r="BH86" s="174">
        <v>0</v>
      </c>
      <c r="BI86" s="174">
        <v>0</v>
      </c>
      <c r="BJ86" s="174">
        <v>0</v>
      </c>
      <c r="BK86" s="174">
        <v>0</v>
      </c>
      <c r="BL86" s="174">
        <v>0</v>
      </c>
      <c r="BM86" s="174">
        <v>0</v>
      </c>
      <c r="BN86" s="174">
        <v>0</v>
      </c>
      <c r="BO86" s="174">
        <v>0</v>
      </c>
      <c r="BP86" s="174">
        <v>0</v>
      </c>
      <c r="BQ86" s="174">
        <v>0</v>
      </c>
      <c r="BR86" s="174">
        <v>0</v>
      </c>
      <c r="BS86" s="174">
        <v>0</v>
      </c>
      <c r="BT86" s="174">
        <v>0</v>
      </c>
      <c r="BU86" s="174">
        <v>0</v>
      </c>
      <c r="BV86" s="174">
        <v>0</v>
      </c>
      <c r="BW86" s="174">
        <v>0</v>
      </c>
      <c r="BX86" s="174">
        <v>0</v>
      </c>
      <c r="BY86" s="174">
        <v>0</v>
      </c>
      <c r="BZ86" s="212">
        <v>1</v>
      </c>
      <c r="CA86" s="212"/>
      <c r="CB86" s="212"/>
      <c r="CC86" s="213"/>
      <c r="CD86" s="213"/>
      <c r="CE86" s="213"/>
      <c r="CF86" s="213"/>
      <c r="CG86" s="213"/>
      <c r="CH86" s="213"/>
      <c r="CI86" s="213"/>
      <c r="CJ86" s="213"/>
      <c r="CK86" s="213"/>
      <c r="CL86" s="213"/>
      <c r="CM86" s="213"/>
      <c r="CN86" s="213"/>
      <c r="CO86" s="213"/>
      <c r="CP86" s="213"/>
    </row>
    <row r="87" ht="12.75" customHeight="1">
      <c r="A87" s="220" t="s">
        <v>191</v>
      </c>
      <c r="B87" s="220" t="s">
        <v>83</v>
      </c>
      <c r="C87" s="174">
        <v>0</v>
      </c>
      <c r="D87" s="174">
        <v>0</v>
      </c>
      <c r="E87" s="174">
        <v>0</v>
      </c>
      <c r="F87" s="174">
        <v>0</v>
      </c>
      <c r="G87" s="174">
        <v>0</v>
      </c>
      <c r="H87" s="174">
        <v>0</v>
      </c>
      <c r="I87" s="174">
        <v>0</v>
      </c>
      <c r="J87" s="174">
        <v>0</v>
      </c>
      <c r="K87" s="174">
        <v>0</v>
      </c>
      <c r="L87" s="174">
        <v>0</v>
      </c>
      <c r="M87" s="174">
        <v>0</v>
      </c>
      <c r="N87" s="174">
        <v>0</v>
      </c>
      <c r="O87" s="174">
        <v>0</v>
      </c>
      <c r="P87" s="174">
        <v>0</v>
      </c>
      <c r="Q87" s="174">
        <v>0</v>
      </c>
      <c r="R87" s="174">
        <v>0</v>
      </c>
      <c r="S87" s="174">
        <v>0</v>
      </c>
      <c r="T87" s="174">
        <v>0</v>
      </c>
      <c r="U87" s="174">
        <v>0</v>
      </c>
      <c r="V87" s="174">
        <v>0</v>
      </c>
      <c r="W87" s="174">
        <v>0</v>
      </c>
      <c r="X87" s="174">
        <v>0</v>
      </c>
      <c r="Y87" s="174">
        <v>0</v>
      </c>
      <c r="Z87" s="174">
        <v>0</v>
      </c>
      <c r="AA87" s="174">
        <v>0</v>
      </c>
      <c r="AB87" s="174">
        <v>0</v>
      </c>
      <c r="AC87" s="174">
        <v>0</v>
      </c>
      <c r="AD87" s="174">
        <v>0</v>
      </c>
      <c r="AE87" s="174">
        <v>0</v>
      </c>
      <c r="AF87" s="174">
        <v>0</v>
      </c>
      <c r="AG87" s="174">
        <v>0</v>
      </c>
      <c r="AH87" s="174">
        <v>0</v>
      </c>
      <c r="AI87" s="174">
        <v>0</v>
      </c>
      <c r="AJ87" s="174">
        <v>0</v>
      </c>
      <c r="AK87" s="174">
        <v>0</v>
      </c>
      <c r="AL87" s="174">
        <v>0</v>
      </c>
      <c r="AM87" s="174">
        <v>0</v>
      </c>
      <c r="AN87" s="174">
        <v>0</v>
      </c>
      <c r="AO87" s="174">
        <v>0</v>
      </c>
      <c r="AP87" s="174">
        <v>0</v>
      </c>
      <c r="AQ87" s="174">
        <v>0</v>
      </c>
      <c r="AR87" s="174">
        <v>0</v>
      </c>
      <c r="AS87" s="174">
        <v>0</v>
      </c>
      <c r="AT87" s="174">
        <v>0</v>
      </c>
      <c r="AU87" s="174">
        <v>0</v>
      </c>
      <c r="AV87" s="174">
        <v>0</v>
      </c>
      <c r="AW87" s="174">
        <v>0</v>
      </c>
      <c r="AX87" s="174">
        <v>0</v>
      </c>
      <c r="AY87" s="174">
        <v>0</v>
      </c>
      <c r="AZ87" s="174">
        <v>0</v>
      </c>
      <c r="BA87" s="174">
        <v>0</v>
      </c>
      <c r="BB87" s="174">
        <v>0</v>
      </c>
      <c r="BC87" s="174">
        <v>0</v>
      </c>
      <c r="BD87" s="174">
        <v>0</v>
      </c>
      <c r="BE87" s="174">
        <v>0</v>
      </c>
      <c r="BF87" s="174">
        <v>0</v>
      </c>
      <c r="BG87" s="174">
        <v>0</v>
      </c>
      <c r="BH87" s="174">
        <v>0</v>
      </c>
      <c r="BI87" s="174">
        <v>0</v>
      </c>
      <c r="BJ87" s="174">
        <v>0</v>
      </c>
      <c r="BK87" s="174">
        <v>0</v>
      </c>
      <c r="BL87" s="174">
        <v>0</v>
      </c>
      <c r="BM87" s="174">
        <v>0</v>
      </c>
      <c r="BN87" s="174">
        <v>0</v>
      </c>
      <c r="BO87" s="174">
        <v>0</v>
      </c>
      <c r="BP87" s="174">
        <v>0</v>
      </c>
      <c r="BQ87" s="174">
        <v>0</v>
      </c>
      <c r="BR87" s="174">
        <v>0</v>
      </c>
      <c r="BS87" s="174">
        <v>0</v>
      </c>
      <c r="BT87" s="174">
        <v>0</v>
      </c>
      <c r="BU87" s="174">
        <v>0</v>
      </c>
      <c r="BV87" s="174">
        <v>0</v>
      </c>
      <c r="BW87" s="174">
        <v>0</v>
      </c>
      <c r="BX87" s="174">
        <v>0</v>
      </c>
      <c r="BY87" s="174">
        <v>0</v>
      </c>
      <c r="BZ87" s="174">
        <v>0</v>
      </c>
      <c r="CA87" s="212">
        <v>1</v>
      </c>
      <c r="CB87" s="212"/>
      <c r="CC87" s="213"/>
      <c r="CD87" s="213"/>
      <c r="CE87" s="213"/>
      <c r="CF87" s="213"/>
      <c r="CG87" s="213"/>
      <c r="CH87" s="213"/>
      <c r="CI87" s="213"/>
      <c r="CJ87" s="213"/>
      <c r="CK87" s="213"/>
      <c r="CL87" s="213"/>
      <c r="CM87" s="213"/>
      <c r="CN87" s="213"/>
      <c r="CO87" s="213"/>
      <c r="CP87" s="213"/>
    </row>
    <row r="88" ht="12.75" customHeight="1">
      <c r="A88" s="220" t="s">
        <v>180</v>
      </c>
      <c r="B88" s="220" t="s">
        <v>83</v>
      </c>
      <c r="C88" s="174">
        <v>0</v>
      </c>
      <c r="D88" s="174">
        <v>0</v>
      </c>
      <c r="E88" s="174">
        <v>0</v>
      </c>
      <c r="F88" s="174">
        <v>0</v>
      </c>
      <c r="G88" s="174">
        <v>0</v>
      </c>
      <c r="H88" s="174">
        <v>0</v>
      </c>
      <c r="I88" s="174">
        <v>0</v>
      </c>
      <c r="J88" s="174">
        <v>0</v>
      </c>
      <c r="K88" s="174">
        <v>0</v>
      </c>
      <c r="L88" s="174">
        <v>0</v>
      </c>
      <c r="M88" s="174">
        <v>0</v>
      </c>
      <c r="N88" s="174">
        <v>0</v>
      </c>
      <c r="O88" s="174">
        <v>0</v>
      </c>
      <c r="P88" s="174">
        <v>0</v>
      </c>
      <c r="Q88" s="174">
        <v>0</v>
      </c>
      <c r="R88" s="174">
        <v>0</v>
      </c>
      <c r="S88" s="174">
        <v>0</v>
      </c>
      <c r="T88" s="174">
        <v>0</v>
      </c>
      <c r="U88" s="174">
        <v>0</v>
      </c>
      <c r="V88" s="174">
        <v>0</v>
      </c>
      <c r="W88" s="174">
        <v>0</v>
      </c>
      <c r="X88" s="174">
        <v>0</v>
      </c>
      <c r="Y88" s="174">
        <v>0</v>
      </c>
      <c r="Z88" s="174">
        <v>0</v>
      </c>
      <c r="AA88" s="174">
        <v>0</v>
      </c>
      <c r="AB88" s="174">
        <v>0</v>
      </c>
      <c r="AC88" s="174">
        <v>0</v>
      </c>
      <c r="AD88" s="174">
        <v>0</v>
      </c>
      <c r="AE88" s="174">
        <v>0</v>
      </c>
      <c r="AF88" s="174">
        <v>0</v>
      </c>
      <c r="AG88" s="174">
        <v>0</v>
      </c>
      <c r="AH88" s="174">
        <v>0</v>
      </c>
      <c r="AI88" s="174">
        <v>0</v>
      </c>
      <c r="AJ88" s="174">
        <v>0</v>
      </c>
      <c r="AK88" s="174">
        <v>0</v>
      </c>
      <c r="AL88" s="174">
        <v>0</v>
      </c>
      <c r="AM88" s="174">
        <v>0</v>
      </c>
      <c r="AN88" s="174">
        <v>0</v>
      </c>
      <c r="AO88" s="174">
        <v>0</v>
      </c>
      <c r="AP88" s="174">
        <v>0</v>
      </c>
      <c r="AQ88" s="174">
        <v>0</v>
      </c>
      <c r="AR88" s="174">
        <v>0</v>
      </c>
      <c r="AS88" s="174">
        <v>0</v>
      </c>
      <c r="AT88" s="174">
        <v>0</v>
      </c>
      <c r="AU88" s="174">
        <v>0</v>
      </c>
      <c r="AV88" s="174">
        <v>0</v>
      </c>
      <c r="AW88" s="174">
        <v>0</v>
      </c>
      <c r="AX88" s="174">
        <v>0</v>
      </c>
      <c r="AY88" s="174">
        <v>0</v>
      </c>
      <c r="AZ88" s="174">
        <v>0</v>
      </c>
      <c r="BA88" s="174">
        <v>0</v>
      </c>
      <c r="BB88" s="174">
        <v>0</v>
      </c>
      <c r="BC88" s="174">
        <v>0</v>
      </c>
      <c r="BD88" s="174">
        <v>0</v>
      </c>
      <c r="BE88" s="174">
        <v>0</v>
      </c>
      <c r="BF88" s="174">
        <v>0</v>
      </c>
      <c r="BG88" s="174">
        <v>0</v>
      </c>
      <c r="BH88" s="174">
        <v>0</v>
      </c>
      <c r="BI88" s="174">
        <v>0</v>
      </c>
      <c r="BJ88" s="174">
        <v>0</v>
      </c>
      <c r="BK88" s="174">
        <v>0</v>
      </c>
      <c r="BL88" s="174">
        <v>0</v>
      </c>
      <c r="BM88" s="174">
        <v>0</v>
      </c>
      <c r="BN88" s="174">
        <v>0</v>
      </c>
      <c r="BO88" s="174">
        <v>0</v>
      </c>
      <c r="BP88" s="174">
        <v>0</v>
      </c>
      <c r="BQ88" s="174">
        <v>0</v>
      </c>
      <c r="BR88" s="174">
        <v>0</v>
      </c>
      <c r="BS88" s="174">
        <v>0</v>
      </c>
      <c r="BT88" s="174">
        <v>0</v>
      </c>
      <c r="BU88" s="174">
        <v>0</v>
      </c>
      <c r="BV88" s="174">
        <v>0</v>
      </c>
      <c r="BW88" s="174">
        <v>0</v>
      </c>
      <c r="BX88" s="174">
        <v>0</v>
      </c>
      <c r="BY88" s="174">
        <v>0</v>
      </c>
      <c r="BZ88" s="174">
        <v>0</v>
      </c>
      <c r="CA88" s="174">
        <v>0</v>
      </c>
      <c r="CB88" s="212">
        <v>1</v>
      </c>
      <c r="CC88" s="213"/>
      <c r="CD88" s="213"/>
      <c r="CE88" s="213"/>
      <c r="CF88" s="213"/>
      <c r="CG88" s="213"/>
      <c r="CH88" s="213"/>
      <c r="CI88" s="213"/>
      <c r="CJ88" s="213"/>
      <c r="CK88" s="213"/>
      <c r="CL88" s="213"/>
      <c r="CM88" s="213"/>
      <c r="CN88" s="213"/>
      <c r="CO88" s="213"/>
      <c r="CP88" s="213"/>
    </row>
    <row r="89" ht="12.75" customHeight="1">
      <c r="A89" s="220" t="s">
        <v>181</v>
      </c>
      <c r="B89" s="220" t="s">
        <v>83</v>
      </c>
      <c r="C89" s="174">
        <v>0</v>
      </c>
      <c r="D89" s="174">
        <v>0</v>
      </c>
      <c r="E89" s="174">
        <v>0</v>
      </c>
      <c r="F89" s="174">
        <v>0</v>
      </c>
      <c r="G89" s="174">
        <v>0</v>
      </c>
      <c r="H89" s="174">
        <v>0</v>
      </c>
      <c r="I89" s="174">
        <v>0</v>
      </c>
      <c r="J89" s="174">
        <v>0</v>
      </c>
      <c r="K89" s="174">
        <v>0</v>
      </c>
      <c r="L89" s="174">
        <v>0</v>
      </c>
      <c r="M89" s="174">
        <v>0</v>
      </c>
      <c r="N89" s="174">
        <v>0</v>
      </c>
      <c r="O89" s="174">
        <v>0</v>
      </c>
      <c r="P89" s="174">
        <v>0</v>
      </c>
      <c r="Q89" s="174">
        <v>0</v>
      </c>
      <c r="R89" s="174">
        <v>0</v>
      </c>
      <c r="S89" s="174">
        <v>0</v>
      </c>
      <c r="T89" s="174">
        <v>0</v>
      </c>
      <c r="U89" s="174">
        <v>0</v>
      </c>
      <c r="V89" s="174">
        <v>0</v>
      </c>
      <c r="W89" s="174">
        <v>0</v>
      </c>
      <c r="X89" s="174">
        <v>0</v>
      </c>
      <c r="Y89" s="174">
        <v>0</v>
      </c>
      <c r="Z89" s="174">
        <v>0</v>
      </c>
      <c r="AA89" s="174">
        <v>0</v>
      </c>
      <c r="AB89" s="174">
        <v>0</v>
      </c>
      <c r="AC89" s="174">
        <v>0</v>
      </c>
      <c r="AD89" s="174">
        <v>0</v>
      </c>
      <c r="AE89" s="174">
        <v>0</v>
      </c>
      <c r="AF89" s="174">
        <v>0</v>
      </c>
      <c r="AG89" s="174">
        <v>0</v>
      </c>
      <c r="AH89" s="174">
        <v>0</v>
      </c>
      <c r="AI89" s="174">
        <v>0</v>
      </c>
      <c r="AJ89" s="174">
        <v>0</v>
      </c>
      <c r="AK89" s="174">
        <v>0</v>
      </c>
      <c r="AL89" s="174">
        <v>0</v>
      </c>
      <c r="AM89" s="174">
        <v>0</v>
      </c>
      <c r="AN89" s="174">
        <v>0</v>
      </c>
      <c r="AO89" s="174">
        <v>0</v>
      </c>
      <c r="AP89" s="174">
        <v>0</v>
      </c>
      <c r="AQ89" s="174">
        <v>0</v>
      </c>
      <c r="AR89" s="174">
        <v>0</v>
      </c>
      <c r="AS89" s="174">
        <v>0</v>
      </c>
      <c r="AT89" s="174">
        <v>0</v>
      </c>
      <c r="AU89" s="174">
        <v>0</v>
      </c>
      <c r="AV89" s="174">
        <v>0</v>
      </c>
      <c r="AW89" s="174">
        <v>0</v>
      </c>
      <c r="AX89" s="174">
        <v>0</v>
      </c>
      <c r="AY89" s="174">
        <v>0</v>
      </c>
      <c r="AZ89" s="174">
        <v>0</v>
      </c>
      <c r="BA89" s="174">
        <v>0</v>
      </c>
      <c r="BB89" s="174">
        <v>0</v>
      </c>
      <c r="BC89" s="174">
        <v>0</v>
      </c>
      <c r="BD89" s="174">
        <v>0</v>
      </c>
      <c r="BE89" s="174">
        <v>0</v>
      </c>
      <c r="BF89" s="174">
        <v>0</v>
      </c>
      <c r="BG89" s="174">
        <v>0</v>
      </c>
      <c r="BH89" s="174">
        <v>0</v>
      </c>
      <c r="BI89" s="174">
        <v>0</v>
      </c>
      <c r="BJ89" s="174">
        <v>0</v>
      </c>
      <c r="BK89" s="174">
        <v>0</v>
      </c>
      <c r="BL89" s="174">
        <v>0</v>
      </c>
      <c r="BM89" s="174">
        <v>0</v>
      </c>
      <c r="BN89" s="174">
        <v>0</v>
      </c>
      <c r="BO89" s="174">
        <v>0</v>
      </c>
      <c r="BP89" s="174">
        <v>0</v>
      </c>
      <c r="BQ89" s="174">
        <v>0</v>
      </c>
      <c r="BR89" s="174">
        <v>0</v>
      </c>
      <c r="BS89" s="174">
        <v>0</v>
      </c>
      <c r="BT89" s="174">
        <v>0</v>
      </c>
      <c r="BU89" s="174">
        <v>0</v>
      </c>
      <c r="BV89" s="174">
        <v>0</v>
      </c>
      <c r="BW89" s="174">
        <v>0</v>
      </c>
      <c r="BX89" s="174">
        <v>0</v>
      </c>
      <c r="BY89" s="174">
        <v>0</v>
      </c>
      <c r="BZ89" s="174">
        <v>0</v>
      </c>
      <c r="CA89" s="174">
        <v>0</v>
      </c>
      <c r="CB89" s="174">
        <v>0</v>
      </c>
      <c r="CC89" s="212">
        <v>1</v>
      </c>
      <c r="CD89" s="212"/>
      <c r="CE89" s="213"/>
      <c r="CF89" s="213"/>
      <c r="CG89" s="213"/>
      <c r="CH89" s="213"/>
      <c r="CI89" s="213"/>
      <c r="CJ89" s="213"/>
      <c r="CK89" s="213"/>
      <c r="CL89" s="213"/>
      <c r="CM89" s="213"/>
      <c r="CN89" s="213"/>
      <c r="CO89" s="213"/>
      <c r="CP89" s="213"/>
    </row>
    <row r="90" ht="12.75" customHeight="1">
      <c r="A90" s="220" t="s">
        <v>182</v>
      </c>
      <c r="B90" s="220" t="s">
        <v>83</v>
      </c>
      <c r="C90" s="174">
        <v>0</v>
      </c>
      <c r="D90" s="174">
        <v>0</v>
      </c>
      <c r="E90" s="174">
        <v>0</v>
      </c>
      <c r="F90" s="174">
        <v>0</v>
      </c>
      <c r="G90" s="174">
        <v>0</v>
      </c>
      <c r="H90" s="174">
        <v>0</v>
      </c>
      <c r="I90" s="174">
        <v>0</v>
      </c>
      <c r="J90" s="174">
        <v>0</v>
      </c>
      <c r="K90" s="174">
        <v>0</v>
      </c>
      <c r="L90" s="174">
        <v>0</v>
      </c>
      <c r="M90" s="174">
        <v>0</v>
      </c>
      <c r="N90" s="174">
        <v>0</v>
      </c>
      <c r="O90" s="174">
        <v>0</v>
      </c>
      <c r="P90" s="174">
        <v>0</v>
      </c>
      <c r="Q90" s="174">
        <v>0</v>
      </c>
      <c r="R90" s="174">
        <v>0</v>
      </c>
      <c r="S90" s="174">
        <v>0</v>
      </c>
      <c r="T90" s="174">
        <v>0</v>
      </c>
      <c r="U90" s="174">
        <v>0</v>
      </c>
      <c r="V90" s="174">
        <v>0</v>
      </c>
      <c r="W90" s="174">
        <v>0</v>
      </c>
      <c r="X90" s="174">
        <v>0</v>
      </c>
      <c r="Y90" s="174">
        <v>0</v>
      </c>
      <c r="Z90" s="174">
        <v>0</v>
      </c>
      <c r="AA90" s="174">
        <v>0</v>
      </c>
      <c r="AB90" s="174">
        <v>0</v>
      </c>
      <c r="AC90" s="174">
        <v>0</v>
      </c>
      <c r="AD90" s="174">
        <v>0</v>
      </c>
      <c r="AE90" s="174">
        <v>0</v>
      </c>
      <c r="AF90" s="174">
        <v>0</v>
      </c>
      <c r="AG90" s="174">
        <v>0</v>
      </c>
      <c r="AH90" s="174">
        <v>0</v>
      </c>
      <c r="AI90" s="174">
        <v>0</v>
      </c>
      <c r="AJ90" s="174">
        <v>0</v>
      </c>
      <c r="AK90" s="174">
        <v>0</v>
      </c>
      <c r="AL90" s="174">
        <v>0</v>
      </c>
      <c r="AM90" s="174">
        <v>0</v>
      </c>
      <c r="AN90" s="174">
        <v>0</v>
      </c>
      <c r="AO90" s="174">
        <v>0</v>
      </c>
      <c r="AP90" s="174">
        <v>0</v>
      </c>
      <c r="AQ90" s="174">
        <v>0</v>
      </c>
      <c r="AR90" s="174">
        <v>0</v>
      </c>
      <c r="AS90" s="174">
        <v>0</v>
      </c>
      <c r="AT90" s="174">
        <v>0</v>
      </c>
      <c r="AU90" s="174">
        <v>0</v>
      </c>
      <c r="AV90" s="174">
        <v>0</v>
      </c>
      <c r="AW90" s="174">
        <v>0</v>
      </c>
      <c r="AX90" s="174">
        <v>0</v>
      </c>
      <c r="AY90" s="174">
        <v>0</v>
      </c>
      <c r="AZ90" s="174">
        <v>0</v>
      </c>
      <c r="BA90" s="174">
        <v>0</v>
      </c>
      <c r="BB90" s="174">
        <v>0</v>
      </c>
      <c r="BC90" s="174">
        <v>0</v>
      </c>
      <c r="BD90" s="174">
        <v>0</v>
      </c>
      <c r="BE90" s="174">
        <v>0</v>
      </c>
      <c r="BF90" s="174">
        <v>0</v>
      </c>
      <c r="BG90" s="174">
        <v>0</v>
      </c>
      <c r="BH90" s="174">
        <v>0</v>
      </c>
      <c r="BI90" s="174">
        <v>0</v>
      </c>
      <c r="BJ90" s="174">
        <v>0</v>
      </c>
      <c r="BK90" s="174">
        <v>0</v>
      </c>
      <c r="BL90" s="174">
        <v>0</v>
      </c>
      <c r="BM90" s="174">
        <v>0</v>
      </c>
      <c r="BN90" s="174">
        <v>0</v>
      </c>
      <c r="BO90" s="174">
        <v>0</v>
      </c>
      <c r="BP90" s="174">
        <v>0</v>
      </c>
      <c r="BQ90" s="174">
        <v>0</v>
      </c>
      <c r="BR90" s="174">
        <v>0</v>
      </c>
      <c r="BS90" s="174">
        <v>0</v>
      </c>
      <c r="BT90" s="174">
        <v>0</v>
      </c>
      <c r="BU90" s="174">
        <v>0</v>
      </c>
      <c r="BV90" s="174">
        <v>0</v>
      </c>
      <c r="BW90" s="174">
        <v>0</v>
      </c>
      <c r="BX90" s="174">
        <v>0</v>
      </c>
      <c r="BY90" s="174">
        <v>0</v>
      </c>
      <c r="BZ90" s="174">
        <v>0</v>
      </c>
      <c r="CA90" s="174">
        <v>0</v>
      </c>
      <c r="CB90" s="174">
        <v>0</v>
      </c>
      <c r="CC90" s="174">
        <v>0</v>
      </c>
      <c r="CD90" s="212">
        <v>1</v>
      </c>
      <c r="CE90" s="213"/>
      <c r="CF90" s="213"/>
      <c r="CG90" s="213"/>
      <c r="CH90" s="213"/>
      <c r="CI90" s="213"/>
      <c r="CJ90" s="213"/>
      <c r="CK90" s="213"/>
      <c r="CL90" s="213"/>
      <c r="CM90" s="213"/>
      <c r="CN90" s="213"/>
      <c r="CO90" s="213"/>
      <c r="CP90" s="213"/>
    </row>
    <row r="91" ht="12.75" customHeight="1">
      <c r="A91" s="220" t="s">
        <v>184</v>
      </c>
      <c r="B91" s="220" t="s">
        <v>83</v>
      </c>
      <c r="C91" s="174">
        <v>0</v>
      </c>
      <c r="D91" s="174">
        <v>0</v>
      </c>
      <c r="E91" s="174">
        <v>0</v>
      </c>
      <c r="F91" s="174">
        <v>0</v>
      </c>
      <c r="G91" s="174">
        <v>0</v>
      </c>
      <c r="H91" s="174">
        <v>0</v>
      </c>
      <c r="I91" s="174">
        <v>0</v>
      </c>
      <c r="J91" s="174">
        <v>0</v>
      </c>
      <c r="K91" s="174">
        <v>0</v>
      </c>
      <c r="L91" s="174">
        <v>0</v>
      </c>
      <c r="M91" s="174">
        <v>0</v>
      </c>
      <c r="N91" s="174">
        <v>0</v>
      </c>
      <c r="O91" s="174">
        <v>0</v>
      </c>
      <c r="P91" s="174">
        <v>0</v>
      </c>
      <c r="Q91" s="174">
        <v>0</v>
      </c>
      <c r="R91" s="174">
        <v>0</v>
      </c>
      <c r="S91" s="174">
        <v>0</v>
      </c>
      <c r="T91" s="174">
        <v>0</v>
      </c>
      <c r="U91" s="174">
        <v>0</v>
      </c>
      <c r="V91" s="174">
        <v>0</v>
      </c>
      <c r="W91" s="174">
        <v>0</v>
      </c>
      <c r="X91" s="174">
        <v>0</v>
      </c>
      <c r="Y91" s="174">
        <v>0</v>
      </c>
      <c r="Z91" s="174">
        <v>0</v>
      </c>
      <c r="AA91" s="174">
        <v>0</v>
      </c>
      <c r="AB91" s="174">
        <v>0</v>
      </c>
      <c r="AC91" s="174">
        <v>0</v>
      </c>
      <c r="AD91" s="174">
        <v>0</v>
      </c>
      <c r="AE91" s="174">
        <v>0</v>
      </c>
      <c r="AF91" s="174">
        <v>0</v>
      </c>
      <c r="AG91" s="174">
        <v>0</v>
      </c>
      <c r="AH91" s="174">
        <v>0</v>
      </c>
      <c r="AI91" s="174">
        <v>0</v>
      </c>
      <c r="AJ91" s="174">
        <v>0</v>
      </c>
      <c r="AK91" s="174">
        <v>0</v>
      </c>
      <c r="AL91" s="174">
        <v>0</v>
      </c>
      <c r="AM91" s="174">
        <v>0</v>
      </c>
      <c r="AN91" s="174">
        <v>0</v>
      </c>
      <c r="AO91" s="174">
        <v>0</v>
      </c>
      <c r="AP91" s="174">
        <v>0</v>
      </c>
      <c r="AQ91" s="174">
        <v>0</v>
      </c>
      <c r="AR91" s="174">
        <v>0</v>
      </c>
      <c r="AS91" s="174">
        <v>0</v>
      </c>
      <c r="AT91" s="174">
        <v>0</v>
      </c>
      <c r="AU91" s="174">
        <v>0</v>
      </c>
      <c r="AV91" s="174">
        <v>0</v>
      </c>
      <c r="AW91" s="174">
        <v>0</v>
      </c>
      <c r="AX91" s="174">
        <v>0</v>
      </c>
      <c r="AY91" s="174">
        <v>0</v>
      </c>
      <c r="AZ91" s="174">
        <v>0</v>
      </c>
      <c r="BA91" s="174">
        <v>0</v>
      </c>
      <c r="BB91" s="174">
        <v>0</v>
      </c>
      <c r="BC91" s="174">
        <v>0</v>
      </c>
      <c r="BD91" s="174">
        <v>0</v>
      </c>
      <c r="BE91" s="174">
        <v>0</v>
      </c>
      <c r="BF91" s="174">
        <v>0</v>
      </c>
      <c r="BG91" s="174">
        <v>0</v>
      </c>
      <c r="BH91" s="174">
        <v>0</v>
      </c>
      <c r="BI91" s="174">
        <v>0</v>
      </c>
      <c r="BJ91" s="174">
        <v>0</v>
      </c>
      <c r="BK91" s="174">
        <v>0</v>
      </c>
      <c r="BL91" s="174">
        <v>0</v>
      </c>
      <c r="BM91" s="174">
        <v>0</v>
      </c>
      <c r="BN91" s="174">
        <v>0</v>
      </c>
      <c r="BO91" s="174">
        <v>0</v>
      </c>
      <c r="BP91" s="174">
        <v>0</v>
      </c>
      <c r="BQ91" s="174">
        <v>0</v>
      </c>
      <c r="BR91" s="174">
        <v>0</v>
      </c>
      <c r="BS91" s="174">
        <v>0</v>
      </c>
      <c r="BT91" s="174">
        <v>0</v>
      </c>
      <c r="BU91" s="174">
        <v>0</v>
      </c>
      <c r="BV91" s="174">
        <v>0</v>
      </c>
      <c r="BW91" s="174">
        <v>0</v>
      </c>
      <c r="BX91" s="174">
        <v>0</v>
      </c>
      <c r="BY91" s="174">
        <v>0</v>
      </c>
      <c r="BZ91" s="174">
        <v>0</v>
      </c>
      <c r="CA91" s="174">
        <v>0</v>
      </c>
      <c r="CB91" s="174">
        <v>0</v>
      </c>
      <c r="CC91" s="174">
        <v>0</v>
      </c>
      <c r="CD91" s="174">
        <v>0</v>
      </c>
      <c r="CE91" s="212">
        <v>1</v>
      </c>
      <c r="CF91" s="212"/>
      <c r="CG91" s="212"/>
      <c r="CH91" s="212"/>
      <c r="CI91" s="212"/>
      <c r="CJ91" s="213"/>
      <c r="CK91" s="213"/>
      <c r="CL91" s="213"/>
      <c r="CM91" s="213"/>
      <c r="CN91" s="213"/>
      <c r="CO91" s="213"/>
      <c r="CP91" s="213"/>
    </row>
    <row r="92" ht="12.75" customHeight="1">
      <c r="A92" s="220" t="s">
        <v>183</v>
      </c>
      <c r="B92" s="220" t="s">
        <v>83</v>
      </c>
      <c r="C92" s="174">
        <v>0</v>
      </c>
      <c r="D92" s="174">
        <v>0</v>
      </c>
      <c r="E92" s="174">
        <v>0</v>
      </c>
      <c r="F92" s="174">
        <v>0</v>
      </c>
      <c r="G92" s="174">
        <v>0</v>
      </c>
      <c r="H92" s="174">
        <v>0</v>
      </c>
      <c r="I92" s="174">
        <v>0</v>
      </c>
      <c r="J92" s="174">
        <v>0</v>
      </c>
      <c r="K92" s="174">
        <v>0</v>
      </c>
      <c r="L92" s="174">
        <v>0</v>
      </c>
      <c r="M92" s="174">
        <v>0</v>
      </c>
      <c r="N92" s="174">
        <v>0</v>
      </c>
      <c r="O92" s="174">
        <v>0</v>
      </c>
      <c r="P92" s="174">
        <v>0</v>
      </c>
      <c r="Q92" s="174">
        <v>0</v>
      </c>
      <c r="R92" s="174">
        <v>0</v>
      </c>
      <c r="S92" s="174">
        <v>0</v>
      </c>
      <c r="T92" s="174">
        <v>0</v>
      </c>
      <c r="U92" s="174">
        <v>0</v>
      </c>
      <c r="V92" s="174">
        <v>0</v>
      </c>
      <c r="W92" s="174">
        <v>0</v>
      </c>
      <c r="X92" s="174">
        <v>0</v>
      </c>
      <c r="Y92" s="174">
        <v>0</v>
      </c>
      <c r="Z92" s="174">
        <v>0</v>
      </c>
      <c r="AA92" s="174">
        <v>0</v>
      </c>
      <c r="AB92" s="174">
        <v>0</v>
      </c>
      <c r="AC92" s="174">
        <v>0</v>
      </c>
      <c r="AD92" s="174">
        <v>0</v>
      </c>
      <c r="AE92" s="174">
        <v>0</v>
      </c>
      <c r="AF92" s="174">
        <v>0</v>
      </c>
      <c r="AG92" s="174">
        <v>0</v>
      </c>
      <c r="AH92" s="174">
        <v>0</v>
      </c>
      <c r="AI92" s="174">
        <v>0</v>
      </c>
      <c r="AJ92" s="174">
        <v>0</v>
      </c>
      <c r="AK92" s="174">
        <v>0</v>
      </c>
      <c r="AL92" s="174">
        <v>0</v>
      </c>
      <c r="AM92" s="174">
        <v>0</v>
      </c>
      <c r="AN92" s="174">
        <v>0</v>
      </c>
      <c r="AO92" s="174">
        <v>0</v>
      </c>
      <c r="AP92" s="174">
        <v>0</v>
      </c>
      <c r="AQ92" s="174">
        <v>0</v>
      </c>
      <c r="AR92" s="174">
        <v>0</v>
      </c>
      <c r="AS92" s="174">
        <v>0</v>
      </c>
      <c r="AT92" s="174">
        <v>0</v>
      </c>
      <c r="AU92" s="174">
        <v>0</v>
      </c>
      <c r="AV92" s="174">
        <v>0</v>
      </c>
      <c r="AW92" s="174">
        <v>0</v>
      </c>
      <c r="AX92" s="174">
        <v>0</v>
      </c>
      <c r="AY92" s="174">
        <v>0</v>
      </c>
      <c r="AZ92" s="174">
        <v>0</v>
      </c>
      <c r="BA92" s="174">
        <v>0</v>
      </c>
      <c r="BB92" s="174">
        <v>0</v>
      </c>
      <c r="BC92" s="174">
        <v>0</v>
      </c>
      <c r="BD92" s="174">
        <v>0</v>
      </c>
      <c r="BE92" s="174">
        <v>0</v>
      </c>
      <c r="BF92" s="174">
        <v>0</v>
      </c>
      <c r="BG92" s="174">
        <v>0</v>
      </c>
      <c r="BH92" s="174">
        <v>0</v>
      </c>
      <c r="BI92" s="174">
        <v>0</v>
      </c>
      <c r="BJ92" s="174">
        <v>0</v>
      </c>
      <c r="BK92" s="174">
        <v>0</v>
      </c>
      <c r="BL92" s="174">
        <v>0</v>
      </c>
      <c r="BM92" s="174">
        <v>0</v>
      </c>
      <c r="BN92" s="174">
        <v>0</v>
      </c>
      <c r="BO92" s="174">
        <v>0</v>
      </c>
      <c r="BP92" s="174">
        <v>0</v>
      </c>
      <c r="BQ92" s="174">
        <v>0</v>
      </c>
      <c r="BR92" s="174">
        <v>0</v>
      </c>
      <c r="BS92" s="174">
        <v>0</v>
      </c>
      <c r="BT92" s="174">
        <v>0</v>
      </c>
      <c r="BU92" s="174">
        <v>0</v>
      </c>
      <c r="BV92" s="174">
        <v>0</v>
      </c>
      <c r="BW92" s="174">
        <v>0</v>
      </c>
      <c r="BX92" s="174">
        <v>0</v>
      </c>
      <c r="BY92" s="174">
        <v>0</v>
      </c>
      <c r="BZ92" s="174">
        <v>0</v>
      </c>
      <c r="CA92" s="174">
        <v>0</v>
      </c>
      <c r="CB92" s="174">
        <v>0</v>
      </c>
      <c r="CC92" s="174">
        <v>0</v>
      </c>
      <c r="CD92" s="174">
        <v>0</v>
      </c>
      <c r="CE92" s="174">
        <v>0</v>
      </c>
      <c r="CF92" s="212">
        <v>1</v>
      </c>
      <c r="CG92" s="212"/>
      <c r="CH92" s="212"/>
      <c r="CI92" s="212"/>
      <c r="CJ92" s="213"/>
      <c r="CK92" s="213"/>
      <c r="CL92" s="213"/>
      <c r="CM92" s="213"/>
      <c r="CN92" s="213"/>
      <c r="CO92" s="213"/>
      <c r="CP92" s="213"/>
    </row>
    <row r="93" ht="12.75" customHeight="1">
      <c r="A93" s="220" t="s">
        <v>192</v>
      </c>
      <c r="B93" s="220" t="s">
        <v>83</v>
      </c>
      <c r="C93" s="174">
        <v>0</v>
      </c>
      <c r="D93" s="174">
        <v>0</v>
      </c>
      <c r="E93" s="174">
        <v>0</v>
      </c>
      <c r="F93" s="174">
        <v>0</v>
      </c>
      <c r="G93" s="174">
        <v>0</v>
      </c>
      <c r="H93" s="174">
        <v>0</v>
      </c>
      <c r="I93" s="174">
        <v>0</v>
      </c>
      <c r="J93" s="174">
        <v>0</v>
      </c>
      <c r="K93" s="174">
        <v>0</v>
      </c>
      <c r="L93" s="174">
        <v>0</v>
      </c>
      <c r="M93" s="174">
        <v>0</v>
      </c>
      <c r="N93" s="174">
        <v>0</v>
      </c>
      <c r="O93" s="174">
        <v>0</v>
      </c>
      <c r="P93" s="174">
        <v>0</v>
      </c>
      <c r="Q93" s="174">
        <v>0</v>
      </c>
      <c r="R93" s="174">
        <v>0</v>
      </c>
      <c r="S93" s="174">
        <v>0</v>
      </c>
      <c r="T93" s="174">
        <v>0</v>
      </c>
      <c r="U93" s="174">
        <v>0</v>
      </c>
      <c r="V93" s="174">
        <v>0</v>
      </c>
      <c r="W93" s="174">
        <v>0</v>
      </c>
      <c r="X93" s="174">
        <v>0</v>
      </c>
      <c r="Y93" s="174">
        <v>0</v>
      </c>
      <c r="Z93" s="174">
        <v>0</v>
      </c>
      <c r="AA93" s="174">
        <v>0</v>
      </c>
      <c r="AB93" s="174">
        <v>0</v>
      </c>
      <c r="AC93" s="174">
        <v>0</v>
      </c>
      <c r="AD93" s="174">
        <v>0</v>
      </c>
      <c r="AE93" s="174">
        <v>0</v>
      </c>
      <c r="AF93" s="174">
        <v>0</v>
      </c>
      <c r="AG93" s="174">
        <v>0</v>
      </c>
      <c r="AH93" s="174">
        <v>0</v>
      </c>
      <c r="AI93" s="174">
        <v>0</v>
      </c>
      <c r="AJ93" s="174">
        <v>0</v>
      </c>
      <c r="AK93" s="174">
        <v>0</v>
      </c>
      <c r="AL93" s="174">
        <v>0</v>
      </c>
      <c r="AM93" s="174">
        <v>0</v>
      </c>
      <c r="AN93" s="174">
        <v>0</v>
      </c>
      <c r="AO93" s="174">
        <v>0</v>
      </c>
      <c r="AP93" s="174">
        <v>0</v>
      </c>
      <c r="AQ93" s="174">
        <v>0</v>
      </c>
      <c r="AR93" s="174">
        <v>0</v>
      </c>
      <c r="AS93" s="174">
        <v>0</v>
      </c>
      <c r="AT93" s="174">
        <v>0</v>
      </c>
      <c r="AU93" s="174">
        <v>0</v>
      </c>
      <c r="AV93" s="174">
        <v>0</v>
      </c>
      <c r="AW93" s="174">
        <v>0</v>
      </c>
      <c r="AX93" s="174">
        <v>0</v>
      </c>
      <c r="AY93" s="174">
        <v>0</v>
      </c>
      <c r="AZ93" s="174">
        <v>0</v>
      </c>
      <c r="BA93" s="174">
        <v>0</v>
      </c>
      <c r="BB93" s="174">
        <v>0</v>
      </c>
      <c r="BC93" s="174">
        <v>0</v>
      </c>
      <c r="BD93" s="174">
        <v>0</v>
      </c>
      <c r="BE93" s="174">
        <v>0</v>
      </c>
      <c r="BF93" s="174">
        <v>0</v>
      </c>
      <c r="BG93" s="174">
        <v>0</v>
      </c>
      <c r="BH93" s="174">
        <v>0</v>
      </c>
      <c r="BI93" s="174">
        <v>0</v>
      </c>
      <c r="BJ93" s="174">
        <v>0</v>
      </c>
      <c r="BK93" s="174">
        <v>0</v>
      </c>
      <c r="BL93" s="174">
        <v>0</v>
      </c>
      <c r="BM93" s="174">
        <v>0</v>
      </c>
      <c r="BN93" s="174">
        <v>0</v>
      </c>
      <c r="BO93" s="174">
        <v>0</v>
      </c>
      <c r="BP93" s="174">
        <v>0</v>
      </c>
      <c r="BQ93" s="174">
        <v>0</v>
      </c>
      <c r="BR93" s="174">
        <v>0</v>
      </c>
      <c r="BS93" s="174">
        <v>0</v>
      </c>
      <c r="BT93" s="174">
        <v>0</v>
      </c>
      <c r="BU93" s="174">
        <v>0</v>
      </c>
      <c r="BV93" s="174">
        <v>0</v>
      </c>
      <c r="BW93" s="174">
        <v>0</v>
      </c>
      <c r="BX93" s="174">
        <v>0</v>
      </c>
      <c r="BY93" s="174">
        <v>0</v>
      </c>
      <c r="BZ93" s="174">
        <v>0</v>
      </c>
      <c r="CA93" s="174">
        <v>0</v>
      </c>
      <c r="CB93" s="174">
        <v>0</v>
      </c>
      <c r="CC93" s="174">
        <v>0</v>
      </c>
      <c r="CD93" s="174">
        <v>0</v>
      </c>
      <c r="CE93" s="174">
        <v>0</v>
      </c>
      <c r="CF93" s="174">
        <v>0</v>
      </c>
      <c r="CG93" s="212">
        <v>1</v>
      </c>
      <c r="CH93" s="212"/>
      <c r="CI93" s="212"/>
      <c r="CJ93" s="213"/>
      <c r="CK93" s="213"/>
      <c r="CL93" s="213"/>
      <c r="CM93" s="213"/>
      <c r="CN93" s="213"/>
      <c r="CO93" s="213"/>
      <c r="CP93" s="213"/>
    </row>
    <row r="94" ht="12.75" customHeight="1">
      <c r="A94" s="220" t="s">
        <v>193</v>
      </c>
      <c r="B94" s="220" t="s">
        <v>83</v>
      </c>
      <c r="C94" s="174">
        <v>0</v>
      </c>
      <c r="D94" s="174">
        <v>0</v>
      </c>
      <c r="E94" s="174">
        <v>0</v>
      </c>
      <c r="F94" s="174">
        <v>0</v>
      </c>
      <c r="G94" s="174">
        <v>0</v>
      </c>
      <c r="H94" s="174">
        <v>0</v>
      </c>
      <c r="I94" s="174">
        <v>0</v>
      </c>
      <c r="J94" s="174">
        <v>0</v>
      </c>
      <c r="K94" s="174">
        <v>0</v>
      </c>
      <c r="L94" s="174">
        <v>0</v>
      </c>
      <c r="M94" s="174">
        <v>0</v>
      </c>
      <c r="N94" s="174">
        <v>0</v>
      </c>
      <c r="O94" s="174">
        <v>0</v>
      </c>
      <c r="P94" s="174">
        <v>0</v>
      </c>
      <c r="Q94" s="174">
        <v>0</v>
      </c>
      <c r="R94" s="174">
        <v>0</v>
      </c>
      <c r="S94" s="174">
        <v>0</v>
      </c>
      <c r="T94" s="174">
        <v>0</v>
      </c>
      <c r="U94" s="174">
        <v>0</v>
      </c>
      <c r="V94" s="174">
        <v>0</v>
      </c>
      <c r="W94" s="174">
        <v>0</v>
      </c>
      <c r="X94" s="174">
        <v>0</v>
      </c>
      <c r="Y94" s="174">
        <v>0</v>
      </c>
      <c r="Z94" s="174">
        <v>0</v>
      </c>
      <c r="AA94" s="174">
        <v>0</v>
      </c>
      <c r="AB94" s="174">
        <v>0</v>
      </c>
      <c r="AC94" s="174">
        <v>0</v>
      </c>
      <c r="AD94" s="174">
        <v>0</v>
      </c>
      <c r="AE94" s="174">
        <v>0</v>
      </c>
      <c r="AF94" s="174">
        <v>0</v>
      </c>
      <c r="AG94" s="174">
        <v>0</v>
      </c>
      <c r="AH94" s="174">
        <v>0</v>
      </c>
      <c r="AI94" s="174">
        <v>0</v>
      </c>
      <c r="AJ94" s="174">
        <v>0</v>
      </c>
      <c r="AK94" s="174">
        <v>0</v>
      </c>
      <c r="AL94" s="174">
        <v>0</v>
      </c>
      <c r="AM94" s="174">
        <v>0</v>
      </c>
      <c r="AN94" s="174">
        <v>0</v>
      </c>
      <c r="AO94" s="174">
        <v>0</v>
      </c>
      <c r="AP94" s="174">
        <v>0</v>
      </c>
      <c r="AQ94" s="174">
        <v>0</v>
      </c>
      <c r="AR94" s="174">
        <v>0</v>
      </c>
      <c r="AS94" s="174">
        <v>0</v>
      </c>
      <c r="AT94" s="174">
        <v>0</v>
      </c>
      <c r="AU94" s="174">
        <v>0</v>
      </c>
      <c r="AV94" s="174">
        <v>0</v>
      </c>
      <c r="AW94" s="174">
        <v>0</v>
      </c>
      <c r="AX94" s="174">
        <v>0</v>
      </c>
      <c r="AY94" s="174">
        <v>0</v>
      </c>
      <c r="AZ94" s="174">
        <v>0</v>
      </c>
      <c r="BA94" s="174">
        <v>0</v>
      </c>
      <c r="BB94" s="174">
        <v>0</v>
      </c>
      <c r="BC94" s="174">
        <v>0</v>
      </c>
      <c r="BD94" s="174">
        <v>0</v>
      </c>
      <c r="BE94" s="174">
        <v>0</v>
      </c>
      <c r="BF94" s="174">
        <v>0</v>
      </c>
      <c r="BG94" s="174">
        <v>0</v>
      </c>
      <c r="BH94" s="174">
        <v>0</v>
      </c>
      <c r="BI94" s="174">
        <v>0</v>
      </c>
      <c r="BJ94" s="174">
        <v>0</v>
      </c>
      <c r="BK94" s="174">
        <v>0</v>
      </c>
      <c r="BL94" s="174">
        <v>0</v>
      </c>
      <c r="BM94" s="174">
        <v>0</v>
      </c>
      <c r="BN94" s="174">
        <v>0</v>
      </c>
      <c r="BO94" s="174">
        <v>0</v>
      </c>
      <c r="BP94" s="174">
        <v>0</v>
      </c>
      <c r="BQ94" s="174">
        <v>0</v>
      </c>
      <c r="BR94" s="174">
        <v>0</v>
      </c>
      <c r="BS94" s="174">
        <v>0</v>
      </c>
      <c r="BT94" s="174">
        <v>0</v>
      </c>
      <c r="BU94" s="174">
        <v>0</v>
      </c>
      <c r="BV94" s="174">
        <v>0</v>
      </c>
      <c r="BW94" s="174">
        <v>0</v>
      </c>
      <c r="BX94" s="174">
        <v>0</v>
      </c>
      <c r="BY94" s="174">
        <v>0</v>
      </c>
      <c r="BZ94" s="174">
        <v>0</v>
      </c>
      <c r="CA94" s="174">
        <v>0</v>
      </c>
      <c r="CB94" s="174">
        <v>0</v>
      </c>
      <c r="CC94" s="174">
        <v>0</v>
      </c>
      <c r="CD94" s="174">
        <v>0</v>
      </c>
      <c r="CE94" s="174">
        <v>0</v>
      </c>
      <c r="CF94" s="174">
        <v>0</v>
      </c>
      <c r="CG94" s="174">
        <v>0</v>
      </c>
      <c r="CH94" s="212">
        <v>1</v>
      </c>
      <c r="CI94" s="212"/>
      <c r="CJ94" s="213"/>
      <c r="CK94" s="213"/>
      <c r="CL94" s="213"/>
      <c r="CM94" s="213"/>
      <c r="CN94" s="213"/>
      <c r="CO94" s="213"/>
      <c r="CP94" s="213"/>
    </row>
    <row r="95" ht="12.75" customHeight="1">
      <c r="A95" s="220" t="s">
        <v>194</v>
      </c>
      <c r="B95" s="220" t="s">
        <v>83</v>
      </c>
      <c r="C95" s="174">
        <v>0</v>
      </c>
      <c r="D95" s="174">
        <v>0</v>
      </c>
      <c r="E95" s="174">
        <v>0</v>
      </c>
      <c r="F95" s="174">
        <v>0</v>
      </c>
      <c r="G95" s="174">
        <v>0</v>
      </c>
      <c r="H95" s="174">
        <v>0</v>
      </c>
      <c r="I95" s="174">
        <v>0</v>
      </c>
      <c r="J95" s="174">
        <v>0</v>
      </c>
      <c r="K95" s="174">
        <v>0</v>
      </c>
      <c r="L95" s="174">
        <v>0</v>
      </c>
      <c r="M95" s="174">
        <v>0</v>
      </c>
      <c r="N95" s="174">
        <v>0</v>
      </c>
      <c r="O95" s="174">
        <v>0</v>
      </c>
      <c r="P95" s="174">
        <v>0</v>
      </c>
      <c r="Q95" s="174">
        <v>0</v>
      </c>
      <c r="R95" s="174">
        <v>0</v>
      </c>
      <c r="S95" s="174">
        <v>0</v>
      </c>
      <c r="T95" s="174">
        <v>0</v>
      </c>
      <c r="U95" s="174">
        <v>0</v>
      </c>
      <c r="V95" s="174">
        <v>0</v>
      </c>
      <c r="W95" s="174">
        <v>0</v>
      </c>
      <c r="X95" s="174">
        <v>0</v>
      </c>
      <c r="Y95" s="174">
        <v>0</v>
      </c>
      <c r="Z95" s="174">
        <v>0</v>
      </c>
      <c r="AA95" s="174">
        <v>0</v>
      </c>
      <c r="AB95" s="174">
        <v>0</v>
      </c>
      <c r="AC95" s="174">
        <v>0</v>
      </c>
      <c r="AD95" s="174">
        <v>0</v>
      </c>
      <c r="AE95" s="174">
        <v>0</v>
      </c>
      <c r="AF95" s="174">
        <v>0</v>
      </c>
      <c r="AG95" s="174">
        <v>0</v>
      </c>
      <c r="AH95" s="174">
        <v>0</v>
      </c>
      <c r="AI95" s="174">
        <v>0</v>
      </c>
      <c r="AJ95" s="174">
        <v>0</v>
      </c>
      <c r="AK95" s="174">
        <v>0</v>
      </c>
      <c r="AL95" s="174">
        <v>0</v>
      </c>
      <c r="AM95" s="174">
        <v>0</v>
      </c>
      <c r="AN95" s="174">
        <v>0</v>
      </c>
      <c r="AO95" s="174">
        <v>0</v>
      </c>
      <c r="AP95" s="174">
        <v>0</v>
      </c>
      <c r="AQ95" s="174">
        <v>0</v>
      </c>
      <c r="AR95" s="174">
        <v>0</v>
      </c>
      <c r="AS95" s="174">
        <v>0</v>
      </c>
      <c r="AT95" s="174">
        <v>0</v>
      </c>
      <c r="AU95" s="174">
        <v>0</v>
      </c>
      <c r="AV95" s="174">
        <v>0</v>
      </c>
      <c r="AW95" s="174">
        <v>0</v>
      </c>
      <c r="AX95" s="174">
        <v>0</v>
      </c>
      <c r="AY95" s="174">
        <v>0</v>
      </c>
      <c r="AZ95" s="174">
        <v>0</v>
      </c>
      <c r="BA95" s="174">
        <v>0</v>
      </c>
      <c r="BB95" s="174">
        <v>0</v>
      </c>
      <c r="BC95" s="174">
        <v>0</v>
      </c>
      <c r="BD95" s="174">
        <v>0</v>
      </c>
      <c r="BE95" s="174">
        <v>0</v>
      </c>
      <c r="BF95" s="174">
        <v>0</v>
      </c>
      <c r="BG95" s="174">
        <v>0</v>
      </c>
      <c r="BH95" s="174">
        <v>0</v>
      </c>
      <c r="BI95" s="174">
        <v>0</v>
      </c>
      <c r="BJ95" s="174">
        <v>0</v>
      </c>
      <c r="BK95" s="174">
        <v>0</v>
      </c>
      <c r="BL95" s="174">
        <v>0</v>
      </c>
      <c r="BM95" s="174">
        <v>0</v>
      </c>
      <c r="BN95" s="174">
        <v>0</v>
      </c>
      <c r="BO95" s="174">
        <v>0</v>
      </c>
      <c r="BP95" s="174">
        <v>0</v>
      </c>
      <c r="BQ95" s="174">
        <v>0</v>
      </c>
      <c r="BR95" s="174">
        <v>0</v>
      </c>
      <c r="BS95" s="174">
        <v>0</v>
      </c>
      <c r="BT95" s="174">
        <v>0</v>
      </c>
      <c r="BU95" s="174">
        <v>0</v>
      </c>
      <c r="BV95" s="174">
        <v>0</v>
      </c>
      <c r="BW95" s="174">
        <v>0</v>
      </c>
      <c r="BX95" s="174">
        <v>0</v>
      </c>
      <c r="BY95" s="174">
        <v>0</v>
      </c>
      <c r="BZ95" s="174">
        <v>0</v>
      </c>
      <c r="CA95" s="174">
        <v>0</v>
      </c>
      <c r="CB95" s="174">
        <v>0</v>
      </c>
      <c r="CC95" s="174">
        <v>0</v>
      </c>
      <c r="CD95" s="174">
        <v>0</v>
      </c>
      <c r="CE95" s="174">
        <v>0</v>
      </c>
      <c r="CF95" s="174">
        <v>0</v>
      </c>
      <c r="CG95" s="174">
        <v>0</v>
      </c>
      <c r="CH95" s="174">
        <v>0</v>
      </c>
      <c r="CI95" s="212">
        <v>1</v>
      </c>
      <c r="CJ95" s="213"/>
      <c r="CK95" s="213"/>
      <c r="CL95" s="213"/>
      <c r="CM95" s="213"/>
      <c r="CN95" s="213"/>
      <c r="CO95" s="213"/>
      <c r="CP95" s="213"/>
    </row>
    <row r="96" ht="12.75" customHeight="1">
      <c r="A96" s="220" t="s">
        <v>84</v>
      </c>
      <c r="B96" s="220" t="s">
        <v>83</v>
      </c>
      <c r="C96" s="174">
        <v>0</v>
      </c>
      <c r="D96" s="174">
        <v>0</v>
      </c>
      <c r="E96" s="174">
        <v>0</v>
      </c>
      <c r="F96" s="174">
        <v>0</v>
      </c>
      <c r="G96" s="174">
        <v>0</v>
      </c>
      <c r="H96" s="174">
        <v>0</v>
      </c>
      <c r="I96" s="174">
        <v>0</v>
      </c>
      <c r="J96" s="174">
        <v>0</v>
      </c>
      <c r="K96" s="174">
        <v>0</v>
      </c>
      <c r="L96" s="174">
        <v>0</v>
      </c>
      <c r="M96" s="174">
        <v>0</v>
      </c>
      <c r="N96" s="174">
        <v>0</v>
      </c>
      <c r="O96" s="174">
        <v>0</v>
      </c>
      <c r="P96" s="174">
        <v>0</v>
      </c>
      <c r="Q96" s="174">
        <v>0</v>
      </c>
      <c r="R96" s="174">
        <v>0</v>
      </c>
      <c r="S96" s="174">
        <v>0</v>
      </c>
      <c r="T96" s="174">
        <v>0</v>
      </c>
      <c r="U96" s="174">
        <v>0</v>
      </c>
      <c r="V96" s="174">
        <v>0</v>
      </c>
      <c r="W96" s="174">
        <v>0</v>
      </c>
      <c r="X96" s="174">
        <v>0</v>
      </c>
      <c r="Y96" s="174">
        <v>0</v>
      </c>
      <c r="Z96" s="174">
        <v>0</v>
      </c>
      <c r="AA96" s="174">
        <v>0</v>
      </c>
      <c r="AB96" s="174">
        <v>0</v>
      </c>
      <c r="AC96" s="174">
        <v>0</v>
      </c>
      <c r="AD96" s="174">
        <v>0</v>
      </c>
      <c r="AE96" s="174">
        <v>0</v>
      </c>
      <c r="AF96" s="174">
        <v>0</v>
      </c>
      <c r="AG96" s="174">
        <v>0</v>
      </c>
      <c r="AH96" s="174">
        <v>0</v>
      </c>
      <c r="AI96" s="174">
        <v>0</v>
      </c>
      <c r="AJ96" s="174">
        <v>0</v>
      </c>
      <c r="AK96" s="174">
        <v>0</v>
      </c>
      <c r="AL96" s="174">
        <v>0</v>
      </c>
      <c r="AM96" s="174">
        <v>0</v>
      </c>
      <c r="AN96" s="174">
        <v>0</v>
      </c>
      <c r="AO96" s="174">
        <v>0</v>
      </c>
      <c r="AP96" s="174">
        <v>0</v>
      </c>
      <c r="AQ96" s="174">
        <v>0</v>
      </c>
      <c r="AR96" s="174">
        <v>0</v>
      </c>
      <c r="AS96" s="174">
        <v>0</v>
      </c>
      <c r="AT96" s="174">
        <v>0</v>
      </c>
      <c r="AU96" s="174">
        <v>0</v>
      </c>
      <c r="AV96" s="174">
        <v>0</v>
      </c>
      <c r="AW96" s="174">
        <v>0</v>
      </c>
      <c r="AX96" s="174">
        <v>0</v>
      </c>
      <c r="AY96" s="174">
        <v>0</v>
      </c>
      <c r="AZ96" s="174">
        <v>0</v>
      </c>
      <c r="BA96" s="174">
        <v>0</v>
      </c>
      <c r="BB96" s="174">
        <v>0</v>
      </c>
      <c r="BC96" s="174">
        <v>0</v>
      </c>
      <c r="BD96" s="174">
        <v>0</v>
      </c>
      <c r="BE96" s="174">
        <v>0</v>
      </c>
      <c r="BF96" s="174">
        <v>0</v>
      </c>
      <c r="BG96" s="174">
        <v>0</v>
      </c>
      <c r="BH96" s="174">
        <v>0</v>
      </c>
      <c r="BI96" s="174">
        <v>0</v>
      </c>
      <c r="BJ96" s="174">
        <v>0</v>
      </c>
      <c r="BK96" s="174">
        <v>0</v>
      </c>
      <c r="BL96" s="174">
        <v>0</v>
      </c>
      <c r="BM96" s="174">
        <v>0</v>
      </c>
      <c r="BN96" s="174">
        <v>0</v>
      </c>
      <c r="BO96" s="174">
        <v>0</v>
      </c>
      <c r="BP96" s="174">
        <v>0</v>
      </c>
      <c r="BQ96" s="174">
        <v>0</v>
      </c>
      <c r="BR96" s="174">
        <v>0</v>
      </c>
      <c r="BS96" s="174">
        <v>0</v>
      </c>
      <c r="BT96" s="174">
        <v>0</v>
      </c>
      <c r="BU96" s="174">
        <v>0</v>
      </c>
      <c r="BV96" s="174">
        <v>0</v>
      </c>
      <c r="BW96" s="174">
        <v>0</v>
      </c>
      <c r="BX96" s="174">
        <v>0</v>
      </c>
      <c r="BY96" s="174">
        <v>0</v>
      </c>
      <c r="BZ96" s="174">
        <v>0</v>
      </c>
      <c r="CA96" s="174">
        <v>0</v>
      </c>
      <c r="CB96" s="174">
        <v>0</v>
      </c>
      <c r="CC96" s="174">
        <v>0</v>
      </c>
      <c r="CD96" s="174">
        <v>0</v>
      </c>
      <c r="CE96" s="174">
        <v>0</v>
      </c>
      <c r="CF96" s="174">
        <v>0</v>
      </c>
      <c r="CG96" s="174">
        <v>0</v>
      </c>
      <c r="CH96" s="174">
        <v>0</v>
      </c>
      <c r="CI96" s="174">
        <v>0</v>
      </c>
      <c r="CJ96" s="212">
        <v>1</v>
      </c>
      <c r="CK96" s="213"/>
      <c r="CL96" s="213"/>
      <c r="CM96" s="213"/>
      <c r="CN96" s="213"/>
      <c r="CO96" s="213"/>
      <c r="CP96" s="213"/>
    </row>
    <row r="97" ht="12.75" customHeight="1">
      <c r="A97" s="221" t="s">
        <v>115</v>
      </c>
      <c r="B97" s="221" t="s">
        <v>98</v>
      </c>
      <c r="C97" s="174">
        <v>0</v>
      </c>
      <c r="D97" s="174">
        <v>0</v>
      </c>
      <c r="E97" s="174">
        <v>0</v>
      </c>
      <c r="F97" s="174">
        <v>0</v>
      </c>
      <c r="G97" s="174">
        <v>0</v>
      </c>
      <c r="H97" s="174">
        <v>0</v>
      </c>
      <c r="I97" s="174">
        <v>0</v>
      </c>
      <c r="J97" s="174">
        <v>0</v>
      </c>
      <c r="K97" s="174">
        <v>0</v>
      </c>
      <c r="L97" s="174">
        <v>0</v>
      </c>
      <c r="M97" s="174">
        <v>0</v>
      </c>
      <c r="N97" s="174">
        <v>0</v>
      </c>
      <c r="O97" s="174">
        <v>0</v>
      </c>
      <c r="P97" s="174">
        <v>0</v>
      </c>
      <c r="Q97" s="174">
        <v>0</v>
      </c>
      <c r="R97" s="174">
        <v>0</v>
      </c>
      <c r="S97" s="174">
        <v>0</v>
      </c>
      <c r="T97" s="174">
        <v>0</v>
      </c>
      <c r="U97" s="174">
        <v>0</v>
      </c>
      <c r="V97" s="174">
        <v>0</v>
      </c>
      <c r="W97" s="174">
        <v>0</v>
      </c>
      <c r="X97" s="174">
        <v>0</v>
      </c>
      <c r="Y97" s="174">
        <v>0</v>
      </c>
      <c r="Z97" s="174">
        <v>0</v>
      </c>
      <c r="AA97" s="174">
        <v>0</v>
      </c>
      <c r="AB97" s="174">
        <v>0</v>
      </c>
      <c r="AC97" s="174">
        <v>0</v>
      </c>
      <c r="AD97" s="174">
        <v>0</v>
      </c>
      <c r="AE97" s="174">
        <v>0</v>
      </c>
      <c r="AF97" s="174">
        <v>0</v>
      </c>
      <c r="AG97" s="174">
        <v>0</v>
      </c>
      <c r="AH97" s="174">
        <v>0</v>
      </c>
      <c r="AI97" s="174">
        <v>0</v>
      </c>
      <c r="AJ97" s="174">
        <v>0</v>
      </c>
      <c r="AK97" s="174">
        <v>0</v>
      </c>
      <c r="AL97" s="174">
        <v>0</v>
      </c>
      <c r="AM97" s="174">
        <v>0</v>
      </c>
      <c r="AN97" s="174">
        <v>0</v>
      </c>
      <c r="AO97" s="174">
        <v>0</v>
      </c>
      <c r="AP97" s="174">
        <v>0</v>
      </c>
      <c r="AQ97" s="174">
        <v>0</v>
      </c>
      <c r="AR97" s="174">
        <v>0</v>
      </c>
      <c r="AS97" s="174">
        <v>0</v>
      </c>
      <c r="AT97" s="174">
        <v>0</v>
      </c>
      <c r="AU97" s="174">
        <v>0</v>
      </c>
      <c r="AV97" s="174">
        <v>0</v>
      </c>
      <c r="AW97" s="174">
        <v>0</v>
      </c>
      <c r="AX97" s="174">
        <v>0</v>
      </c>
      <c r="AY97" s="174">
        <v>0</v>
      </c>
      <c r="AZ97" s="174">
        <v>0</v>
      </c>
      <c r="BA97" s="174">
        <v>0</v>
      </c>
      <c r="BB97" s="174">
        <v>0</v>
      </c>
      <c r="BC97" s="174">
        <v>0</v>
      </c>
      <c r="BD97" s="174">
        <v>0</v>
      </c>
      <c r="BE97" s="174">
        <v>0</v>
      </c>
      <c r="BF97" s="174">
        <v>0</v>
      </c>
      <c r="BG97" s="174">
        <v>0</v>
      </c>
      <c r="BH97" s="174">
        <v>0</v>
      </c>
      <c r="BI97" s="174">
        <v>0</v>
      </c>
      <c r="BJ97" s="174">
        <v>0</v>
      </c>
      <c r="BK97" s="174">
        <v>0</v>
      </c>
      <c r="BL97" s="174">
        <v>0</v>
      </c>
      <c r="BM97" s="174">
        <v>0</v>
      </c>
      <c r="BN97" s="174">
        <v>0</v>
      </c>
      <c r="BO97" s="174">
        <v>0</v>
      </c>
      <c r="BP97" s="174">
        <v>0</v>
      </c>
      <c r="BQ97" s="174">
        <v>0</v>
      </c>
      <c r="BR97" s="174">
        <v>0</v>
      </c>
      <c r="BS97" s="174">
        <v>0</v>
      </c>
      <c r="BT97" s="174">
        <v>0</v>
      </c>
      <c r="BU97" s="174">
        <v>0</v>
      </c>
      <c r="BV97" s="174">
        <v>0</v>
      </c>
      <c r="BW97" s="174">
        <v>0</v>
      </c>
      <c r="BX97" s="174">
        <v>0</v>
      </c>
      <c r="BY97" s="174">
        <v>0</v>
      </c>
      <c r="BZ97" s="174">
        <v>0</v>
      </c>
      <c r="CA97" s="174">
        <v>0</v>
      </c>
      <c r="CB97" s="174">
        <v>0</v>
      </c>
      <c r="CC97" s="174">
        <v>0</v>
      </c>
      <c r="CD97" s="174">
        <v>0</v>
      </c>
      <c r="CE97" s="174">
        <v>0</v>
      </c>
      <c r="CF97" s="174">
        <v>0</v>
      </c>
      <c r="CG97" s="174">
        <v>0</v>
      </c>
      <c r="CH97" s="174">
        <v>0</v>
      </c>
      <c r="CI97" s="174">
        <v>0</v>
      </c>
      <c r="CJ97" s="174">
        <v>0</v>
      </c>
      <c r="CK97" s="212">
        <v>1</v>
      </c>
      <c r="CL97" s="213"/>
      <c r="CM97" s="213"/>
      <c r="CN97" s="213"/>
      <c r="CO97" s="213"/>
      <c r="CP97" s="213"/>
    </row>
    <row r="98" ht="12.75" customHeight="1">
      <c r="A98" s="221" t="s">
        <v>115</v>
      </c>
      <c r="B98" s="221" t="s">
        <v>111</v>
      </c>
      <c r="C98" s="174">
        <v>0</v>
      </c>
      <c r="D98" s="174">
        <v>0</v>
      </c>
      <c r="E98" s="174">
        <v>0</v>
      </c>
      <c r="F98" s="174">
        <v>0</v>
      </c>
      <c r="G98" s="174">
        <v>0</v>
      </c>
      <c r="H98" s="174">
        <v>0</v>
      </c>
      <c r="I98" s="174">
        <v>0</v>
      </c>
      <c r="J98" s="174">
        <v>0</v>
      </c>
      <c r="K98" s="174">
        <v>0</v>
      </c>
      <c r="L98" s="174">
        <v>0</v>
      </c>
      <c r="M98" s="174">
        <v>0</v>
      </c>
      <c r="N98" s="174">
        <v>0</v>
      </c>
      <c r="O98" s="174">
        <v>0</v>
      </c>
      <c r="P98" s="174">
        <v>0</v>
      </c>
      <c r="Q98" s="174">
        <v>0</v>
      </c>
      <c r="R98" s="174">
        <v>0</v>
      </c>
      <c r="S98" s="174">
        <v>0</v>
      </c>
      <c r="T98" s="174">
        <v>0</v>
      </c>
      <c r="U98" s="174">
        <v>0</v>
      </c>
      <c r="V98" s="174">
        <v>0</v>
      </c>
      <c r="W98" s="174">
        <v>0</v>
      </c>
      <c r="X98" s="174">
        <v>0</v>
      </c>
      <c r="Y98" s="174">
        <v>0</v>
      </c>
      <c r="Z98" s="174">
        <v>0</v>
      </c>
      <c r="AA98" s="174">
        <v>0</v>
      </c>
      <c r="AB98" s="174">
        <v>0</v>
      </c>
      <c r="AC98" s="174">
        <v>0</v>
      </c>
      <c r="AD98" s="174">
        <v>0</v>
      </c>
      <c r="AE98" s="174">
        <v>0</v>
      </c>
      <c r="AF98" s="174">
        <v>0</v>
      </c>
      <c r="AG98" s="174">
        <v>0</v>
      </c>
      <c r="AH98" s="174">
        <v>0</v>
      </c>
      <c r="AI98" s="174">
        <v>0</v>
      </c>
      <c r="AJ98" s="174">
        <v>0</v>
      </c>
      <c r="AK98" s="174">
        <v>0</v>
      </c>
      <c r="AL98" s="174">
        <v>0</v>
      </c>
      <c r="AM98" s="174">
        <v>0</v>
      </c>
      <c r="AN98" s="174">
        <v>0</v>
      </c>
      <c r="AO98" s="174">
        <v>0</v>
      </c>
      <c r="AP98" s="174">
        <v>0</v>
      </c>
      <c r="AQ98" s="174">
        <v>0</v>
      </c>
      <c r="AR98" s="174">
        <v>0</v>
      </c>
      <c r="AS98" s="174">
        <v>0</v>
      </c>
      <c r="AT98" s="174">
        <v>0</v>
      </c>
      <c r="AU98" s="174">
        <v>0</v>
      </c>
      <c r="AV98" s="174">
        <v>0</v>
      </c>
      <c r="AW98" s="174">
        <v>0</v>
      </c>
      <c r="AX98" s="174">
        <v>0</v>
      </c>
      <c r="AY98" s="174">
        <v>0</v>
      </c>
      <c r="AZ98" s="174">
        <v>0</v>
      </c>
      <c r="BA98" s="174">
        <v>0</v>
      </c>
      <c r="BB98" s="174">
        <v>0</v>
      </c>
      <c r="BC98" s="174">
        <v>0</v>
      </c>
      <c r="BD98" s="174">
        <v>0</v>
      </c>
      <c r="BE98" s="174">
        <v>0</v>
      </c>
      <c r="BF98" s="174">
        <v>0</v>
      </c>
      <c r="BG98" s="174">
        <v>0</v>
      </c>
      <c r="BH98" s="174">
        <v>0</v>
      </c>
      <c r="BI98" s="174">
        <v>0</v>
      </c>
      <c r="BJ98" s="174">
        <v>0</v>
      </c>
      <c r="BK98" s="174">
        <v>0</v>
      </c>
      <c r="BL98" s="174">
        <v>0</v>
      </c>
      <c r="BM98" s="174">
        <v>0</v>
      </c>
      <c r="BN98" s="174">
        <v>0</v>
      </c>
      <c r="BO98" s="174">
        <v>0</v>
      </c>
      <c r="BP98" s="174">
        <v>0</v>
      </c>
      <c r="BQ98" s="174">
        <v>0</v>
      </c>
      <c r="BR98" s="174">
        <v>0</v>
      </c>
      <c r="BS98" s="174">
        <v>0</v>
      </c>
      <c r="BT98" s="174">
        <v>0</v>
      </c>
      <c r="BU98" s="174">
        <v>0</v>
      </c>
      <c r="BV98" s="174">
        <v>0</v>
      </c>
      <c r="BW98" s="174">
        <v>0</v>
      </c>
      <c r="BX98" s="174">
        <v>0</v>
      </c>
      <c r="BY98" s="174">
        <v>0</v>
      </c>
      <c r="BZ98" s="174">
        <v>0</v>
      </c>
      <c r="CA98" s="174">
        <v>0</v>
      </c>
      <c r="CB98" s="174">
        <v>0</v>
      </c>
      <c r="CC98" s="174">
        <v>0</v>
      </c>
      <c r="CD98" s="174">
        <v>0</v>
      </c>
      <c r="CE98" s="174">
        <v>0</v>
      </c>
      <c r="CF98" s="174">
        <v>0</v>
      </c>
      <c r="CG98" s="174">
        <v>0</v>
      </c>
      <c r="CH98" s="174">
        <v>0</v>
      </c>
      <c r="CI98" s="174">
        <v>0</v>
      </c>
      <c r="CJ98" s="174">
        <v>0</v>
      </c>
      <c r="CK98" s="174">
        <v>0</v>
      </c>
      <c r="CL98" s="212">
        <v>1</v>
      </c>
      <c r="CM98" s="213"/>
      <c r="CN98" s="213"/>
      <c r="CO98" s="213"/>
      <c r="CP98" s="213"/>
    </row>
    <row r="99" ht="12.75" customHeight="1">
      <c r="A99" s="221" t="s">
        <v>115</v>
      </c>
      <c r="B99" s="221" t="s">
        <v>104</v>
      </c>
      <c r="C99" s="174">
        <v>0</v>
      </c>
      <c r="D99" s="174">
        <v>0</v>
      </c>
      <c r="E99" s="174">
        <v>0</v>
      </c>
      <c r="F99" s="174">
        <v>0</v>
      </c>
      <c r="G99" s="174">
        <v>0</v>
      </c>
      <c r="H99" s="174">
        <v>0</v>
      </c>
      <c r="I99" s="174">
        <v>0</v>
      </c>
      <c r="J99" s="174">
        <v>0</v>
      </c>
      <c r="K99" s="174">
        <v>0</v>
      </c>
      <c r="L99" s="174">
        <v>0</v>
      </c>
      <c r="M99" s="174">
        <v>0</v>
      </c>
      <c r="N99" s="174">
        <v>0</v>
      </c>
      <c r="O99" s="174">
        <v>0</v>
      </c>
      <c r="P99" s="174">
        <v>0</v>
      </c>
      <c r="Q99" s="174">
        <v>0</v>
      </c>
      <c r="R99" s="174">
        <v>0</v>
      </c>
      <c r="S99" s="174">
        <v>0</v>
      </c>
      <c r="T99" s="174">
        <v>0</v>
      </c>
      <c r="U99" s="174">
        <v>0</v>
      </c>
      <c r="V99" s="174">
        <v>0</v>
      </c>
      <c r="W99" s="174">
        <v>0</v>
      </c>
      <c r="X99" s="174">
        <v>0</v>
      </c>
      <c r="Y99" s="174">
        <v>0</v>
      </c>
      <c r="Z99" s="174">
        <v>0</v>
      </c>
      <c r="AA99" s="174">
        <v>0</v>
      </c>
      <c r="AB99" s="174">
        <v>0</v>
      </c>
      <c r="AC99" s="174">
        <v>0</v>
      </c>
      <c r="AD99" s="174">
        <v>0</v>
      </c>
      <c r="AE99" s="174">
        <v>0</v>
      </c>
      <c r="AF99" s="174">
        <v>0</v>
      </c>
      <c r="AG99" s="174">
        <v>0</v>
      </c>
      <c r="AH99" s="174">
        <v>0</v>
      </c>
      <c r="AI99" s="174">
        <v>0</v>
      </c>
      <c r="AJ99" s="174">
        <v>0</v>
      </c>
      <c r="AK99" s="174">
        <v>0</v>
      </c>
      <c r="AL99" s="174">
        <v>0</v>
      </c>
      <c r="AM99" s="174">
        <v>0</v>
      </c>
      <c r="AN99" s="174">
        <v>0</v>
      </c>
      <c r="AO99" s="174">
        <v>0</v>
      </c>
      <c r="AP99" s="174">
        <v>0</v>
      </c>
      <c r="AQ99" s="174">
        <v>0</v>
      </c>
      <c r="AR99" s="174">
        <v>0</v>
      </c>
      <c r="AS99" s="174">
        <v>0</v>
      </c>
      <c r="AT99" s="174">
        <v>0</v>
      </c>
      <c r="AU99" s="174">
        <v>0</v>
      </c>
      <c r="AV99" s="174">
        <v>0</v>
      </c>
      <c r="AW99" s="174">
        <v>0</v>
      </c>
      <c r="AX99" s="174">
        <v>0</v>
      </c>
      <c r="AY99" s="174">
        <v>0</v>
      </c>
      <c r="AZ99" s="174">
        <v>0</v>
      </c>
      <c r="BA99" s="174">
        <v>0</v>
      </c>
      <c r="BB99" s="174">
        <v>0</v>
      </c>
      <c r="BC99" s="174">
        <v>0</v>
      </c>
      <c r="BD99" s="174">
        <v>0</v>
      </c>
      <c r="BE99" s="174">
        <v>0</v>
      </c>
      <c r="BF99" s="174">
        <v>0</v>
      </c>
      <c r="BG99" s="174">
        <v>0</v>
      </c>
      <c r="BH99" s="174">
        <v>0</v>
      </c>
      <c r="BI99" s="174">
        <v>0</v>
      </c>
      <c r="BJ99" s="174">
        <v>0</v>
      </c>
      <c r="BK99" s="174">
        <v>0</v>
      </c>
      <c r="BL99" s="174">
        <v>0</v>
      </c>
      <c r="BM99" s="174">
        <v>0</v>
      </c>
      <c r="BN99" s="174">
        <v>0</v>
      </c>
      <c r="BO99" s="174">
        <v>0</v>
      </c>
      <c r="BP99" s="174">
        <v>0</v>
      </c>
      <c r="BQ99" s="174">
        <v>0</v>
      </c>
      <c r="BR99" s="174">
        <v>0</v>
      </c>
      <c r="BS99" s="174">
        <v>0</v>
      </c>
      <c r="BT99" s="174">
        <v>0</v>
      </c>
      <c r="BU99" s="174">
        <v>0</v>
      </c>
      <c r="BV99" s="174">
        <v>0</v>
      </c>
      <c r="BW99" s="174">
        <v>0</v>
      </c>
      <c r="BX99" s="174">
        <v>0</v>
      </c>
      <c r="BY99" s="174">
        <v>0</v>
      </c>
      <c r="BZ99" s="174">
        <v>0</v>
      </c>
      <c r="CA99" s="174">
        <v>0</v>
      </c>
      <c r="CB99" s="174">
        <v>0</v>
      </c>
      <c r="CC99" s="174">
        <v>0</v>
      </c>
      <c r="CD99" s="174">
        <v>0</v>
      </c>
      <c r="CE99" s="174">
        <v>0</v>
      </c>
      <c r="CF99" s="174">
        <v>0</v>
      </c>
      <c r="CG99" s="174">
        <v>0</v>
      </c>
      <c r="CH99" s="174">
        <v>0</v>
      </c>
      <c r="CI99" s="174">
        <v>0</v>
      </c>
      <c r="CJ99" s="174">
        <v>0</v>
      </c>
      <c r="CK99" s="174">
        <v>0</v>
      </c>
      <c r="CL99" s="174">
        <v>0</v>
      </c>
      <c r="CM99" s="212">
        <v>1</v>
      </c>
      <c r="CN99" s="213"/>
      <c r="CO99" s="213"/>
      <c r="CP99" s="213"/>
    </row>
    <row r="100" ht="12.75" customHeight="1">
      <c r="A100" s="221" t="s">
        <v>115</v>
      </c>
      <c r="B100" s="221" t="s">
        <v>112</v>
      </c>
      <c r="C100" s="174">
        <v>0</v>
      </c>
      <c r="D100" s="174">
        <v>0</v>
      </c>
      <c r="E100" s="174">
        <v>0</v>
      </c>
      <c r="F100" s="174">
        <v>0</v>
      </c>
      <c r="G100" s="174">
        <v>0</v>
      </c>
      <c r="H100" s="174">
        <v>0</v>
      </c>
      <c r="I100" s="174">
        <v>0</v>
      </c>
      <c r="J100" s="174">
        <v>0</v>
      </c>
      <c r="K100" s="174">
        <v>0</v>
      </c>
      <c r="L100" s="174">
        <v>0</v>
      </c>
      <c r="M100" s="174">
        <v>0</v>
      </c>
      <c r="N100" s="174">
        <v>0</v>
      </c>
      <c r="O100" s="174">
        <v>0</v>
      </c>
      <c r="P100" s="174">
        <v>0</v>
      </c>
      <c r="Q100" s="174">
        <v>0</v>
      </c>
      <c r="R100" s="174">
        <v>0</v>
      </c>
      <c r="S100" s="174">
        <v>0</v>
      </c>
      <c r="T100" s="174">
        <v>0</v>
      </c>
      <c r="U100" s="174">
        <v>0</v>
      </c>
      <c r="V100" s="174">
        <v>0</v>
      </c>
      <c r="W100" s="174">
        <v>0</v>
      </c>
      <c r="X100" s="174">
        <v>0</v>
      </c>
      <c r="Y100" s="174">
        <v>0</v>
      </c>
      <c r="Z100" s="174">
        <v>0</v>
      </c>
      <c r="AA100" s="174">
        <v>0</v>
      </c>
      <c r="AB100" s="174">
        <v>0</v>
      </c>
      <c r="AC100" s="174">
        <v>0</v>
      </c>
      <c r="AD100" s="174">
        <v>0</v>
      </c>
      <c r="AE100" s="174">
        <v>0</v>
      </c>
      <c r="AF100" s="174">
        <v>0</v>
      </c>
      <c r="AG100" s="174">
        <v>0</v>
      </c>
      <c r="AH100" s="174">
        <v>0</v>
      </c>
      <c r="AI100" s="174">
        <v>0</v>
      </c>
      <c r="AJ100" s="174">
        <v>0</v>
      </c>
      <c r="AK100" s="174">
        <v>0</v>
      </c>
      <c r="AL100" s="174">
        <v>0</v>
      </c>
      <c r="AM100" s="174">
        <v>0</v>
      </c>
      <c r="AN100" s="174">
        <v>0</v>
      </c>
      <c r="AO100" s="174">
        <v>0</v>
      </c>
      <c r="AP100" s="174">
        <v>0</v>
      </c>
      <c r="AQ100" s="174">
        <v>0</v>
      </c>
      <c r="AR100" s="174">
        <v>0</v>
      </c>
      <c r="AS100" s="174">
        <v>0</v>
      </c>
      <c r="AT100" s="174">
        <v>0</v>
      </c>
      <c r="AU100" s="174">
        <v>0</v>
      </c>
      <c r="AV100" s="174">
        <v>0</v>
      </c>
      <c r="AW100" s="174">
        <v>0</v>
      </c>
      <c r="AX100" s="174">
        <v>0</v>
      </c>
      <c r="AY100" s="174">
        <v>0</v>
      </c>
      <c r="AZ100" s="174">
        <v>0</v>
      </c>
      <c r="BA100" s="174">
        <v>0</v>
      </c>
      <c r="BB100" s="174">
        <v>0</v>
      </c>
      <c r="BC100" s="174">
        <v>0</v>
      </c>
      <c r="BD100" s="174">
        <v>0</v>
      </c>
      <c r="BE100" s="174">
        <v>0</v>
      </c>
      <c r="BF100" s="174">
        <v>0</v>
      </c>
      <c r="BG100" s="174">
        <v>0</v>
      </c>
      <c r="BH100" s="174">
        <v>0</v>
      </c>
      <c r="BI100" s="174">
        <v>0</v>
      </c>
      <c r="BJ100" s="174">
        <v>0</v>
      </c>
      <c r="BK100" s="174">
        <v>0</v>
      </c>
      <c r="BL100" s="174">
        <v>0</v>
      </c>
      <c r="BM100" s="174">
        <v>0</v>
      </c>
      <c r="BN100" s="174">
        <v>0</v>
      </c>
      <c r="BO100" s="174">
        <v>0</v>
      </c>
      <c r="BP100" s="174">
        <v>0</v>
      </c>
      <c r="BQ100" s="174">
        <v>0</v>
      </c>
      <c r="BR100" s="174">
        <v>0</v>
      </c>
      <c r="BS100" s="174">
        <v>0</v>
      </c>
      <c r="BT100" s="174">
        <v>0</v>
      </c>
      <c r="BU100" s="174">
        <v>0</v>
      </c>
      <c r="BV100" s="174">
        <v>0</v>
      </c>
      <c r="BW100" s="174">
        <v>0</v>
      </c>
      <c r="BX100" s="174">
        <v>0</v>
      </c>
      <c r="BY100" s="174">
        <v>0</v>
      </c>
      <c r="BZ100" s="174">
        <v>0</v>
      </c>
      <c r="CA100" s="174">
        <v>0</v>
      </c>
      <c r="CB100" s="174">
        <v>0</v>
      </c>
      <c r="CC100" s="174">
        <v>0</v>
      </c>
      <c r="CD100" s="174">
        <v>0</v>
      </c>
      <c r="CE100" s="174">
        <v>0</v>
      </c>
      <c r="CF100" s="174">
        <v>0</v>
      </c>
      <c r="CG100" s="174">
        <v>0</v>
      </c>
      <c r="CH100" s="174">
        <v>0</v>
      </c>
      <c r="CI100" s="174">
        <v>0</v>
      </c>
      <c r="CJ100" s="174">
        <v>0</v>
      </c>
      <c r="CK100" s="174">
        <v>0</v>
      </c>
      <c r="CL100" s="174">
        <v>0</v>
      </c>
      <c r="CM100" s="174">
        <v>0</v>
      </c>
      <c r="CN100" s="212">
        <v>1</v>
      </c>
      <c r="CO100" s="213"/>
      <c r="CP100" s="213"/>
    </row>
    <row r="101" ht="12.75" customHeight="1">
      <c r="A101" s="221" t="s">
        <v>115</v>
      </c>
      <c r="B101" s="221" t="s">
        <v>113</v>
      </c>
      <c r="C101" s="174">
        <v>0</v>
      </c>
      <c r="D101" s="174">
        <v>0</v>
      </c>
      <c r="E101" s="174">
        <v>0</v>
      </c>
      <c r="F101" s="174">
        <v>0</v>
      </c>
      <c r="G101" s="174">
        <v>0</v>
      </c>
      <c r="H101" s="174">
        <v>0</v>
      </c>
      <c r="I101" s="174">
        <v>0</v>
      </c>
      <c r="J101" s="174">
        <v>0</v>
      </c>
      <c r="K101" s="174">
        <v>0</v>
      </c>
      <c r="L101" s="174">
        <v>0</v>
      </c>
      <c r="M101" s="174">
        <v>0</v>
      </c>
      <c r="N101" s="174">
        <v>0</v>
      </c>
      <c r="O101" s="174">
        <v>0</v>
      </c>
      <c r="P101" s="174">
        <v>0</v>
      </c>
      <c r="Q101" s="174">
        <v>0</v>
      </c>
      <c r="R101" s="174">
        <v>0</v>
      </c>
      <c r="S101" s="174">
        <v>0</v>
      </c>
      <c r="T101" s="174">
        <v>0</v>
      </c>
      <c r="U101" s="174">
        <v>0</v>
      </c>
      <c r="V101" s="174">
        <v>0</v>
      </c>
      <c r="W101" s="174">
        <v>0</v>
      </c>
      <c r="X101" s="174">
        <v>0</v>
      </c>
      <c r="Y101" s="174">
        <v>0</v>
      </c>
      <c r="Z101" s="174">
        <v>0</v>
      </c>
      <c r="AA101" s="174">
        <v>0</v>
      </c>
      <c r="AB101" s="174">
        <v>0</v>
      </c>
      <c r="AC101" s="174">
        <v>0</v>
      </c>
      <c r="AD101" s="174">
        <v>0</v>
      </c>
      <c r="AE101" s="174">
        <v>0</v>
      </c>
      <c r="AF101" s="174">
        <v>0</v>
      </c>
      <c r="AG101" s="174">
        <v>0</v>
      </c>
      <c r="AH101" s="174">
        <v>0</v>
      </c>
      <c r="AI101" s="174">
        <v>0</v>
      </c>
      <c r="AJ101" s="174">
        <v>0</v>
      </c>
      <c r="AK101" s="174">
        <v>0</v>
      </c>
      <c r="AL101" s="174">
        <v>0</v>
      </c>
      <c r="AM101" s="174">
        <v>0</v>
      </c>
      <c r="AN101" s="174">
        <v>0</v>
      </c>
      <c r="AO101" s="174">
        <v>0</v>
      </c>
      <c r="AP101" s="174">
        <v>0</v>
      </c>
      <c r="AQ101" s="174">
        <v>0</v>
      </c>
      <c r="AR101" s="174">
        <v>0</v>
      </c>
      <c r="AS101" s="174">
        <v>0</v>
      </c>
      <c r="AT101" s="174">
        <v>0</v>
      </c>
      <c r="AU101" s="174">
        <v>0</v>
      </c>
      <c r="AV101" s="174">
        <v>0</v>
      </c>
      <c r="AW101" s="174">
        <v>0</v>
      </c>
      <c r="AX101" s="174">
        <v>0</v>
      </c>
      <c r="AY101" s="174">
        <v>0</v>
      </c>
      <c r="AZ101" s="174">
        <v>0</v>
      </c>
      <c r="BA101" s="174">
        <v>0</v>
      </c>
      <c r="BB101" s="174">
        <v>0</v>
      </c>
      <c r="BC101" s="174">
        <v>0</v>
      </c>
      <c r="BD101" s="174">
        <v>0</v>
      </c>
      <c r="BE101" s="174">
        <v>0</v>
      </c>
      <c r="BF101" s="174">
        <v>0</v>
      </c>
      <c r="BG101" s="174">
        <v>0</v>
      </c>
      <c r="BH101" s="174">
        <v>0</v>
      </c>
      <c r="BI101" s="174">
        <v>0</v>
      </c>
      <c r="BJ101" s="174">
        <v>0</v>
      </c>
      <c r="BK101" s="174">
        <v>0</v>
      </c>
      <c r="BL101" s="174">
        <v>0</v>
      </c>
      <c r="BM101" s="174">
        <v>0</v>
      </c>
      <c r="BN101" s="174">
        <v>0</v>
      </c>
      <c r="BO101" s="174">
        <v>0</v>
      </c>
      <c r="BP101" s="174">
        <v>0</v>
      </c>
      <c r="BQ101" s="174">
        <v>0</v>
      </c>
      <c r="BR101" s="174">
        <v>0</v>
      </c>
      <c r="BS101" s="174">
        <v>0</v>
      </c>
      <c r="BT101" s="174">
        <v>0</v>
      </c>
      <c r="BU101" s="174">
        <v>0</v>
      </c>
      <c r="BV101" s="174">
        <v>0</v>
      </c>
      <c r="BW101" s="174">
        <v>0</v>
      </c>
      <c r="BX101" s="174">
        <v>0</v>
      </c>
      <c r="BY101" s="174">
        <v>0</v>
      </c>
      <c r="BZ101" s="174">
        <v>0</v>
      </c>
      <c r="CA101" s="174">
        <v>0</v>
      </c>
      <c r="CB101" s="174">
        <v>0</v>
      </c>
      <c r="CC101" s="174">
        <v>0</v>
      </c>
      <c r="CD101" s="174">
        <v>0</v>
      </c>
      <c r="CE101" s="174">
        <v>0</v>
      </c>
      <c r="CF101" s="174">
        <v>0</v>
      </c>
      <c r="CG101" s="174">
        <v>0</v>
      </c>
      <c r="CH101" s="174">
        <v>0</v>
      </c>
      <c r="CI101" s="174">
        <v>0</v>
      </c>
      <c r="CJ101" s="174">
        <v>0</v>
      </c>
      <c r="CK101" s="174">
        <v>0</v>
      </c>
      <c r="CL101" s="174">
        <v>0</v>
      </c>
      <c r="CM101" s="174">
        <v>0</v>
      </c>
      <c r="CN101" s="174">
        <v>0</v>
      </c>
      <c r="CO101" s="212">
        <v>1</v>
      </c>
      <c r="CP101" s="213"/>
    </row>
    <row r="102" ht="12.75" customHeight="1">
      <c r="A102" s="221" t="s">
        <v>115</v>
      </c>
      <c r="B102" s="221" t="s">
        <v>114</v>
      </c>
      <c r="C102" s="174">
        <v>0</v>
      </c>
      <c r="D102" s="174">
        <v>0</v>
      </c>
      <c r="E102" s="174">
        <v>0</v>
      </c>
      <c r="F102" s="174">
        <v>0</v>
      </c>
      <c r="G102" s="174">
        <v>0</v>
      </c>
      <c r="H102" s="174">
        <v>0</v>
      </c>
      <c r="I102" s="174">
        <v>0</v>
      </c>
      <c r="J102" s="174">
        <v>0</v>
      </c>
      <c r="K102" s="174">
        <v>0</v>
      </c>
      <c r="L102" s="174">
        <v>0</v>
      </c>
      <c r="M102" s="174">
        <v>0</v>
      </c>
      <c r="N102" s="174">
        <v>0</v>
      </c>
      <c r="O102" s="174">
        <v>0</v>
      </c>
      <c r="P102" s="174">
        <v>0</v>
      </c>
      <c r="Q102" s="174">
        <v>0</v>
      </c>
      <c r="R102" s="174">
        <v>0</v>
      </c>
      <c r="S102" s="174">
        <v>0</v>
      </c>
      <c r="T102" s="174">
        <v>0</v>
      </c>
      <c r="U102" s="174">
        <v>0</v>
      </c>
      <c r="V102" s="174">
        <v>0</v>
      </c>
      <c r="W102" s="174">
        <v>0</v>
      </c>
      <c r="X102" s="174">
        <v>0</v>
      </c>
      <c r="Y102" s="174">
        <v>0</v>
      </c>
      <c r="Z102" s="174">
        <v>0</v>
      </c>
      <c r="AA102" s="174">
        <v>0</v>
      </c>
      <c r="AB102" s="174">
        <v>0</v>
      </c>
      <c r="AC102" s="174">
        <v>0</v>
      </c>
      <c r="AD102" s="174">
        <v>0</v>
      </c>
      <c r="AE102" s="174">
        <v>0</v>
      </c>
      <c r="AF102" s="174">
        <v>0</v>
      </c>
      <c r="AG102" s="174">
        <v>0</v>
      </c>
      <c r="AH102" s="174">
        <v>0</v>
      </c>
      <c r="AI102" s="174">
        <v>0</v>
      </c>
      <c r="AJ102" s="174">
        <v>0</v>
      </c>
      <c r="AK102" s="174">
        <v>0</v>
      </c>
      <c r="AL102" s="174">
        <v>0</v>
      </c>
      <c r="AM102" s="174">
        <v>0</v>
      </c>
      <c r="AN102" s="174">
        <v>0</v>
      </c>
      <c r="AO102" s="174">
        <v>0</v>
      </c>
      <c r="AP102" s="174">
        <v>0</v>
      </c>
      <c r="AQ102" s="174">
        <v>0</v>
      </c>
      <c r="AR102" s="174">
        <v>0</v>
      </c>
      <c r="AS102" s="174">
        <v>0</v>
      </c>
      <c r="AT102" s="174">
        <v>0</v>
      </c>
      <c r="AU102" s="174">
        <v>0</v>
      </c>
      <c r="AV102" s="174">
        <v>0</v>
      </c>
      <c r="AW102" s="174">
        <v>0</v>
      </c>
      <c r="AX102" s="174">
        <v>0</v>
      </c>
      <c r="AY102" s="174">
        <v>0</v>
      </c>
      <c r="AZ102" s="174">
        <v>0</v>
      </c>
      <c r="BA102" s="174">
        <v>0</v>
      </c>
      <c r="BB102" s="174">
        <v>0</v>
      </c>
      <c r="BC102" s="174">
        <v>0</v>
      </c>
      <c r="BD102" s="174">
        <v>0</v>
      </c>
      <c r="BE102" s="174">
        <v>0</v>
      </c>
      <c r="BF102" s="174">
        <v>0</v>
      </c>
      <c r="BG102" s="174">
        <v>0</v>
      </c>
      <c r="BH102" s="174">
        <v>0</v>
      </c>
      <c r="BI102" s="174">
        <v>0</v>
      </c>
      <c r="BJ102" s="174">
        <v>0</v>
      </c>
      <c r="BK102" s="174">
        <v>0</v>
      </c>
      <c r="BL102" s="174">
        <v>0</v>
      </c>
      <c r="BM102" s="174">
        <v>0</v>
      </c>
      <c r="BN102" s="174">
        <v>0</v>
      </c>
      <c r="BO102" s="174">
        <v>0</v>
      </c>
      <c r="BP102" s="174">
        <v>0</v>
      </c>
      <c r="BQ102" s="174">
        <v>0</v>
      </c>
      <c r="BR102" s="174">
        <v>0</v>
      </c>
      <c r="BS102" s="174">
        <v>0</v>
      </c>
      <c r="BT102" s="174">
        <v>0</v>
      </c>
      <c r="BU102" s="174">
        <v>0</v>
      </c>
      <c r="BV102" s="174">
        <v>0</v>
      </c>
      <c r="BW102" s="174">
        <v>0</v>
      </c>
      <c r="BX102" s="174">
        <v>0</v>
      </c>
      <c r="BY102" s="174">
        <v>0</v>
      </c>
      <c r="BZ102" s="174">
        <v>0</v>
      </c>
      <c r="CA102" s="174">
        <v>0</v>
      </c>
      <c r="CB102" s="174">
        <v>0</v>
      </c>
      <c r="CC102" s="174">
        <v>0</v>
      </c>
      <c r="CD102" s="174">
        <v>0</v>
      </c>
      <c r="CE102" s="174">
        <v>0</v>
      </c>
      <c r="CF102" s="174">
        <v>0</v>
      </c>
      <c r="CG102" s="174">
        <v>0</v>
      </c>
      <c r="CH102" s="174">
        <v>0</v>
      </c>
      <c r="CI102" s="174">
        <v>0</v>
      </c>
      <c r="CJ102" s="174">
        <v>0</v>
      </c>
      <c r="CK102" s="174">
        <v>0</v>
      </c>
      <c r="CL102" s="174">
        <v>0</v>
      </c>
      <c r="CM102" s="174">
        <v>0</v>
      </c>
      <c r="CN102" s="174">
        <v>0</v>
      </c>
      <c r="CO102" s="174">
        <v>0</v>
      </c>
      <c r="CP102" s="212">
        <v>1</v>
      </c>
    </row>
  </sheetData>
  <mergeCells>
    <mergeCell ref="O2:Q2"/>
    <mergeCell ref="A1:AF1"/>
  </mergeCells>
  <conditionalFormatting sqref="B8">
    <cfRule type="cellIs" dxfId="1" priority="1" operator="equal">
      <formula>"Negative"</formula>
    </cfRule>
  </conditionalFormatting>
  <dataValidations count="1">
    <dataValidation type="decimal" allowBlank="1" showInputMessage="1" showErrorMessage="1" errorTitle="Error" error="Correlation coefficient should be greater than or equal to -1.0 and less than or equal to 1.0." sqref="Z33 AA33:AA34 AA36:AA53 AJ45:AJ62 AI33:AI62 AW33:AW56 AV33:AV55 AT33:AT53 AL33:AL45 AJ33:AJ43 BF33:BF65 BH33:BH67 BP33:BP75 BQ33:BQ76 BR33:BR77 BS33:BS78 AL47:AL65 AK33:AK65 BT33:CP102 BS80:BS102 BR79:BR102 BQ78:BQ102 BF67:BF102 BI33:BO102 BP77:BP102 AX33:BE102 AO33:AS102 AU33:AU102 AV57:AV102 AT55:AT102 C12:C43 Y33:Y62 Z35:Z56 BH69:BH102 AW58:AW102 AB33:AB58 AC33:AC61 AD33:AD62 AE33:AE61 AF33:AF63 AG33:AH64 AM33:AM65 AN33:AN66 C69:AN102 BG33:BG102">
      <formula1>-1</formula1>
      <formula2>1</formula2>
    </dataValidation>
  </dataValidations>
  <pageMargins left="0.7" right="0.7" top="0.75" bottom="0.75" header="0.3" footer="0.3"/>
  <pageSetup orientation="portrait" r:id="flId1"/>
  <drawing r:id="flId2"/>
</worksheet>
</file>

<file path=xl/worksheets/sheet4.xml><?xml version="1.0" encoding="utf-8"?>
<worksheet xmlns:r="http://schemas.openxmlformats.org/officeDocument/2006/relationships" xmlns="http://schemas.openxmlformats.org/spreadsheetml/2006/main">
  <dimension ref="A1:GN104"/>
  <sheetViews>
    <sheetView topLeftCell="A1" zoomScale="75" zoomScaleNormal="75" workbookViewId="0">
      <pane xSplit="2" ySplit="10" topLeftCell="C11" activePane="bottomRight" state="frozen"/>
      <selection pane="bottomRight" activeCell="A1" sqref="A1:AE1"/>
    </sheetView>
  </sheetViews>
  <sheetFormatPr defaultColWidth="9" defaultRowHeight="14.25"/>
  <cols>
    <col min="1" max="2" width="20.625" customWidth="1"/>
    <col min="3" max="95" width="14.625" customWidth="1"/>
    <col min="105" max="196" width="0" hidden="1" customWidth="1"/>
  </cols>
  <sheetData>
    <row r="1" ht="29.1" customHeight="1">
      <c r="A1" s="328" t="s">
        <v>54</v>
      </c>
      <c r="B1" s="329"/>
      <c r="C1" s="329"/>
      <c r="D1" s="329"/>
      <c r="E1" s="329"/>
      <c r="F1" s="329"/>
      <c r="G1" s="329"/>
      <c r="H1" s="329"/>
      <c r="I1" s="329"/>
      <c r="J1" s="329"/>
      <c r="K1" s="329"/>
      <c r="L1" s="329"/>
      <c r="M1" s="329"/>
      <c r="N1" s="329"/>
      <c r="O1" s="329"/>
      <c r="P1" s="329"/>
      <c r="Q1" s="329"/>
      <c r="R1" s="329"/>
      <c r="S1" s="329"/>
      <c r="T1" s="329"/>
      <c r="U1" s="329"/>
      <c r="V1" s="329"/>
      <c r="W1" s="329"/>
      <c r="X1" s="329"/>
      <c r="Y1" s="329"/>
      <c r="Z1" s="329"/>
      <c r="AA1" s="329"/>
      <c r="AB1" s="329"/>
      <c r="AC1" s="329"/>
      <c r="AD1" s="329"/>
      <c r="AE1" s="329"/>
      <c r="AF1" s="259"/>
      <c r="AG1" s="259"/>
      <c r="AH1" s="259"/>
      <c r="AI1" s="259"/>
      <c r="AJ1" s="259"/>
      <c r="AK1" s="259"/>
      <c r="AL1" s="259"/>
      <c r="AM1" s="259"/>
      <c r="AN1" s="259"/>
      <c r="AO1" s="259"/>
      <c r="AP1" s="259"/>
      <c r="AQ1" s="259"/>
      <c r="AR1" s="259"/>
      <c r="AS1" s="259"/>
      <c r="AT1" s="259"/>
      <c r="AU1" s="259"/>
      <c r="AV1" s="259"/>
      <c r="AW1" s="259"/>
      <c r="AX1" s="259"/>
      <c r="AY1" s="259"/>
      <c r="AZ1" s="259"/>
      <c r="BA1" s="259"/>
      <c r="BB1" s="259"/>
      <c r="BC1" s="259"/>
      <c r="BD1" s="259"/>
      <c r="BE1" s="259"/>
      <c r="BF1" s="259"/>
      <c r="BG1" s="259"/>
      <c r="BH1" s="259"/>
      <c r="BI1" s="259"/>
      <c r="BJ1" s="259"/>
      <c r="BK1" s="259"/>
      <c r="BL1" s="259"/>
      <c r="BM1" s="259"/>
      <c r="BN1" s="259"/>
      <c r="BO1" s="259"/>
      <c r="BP1" s="259"/>
      <c r="BQ1" s="259"/>
      <c r="BR1" s="259"/>
      <c r="BS1" s="259"/>
      <c r="BT1" s="259"/>
      <c r="BU1" s="259"/>
      <c r="BV1" s="259"/>
      <c r="BW1" s="259"/>
      <c r="BX1" s="259"/>
      <c r="BY1" s="259"/>
      <c r="BZ1" s="259"/>
      <c r="CA1" s="259"/>
      <c r="CB1" s="259"/>
      <c r="CC1" s="259"/>
      <c r="CD1" s="259"/>
      <c r="CE1" s="259"/>
      <c r="CF1" s="259"/>
      <c r="CG1" s="259"/>
      <c r="CH1" s="259"/>
      <c r="CI1" s="259"/>
      <c r="CJ1" s="259"/>
      <c r="CK1" s="259"/>
      <c r="CL1" s="259"/>
      <c r="CM1" s="259"/>
      <c r="CN1" s="259"/>
      <c r="CO1" s="259"/>
      <c r="CP1" s="259"/>
      <c r="CQ1" s="260"/>
    </row>
    <row r="2" ht="35.1" customHeight="1">
      <c r="A2" s="277"/>
      <c r="B2" s="240"/>
      <c r="C2" s="240"/>
      <c r="D2" s="240"/>
      <c r="E2" s="240"/>
      <c r="F2" s="240"/>
      <c r="G2" s="240"/>
      <c r="H2" s="240"/>
      <c r="I2" s="240"/>
      <c r="J2" s="240"/>
      <c r="K2" s="240"/>
      <c r="L2" s="240"/>
      <c r="M2" s="240"/>
      <c r="N2" s="330" t="s">
        <v>228</v>
      </c>
      <c r="O2" s="330"/>
      <c r="P2" s="330"/>
      <c r="Q2" s="330"/>
      <c r="R2" s="240"/>
      <c r="S2" s="240"/>
      <c r="T2" s="240"/>
      <c r="U2" s="240"/>
      <c r="V2" s="240"/>
      <c r="W2" s="240"/>
      <c r="X2" s="240"/>
      <c r="Y2" s="240"/>
      <c r="Z2" s="240"/>
      <c r="AA2" s="244"/>
      <c r="AB2" s="244"/>
      <c r="AC2" s="244"/>
      <c r="AD2" s="244"/>
      <c r="AE2" s="244"/>
      <c r="AF2" s="244"/>
      <c r="AG2" s="244"/>
      <c r="AH2" s="244"/>
      <c r="AI2" s="244"/>
      <c r="AJ2" s="244"/>
      <c r="AK2" s="244"/>
      <c r="AL2" s="244"/>
      <c r="AM2" s="244"/>
      <c r="AN2" s="244"/>
      <c r="AO2" s="244"/>
      <c r="AP2" s="244"/>
      <c r="AQ2" s="244"/>
      <c r="AR2" s="244"/>
      <c r="AS2" s="244"/>
      <c r="AT2" s="244"/>
      <c r="AU2" s="244"/>
      <c r="AV2" s="244"/>
      <c r="AW2" s="244"/>
      <c r="AX2" s="244"/>
      <c r="AY2" s="244"/>
      <c r="AZ2" s="244"/>
      <c r="BA2" s="244"/>
      <c r="BB2" s="244"/>
      <c r="BC2" s="244"/>
      <c r="BD2" s="244"/>
      <c r="BE2" s="244"/>
      <c r="BF2" s="244"/>
      <c r="BG2" s="244"/>
      <c r="BH2" s="244"/>
      <c r="BI2" s="244"/>
      <c r="BJ2" s="244"/>
      <c r="BK2" s="244"/>
      <c r="BL2" s="244"/>
      <c r="BM2" s="244"/>
      <c r="BN2" s="244"/>
      <c r="BO2" s="244"/>
      <c r="BP2" s="244"/>
      <c r="BQ2" s="244"/>
      <c r="BR2" s="244"/>
      <c r="BS2" s="244"/>
      <c r="BT2" s="244"/>
      <c r="BU2" s="244"/>
      <c r="BV2" s="244"/>
      <c r="BW2" s="244"/>
      <c r="BX2" s="244"/>
      <c r="BY2" s="244"/>
      <c r="BZ2" s="244"/>
      <c r="CA2" s="244"/>
      <c r="CB2" s="244"/>
      <c r="CC2" s="244"/>
      <c r="CD2" s="244"/>
      <c r="CE2" s="244"/>
      <c r="CF2" s="244"/>
      <c r="CG2" s="244"/>
      <c r="CH2" s="244"/>
      <c r="CI2" s="244"/>
      <c r="CJ2" s="244"/>
      <c r="CK2" s="244"/>
      <c r="CL2" s="244"/>
      <c r="CM2" s="244"/>
      <c r="CN2" s="244"/>
      <c r="CO2" s="244"/>
      <c r="CP2" s="244"/>
      <c r="CQ2" s="257"/>
    </row>
    <row r="3">
      <c r="A3" s="276" t="s">
        <v>0</v>
      </c>
      <c r="B3" s="245" t="s">
        <v>120</v>
      </c>
      <c r="C3" s="245"/>
      <c r="D3" s="246"/>
      <c r="E3" s="246"/>
      <c r="F3" s="246"/>
      <c r="G3" s="280"/>
      <c r="H3" s="280"/>
      <c r="I3" s="240"/>
      <c r="J3" s="240"/>
      <c r="K3" s="240"/>
      <c r="L3" s="240"/>
      <c r="M3" s="247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  <c r="AF3" s="244"/>
      <c r="AG3" s="244"/>
      <c r="AH3" s="244"/>
      <c r="AI3" s="244"/>
      <c r="AJ3" s="244"/>
      <c r="AK3" s="244"/>
      <c r="AL3" s="244"/>
      <c r="AM3" s="244"/>
      <c r="AN3" s="244"/>
      <c r="AO3" s="244"/>
      <c r="AP3" s="244"/>
      <c r="AQ3" s="244"/>
      <c r="AR3" s="244"/>
      <c r="AS3" s="244"/>
      <c r="AT3" s="244"/>
      <c r="AU3" s="244"/>
      <c r="AV3" s="244"/>
      <c r="AW3" s="244"/>
      <c r="AX3" s="244"/>
      <c r="AY3" s="244"/>
      <c r="AZ3" s="244"/>
      <c r="BA3" s="244"/>
      <c r="BB3" s="244"/>
      <c r="BC3" s="244"/>
      <c r="BD3" s="244"/>
      <c r="BE3" s="244"/>
      <c r="BF3" s="244"/>
      <c r="BG3" s="244"/>
      <c r="BH3" s="244"/>
      <c r="BI3" s="244"/>
      <c r="BJ3" s="244"/>
      <c r="BK3" s="244"/>
      <c r="BL3" s="244"/>
      <c r="BM3" s="244"/>
      <c r="BN3" s="244"/>
      <c r="BO3" s="244"/>
      <c r="BP3" s="244"/>
      <c r="BQ3" s="244"/>
      <c r="BR3" s="244"/>
      <c r="BS3" s="244"/>
      <c r="BT3" s="244"/>
      <c r="BU3" s="244"/>
      <c r="BV3" s="244"/>
      <c r="BW3" s="244"/>
      <c r="BX3" s="244"/>
      <c r="BY3" s="244"/>
      <c r="BZ3" s="244"/>
      <c r="CA3" s="244"/>
      <c r="CB3" s="244"/>
      <c r="CC3" s="244"/>
      <c r="CD3" s="244"/>
      <c r="CE3" s="244"/>
      <c r="CF3" s="244"/>
      <c r="CG3" s="244"/>
      <c r="CH3" s="244"/>
      <c r="CI3" s="244"/>
      <c r="CJ3" s="244"/>
      <c r="CK3" s="244"/>
      <c r="CL3" s="244"/>
      <c r="CM3" s="244"/>
      <c r="CN3" s="244"/>
      <c r="CO3" s="244"/>
      <c r="CP3" s="244"/>
      <c r="CQ3" s="257"/>
    </row>
    <row r="4" ht="15" customHeight="1">
      <c r="A4" s="278" t="s">
        <v>1</v>
      </c>
      <c r="B4" s="248" t="s">
        <v>121</v>
      </c>
      <c r="C4" s="248"/>
      <c r="D4" s="249" t="s">
        <v>2</v>
      </c>
      <c r="E4" s="248" t="s">
        <v>124</v>
      </c>
      <c r="F4" s="246"/>
      <c r="G4" s="280"/>
      <c r="H4" s="250"/>
      <c r="I4" s="240"/>
      <c r="J4" s="240"/>
      <c r="K4" s="240"/>
      <c r="L4" s="240"/>
      <c r="M4" s="240"/>
      <c r="N4" s="240"/>
      <c r="O4" s="240"/>
      <c r="P4" s="240"/>
      <c r="Q4" s="240"/>
      <c r="R4" s="240"/>
      <c r="S4" s="240"/>
      <c r="T4" s="240"/>
      <c r="U4" s="240"/>
      <c r="V4" s="240"/>
      <c r="W4" s="244"/>
      <c r="X4" s="244"/>
      <c r="Y4" s="244"/>
      <c r="Z4" s="244"/>
      <c r="AA4" s="244"/>
      <c r="AB4" s="244"/>
      <c r="AC4" s="244"/>
      <c r="AD4" s="244"/>
      <c r="AE4" s="244"/>
      <c r="AF4" s="244"/>
      <c r="AG4" s="244"/>
      <c r="AH4" s="244"/>
      <c r="AI4" s="244"/>
      <c r="AJ4" s="244"/>
      <c r="AK4" s="244"/>
      <c r="AL4" s="244"/>
      <c r="AM4" s="244"/>
      <c r="AN4" s="244"/>
      <c r="AO4" s="244"/>
      <c r="AP4" s="244"/>
      <c r="AQ4" s="244"/>
      <c r="AR4" s="244"/>
      <c r="AS4" s="244"/>
      <c r="AT4" s="244"/>
      <c r="AU4" s="244"/>
      <c r="AV4" s="244"/>
      <c r="AW4" s="244"/>
      <c r="AX4" s="244"/>
      <c r="AY4" s="244"/>
      <c r="AZ4" s="244"/>
      <c r="BA4" s="244"/>
      <c r="BB4" s="244"/>
      <c r="BC4" s="244"/>
      <c r="BD4" s="244"/>
      <c r="BE4" s="244"/>
      <c r="BF4" s="244"/>
      <c r="BG4" s="244"/>
      <c r="BH4" s="244"/>
      <c r="BI4" s="244"/>
      <c r="BJ4" s="244"/>
      <c r="BK4" s="244"/>
      <c r="BL4" s="244"/>
      <c r="BM4" s="244"/>
      <c r="BN4" s="244"/>
      <c r="BO4" s="244"/>
      <c r="BP4" s="244"/>
      <c r="BQ4" s="244"/>
      <c r="BR4" s="244"/>
      <c r="BS4" s="244"/>
      <c r="BT4" s="244"/>
      <c r="BU4" s="244"/>
      <c r="BV4" s="244"/>
      <c r="BW4" s="244"/>
      <c r="BX4" s="244"/>
      <c r="BY4" s="244"/>
      <c r="BZ4" s="244"/>
      <c r="CA4" s="244"/>
      <c r="CB4" s="244"/>
      <c r="CC4" s="244"/>
      <c r="CD4" s="244"/>
      <c r="CE4" s="244"/>
      <c r="CF4" s="244"/>
      <c r="CG4" s="244"/>
      <c r="CH4" s="244"/>
      <c r="CI4" s="244"/>
      <c r="CJ4" s="244"/>
      <c r="CK4" s="244"/>
      <c r="CL4" s="244"/>
      <c r="CM4" s="244"/>
      <c r="CN4" s="244"/>
      <c r="CO4" s="244"/>
      <c r="CP4" s="244"/>
      <c r="CQ4" s="257"/>
    </row>
    <row r="5" ht="15" customHeight="1">
      <c r="A5" s="276" t="s">
        <v>3</v>
      </c>
      <c r="B5" s="245" t="s">
        <v>122</v>
      </c>
      <c r="C5" s="245"/>
      <c r="D5" s="251" t="s">
        <v>4</v>
      </c>
      <c r="E5" s="248" t="s">
        <v>125</v>
      </c>
      <c r="F5" s="250"/>
      <c r="G5" s="250"/>
      <c r="H5" s="250"/>
      <c r="I5" s="240"/>
      <c r="J5" s="240"/>
      <c r="K5" s="240"/>
      <c r="L5" s="240"/>
      <c r="M5" s="240"/>
      <c r="N5" s="240"/>
      <c r="O5" s="240"/>
      <c r="P5" s="240"/>
      <c r="Q5" s="240"/>
      <c r="R5" s="240"/>
      <c r="S5" s="240"/>
      <c r="T5" s="240"/>
      <c r="U5" s="240"/>
      <c r="V5" s="240"/>
      <c r="W5" s="244"/>
      <c r="X5" s="244"/>
      <c r="Y5" s="244"/>
      <c r="Z5" s="244"/>
      <c r="AA5" s="244"/>
      <c r="AB5" s="244"/>
      <c r="AC5" s="244"/>
      <c r="AD5" s="244"/>
      <c r="AE5" s="244"/>
      <c r="AF5" s="244"/>
      <c r="AG5" s="244"/>
      <c r="AH5" s="244"/>
      <c r="AI5" s="244"/>
      <c r="AJ5" s="244"/>
      <c r="AK5" s="244"/>
      <c r="AL5" s="244"/>
      <c r="AM5" s="244"/>
      <c r="AN5" s="244"/>
      <c r="AO5" s="244"/>
      <c r="AP5" s="244"/>
      <c r="AQ5" s="244"/>
      <c r="AR5" s="244"/>
      <c r="AS5" s="244"/>
      <c r="AT5" s="244"/>
      <c r="AU5" s="244"/>
      <c r="AV5" s="244"/>
      <c r="AW5" s="244"/>
      <c r="AX5" s="244"/>
      <c r="AY5" s="244"/>
      <c r="AZ5" s="244"/>
      <c r="BA5" s="244"/>
      <c r="BB5" s="244"/>
      <c r="BC5" s="244"/>
      <c r="BD5" s="244"/>
      <c r="BE5" s="244"/>
      <c r="BF5" s="244"/>
      <c r="BG5" s="244"/>
      <c r="BH5" s="244"/>
      <c r="BI5" s="244"/>
      <c r="BJ5" s="244"/>
      <c r="BK5" s="244"/>
      <c r="BL5" s="244"/>
      <c r="BM5" s="244"/>
      <c r="BN5" s="244"/>
      <c r="BO5" s="244"/>
      <c r="BP5" s="244"/>
      <c r="BQ5" s="244"/>
      <c r="BR5" s="244"/>
      <c r="BS5" s="244"/>
      <c r="BT5" s="244"/>
      <c r="BU5" s="244"/>
      <c r="BV5" s="244"/>
      <c r="BW5" s="244"/>
      <c r="BX5" s="244"/>
      <c r="BY5" s="244"/>
      <c r="BZ5" s="244"/>
      <c r="CA5" s="244"/>
      <c r="CB5" s="244"/>
      <c r="CC5" s="244"/>
      <c r="CD5" s="244"/>
      <c r="CE5" s="244"/>
      <c r="CF5" s="244"/>
      <c r="CG5" s="244"/>
      <c r="CH5" s="244"/>
      <c r="CI5" s="244"/>
      <c r="CJ5" s="244"/>
      <c r="CK5" s="244"/>
      <c r="CL5" s="244"/>
      <c r="CM5" s="244"/>
      <c r="CN5" s="244"/>
      <c r="CO5" s="244"/>
      <c r="CP5" s="244"/>
      <c r="CQ5" s="257"/>
    </row>
    <row r="6" ht="15" customHeight="1">
      <c r="A6" s="276" t="s">
        <v>6</v>
      </c>
      <c r="B6" s="245" t="s">
        <v>123</v>
      </c>
      <c r="C6" s="245"/>
      <c r="D6" s="251" t="s">
        <v>7</v>
      </c>
      <c r="E6" s="245" t="s">
        <v>126</v>
      </c>
      <c r="F6" s="250"/>
      <c r="G6" s="250"/>
      <c r="H6" s="250"/>
      <c r="I6" s="240"/>
      <c r="J6" s="240"/>
      <c r="K6" s="240"/>
      <c r="L6" s="240"/>
      <c r="M6" s="240"/>
      <c r="N6" s="240"/>
      <c r="O6" s="240"/>
      <c r="P6" s="240"/>
      <c r="Q6" s="240"/>
      <c r="R6" s="240"/>
      <c r="S6" s="240"/>
      <c r="T6" s="240"/>
      <c r="U6" s="240"/>
      <c r="V6" s="240"/>
      <c r="W6" s="244"/>
      <c r="X6" s="244"/>
      <c r="Y6" s="244"/>
      <c r="Z6" s="244"/>
      <c r="AA6" s="244"/>
      <c r="AB6" s="244"/>
      <c r="AC6" s="244"/>
      <c r="AD6" s="244"/>
      <c r="AE6" s="244"/>
      <c r="AF6" s="244"/>
      <c r="AG6" s="244"/>
      <c r="AH6" s="244"/>
      <c r="AI6" s="244"/>
      <c r="AJ6" s="244"/>
      <c r="AK6" s="244"/>
      <c r="AL6" s="244"/>
      <c r="AM6" s="244"/>
      <c r="AN6" s="244"/>
      <c r="AO6" s="244"/>
      <c r="AP6" s="244"/>
      <c r="AQ6" s="244"/>
      <c r="AR6" s="244"/>
      <c r="AS6" s="244"/>
      <c r="AT6" s="244"/>
      <c r="AU6" s="244"/>
      <c r="AV6" s="244"/>
      <c r="AW6" s="244"/>
      <c r="AX6" s="244"/>
      <c r="AY6" s="244"/>
      <c r="AZ6" s="244"/>
      <c r="BA6" s="244"/>
      <c r="BB6" s="244"/>
      <c r="BC6" s="244"/>
      <c r="BD6" s="244"/>
      <c r="BE6" s="244"/>
      <c r="BF6" s="244"/>
      <c r="BG6" s="244"/>
      <c r="BH6" s="244"/>
      <c r="BI6" s="244"/>
      <c r="BJ6" s="244"/>
      <c r="BK6" s="244"/>
      <c r="BL6" s="244"/>
      <c r="BM6" s="244"/>
      <c r="BN6" s="244"/>
      <c r="BO6" s="244"/>
      <c r="BP6" s="244"/>
      <c r="BQ6" s="244"/>
      <c r="BR6" s="244"/>
      <c r="BS6" s="244"/>
      <c r="BT6" s="244"/>
      <c r="BU6" s="244"/>
      <c r="BV6" s="244"/>
      <c r="BW6" s="244"/>
      <c r="BX6" s="244"/>
      <c r="BY6" s="244"/>
      <c r="BZ6" s="244"/>
      <c r="CA6" s="244"/>
      <c r="CB6" s="244"/>
      <c r="CC6" s="244"/>
      <c r="CD6" s="244"/>
      <c r="CE6" s="244"/>
      <c r="CF6" s="244"/>
      <c r="CG6" s="244"/>
      <c r="CH6" s="244"/>
      <c r="CI6" s="244"/>
      <c r="CJ6" s="244"/>
      <c r="CK6" s="244"/>
      <c r="CL6" s="244"/>
      <c r="CM6" s="244"/>
      <c r="CN6" s="244"/>
      <c r="CO6" s="244"/>
      <c r="CP6" s="244"/>
      <c r="CQ6" s="257"/>
    </row>
    <row r="7" ht="15" customHeight="1">
      <c r="A7" s="279" t="s">
        <v>8</v>
      </c>
      <c r="B7" s="245" t="s">
        <v>128</v>
      </c>
      <c r="C7" s="245"/>
      <c r="D7" s="251" t="s">
        <v>5</v>
      </c>
      <c r="E7" s="248" t="s">
        <v>127</v>
      </c>
      <c r="F7" s="250"/>
      <c r="G7" s="250"/>
      <c r="H7" s="25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240"/>
      <c r="W7" s="244"/>
      <c r="X7" s="244"/>
      <c r="Y7" s="244"/>
      <c r="Z7" s="244"/>
      <c r="AA7" s="244"/>
      <c r="AB7" s="244"/>
      <c r="AC7" s="244"/>
      <c r="AD7" s="244"/>
      <c r="AE7" s="244"/>
      <c r="AF7" s="244"/>
      <c r="AG7" s="244"/>
      <c r="AH7" s="244"/>
      <c r="AI7" s="244"/>
      <c r="AJ7" s="244"/>
      <c r="AK7" s="244"/>
      <c r="AL7" s="244"/>
      <c r="AM7" s="244"/>
      <c r="AN7" s="244"/>
      <c r="AO7" s="244"/>
      <c r="AP7" s="244"/>
      <c r="AQ7" s="244"/>
      <c r="AR7" s="244"/>
      <c r="AS7" s="244"/>
      <c r="AT7" s="244"/>
      <c r="AU7" s="244"/>
      <c r="AV7" s="244"/>
      <c r="AW7" s="244"/>
      <c r="AX7" s="244"/>
      <c r="AY7" s="244"/>
      <c r="AZ7" s="244"/>
      <c r="BA7" s="244"/>
      <c r="BB7" s="244"/>
      <c r="BC7" s="244"/>
      <c r="BD7" s="244"/>
      <c r="BE7" s="244"/>
      <c r="BF7" s="244"/>
      <c r="BG7" s="244"/>
      <c r="BH7" s="244"/>
      <c r="BI7" s="244"/>
      <c r="BJ7" s="244"/>
      <c r="BK7" s="244"/>
      <c r="BL7" s="244"/>
      <c r="BM7" s="244"/>
      <c r="BN7" s="244"/>
      <c r="BO7" s="244"/>
      <c r="BP7" s="244"/>
      <c r="BQ7" s="244"/>
      <c r="BR7" s="244"/>
      <c r="BS7" s="244"/>
      <c r="BT7" s="244"/>
      <c r="BU7" s="244"/>
      <c r="BV7" s="244"/>
      <c r="BW7" s="244"/>
      <c r="BX7" s="244"/>
      <c r="BY7" s="244"/>
      <c r="BZ7" s="244"/>
      <c r="CA7" s="244"/>
      <c r="CB7" s="244"/>
      <c r="CC7" s="244"/>
      <c r="CD7" s="244"/>
      <c r="CE7" s="244"/>
      <c r="CF7" s="244"/>
      <c r="CG7" s="244"/>
      <c r="CH7" s="244"/>
      <c r="CI7" s="244"/>
      <c r="CJ7" s="244"/>
      <c r="CK7" s="244"/>
      <c r="CL7" s="244"/>
      <c r="CM7" s="244"/>
      <c r="CN7" s="244"/>
      <c r="CO7" s="244"/>
      <c r="CP7" s="244"/>
      <c r="CQ7" s="257"/>
    </row>
    <row r="8" ht="15" customHeight="1">
      <c r="A8" s="261" t="s">
        <v>229</v>
      </c>
      <c r="B8" s="253" t="str">
        <f ca="1">IF(MIN(CQ11:CQ102)&gt;0,"Positive","Negative")</f>
        <v>Positive</v>
      </c>
      <c r="C8" s="253"/>
      <c r="D8" s="252"/>
      <c r="E8" s="254"/>
      <c r="F8" s="255"/>
      <c r="G8" s="255"/>
      <c r="H8" s="255"/>
      <c r="I8" s="241"/>
      <c r="J8" s="241"/>
      <c r="K8" s="241"/>
      <c r="L8" s="241"/>
      <c r="M8" s="241"/>
      <c r="N8" s="241"/>
      <c r="O8" s="241"/>
      <c r="P8" s="241"/>
      <c r="Q8" s="241"/>
      <c r="R8" s="241"/>
      <c r="S8" s="241"/>
      <c r="T8" s="241"/>
      <c r="U8" s="241"/>
      <c r="V8" s="241"/>
      <c r="W8" s="241"/>
      <c r="X8" s="241"/>
      <c r="Y8" s="241"/>
      <c r="Z8" s="241"/>
      <c r="AA8" s="241"/>
      <c r="AB8" s="241"/>
      <c r="AC8" s="241"/>
      <c r="AD8" s="241"/>
      <c r="AE8" s="241"/>
      <c r="AF8" s="256"/>
      <c r="AG8" s="256"/>
      <c r="AH8" s="256"/>
      <c r="AI8" s="256"/>
      <c r="AJ8" s="256"/>
      <c r="AK8" s="256"/>
      <c r="AL8" s="256"/>
      <c r="AM8" s="256"/>
      <c r="AN8" s="256"/>
      <c r="AO8" s="256"/>
      <c r="AP8" s="256"/>
      <c r="AQ8" s="256"/>
      <c r="AR8" s="256"/>
      <c r="AS8" s="256"/>
      <c r="AT8" s="256"/>
      <c r="AU8" s="256"/>
      <c r="AV8" s="256"/>
      <c r="AW8" s="256"/>
      <c r="AX8" s="256"/>
      <c r="AY8" s="256"/>
      <c r="AZ8" s="256"/>
      <c r="BA8" s="256"/>
      <c r="BB8" s="256"/>
      <c r="BC8" s="256"/>
      <c r="BD8" s="256"/>
      <c r="BE8" s="256"/>
      <c r="BF8" s="256"/>
      <c r="BG8" s="256"/>
      <c r="BH8" s="256"/>
      <c r="BI8" s="256"/>
      <c r="BJ8" s="256"/>
      <c r="BK8" s="256"/>
      <c r="BL8" s="256"/>
      <c r="BM8" s="256"/>
      <c r="BN8" s="256"/>
      <c r="BO8" s="256"/>
      <c r="BP8" s="256"/>
      <c r="BQ8" s="256"/>
      <c r="BR8" s="256"/>
      <c r="BS8" s="256"/>
      <c r="BT8" s="256"/>
      <c r="BU8" s="256"/>
      <c r="BV8" s="256"/>
      <c r="BW8" s="256"/>
      <c r="BX8" s="256"/>
      <c r="BY8" s="256"/>
      <c r="BZ8" s="256"/>
      <c r="CA8" s="256"/>
      <c r="CB8" s="256"/>
      <c r="CC8" s="256"/>
      <c r="CD8" s="256"/>
      <c r="CE8" s="256"/>
      <c r="CF8" s="256"/>
      <c r="CG8" s="256"/>
      <c r="CH8" s="256"/>
      <c r="CI8" s="256"/>
      <c r="CJ8" s="256"/>
      <c r="CK8" s="256"/>
      <c r="CL8" s="256"/>
      <c r="CM8" s="256"/>
      <c r="CN8" s="256"/>
      <c r="CO8" s="256"/>
      <c r="CP8" s="256"/>
      <c r="CQ8" s="258"/>
    </row>
    <row r="9" ht="32.1" customHeight="1">
      <c r="A9" s="282" t="s">
        <v>10</v>
      </c>
      <c r="B9" s="282"/>
      <c r="C9" s="224" t="s">
        <v>171</v>
      </c>
      <c r="D9" s="224" t="s">
        <v>172</v>
      </c>
      <c r="E9" s="225" t="s">
        <v>175</v>
      </c>
      <c r="F9" s="225" t="s">
        <v>173</v>
      </c>
      <c r="G9" s="225" t="s">
        <v>176</v>
      </c>
      <c r="H9" s="226" t="s">
        <v>177</v>
      </c>
      <c r="I9" s="226" t="s">
        <v>179</v>
      </c>
      <c r="J9" s="226" t="s">
        <v>189</v>
      </c>
      <c r="K9" s="226" t="s">
        <v>178</v>
      </c>
      <c r="L9" s="226" t="s">
        <v>190</v>
      </c>
      <c r="M9" s="225" t="s">
        <v>85</v>
      </c>
      <c r="N9" s="225" t="s">
        <v>227</v>
      </c>
      <c r="O9" s="225" t="s">
        <v>191</v>
      </c>
      <c r="P9" s="225" t="s">
        <v>180</v>
      </c>
      <c r="Q9" s="225" t="s">
        <v>181</v>
      </c>
      <c r="R9" s="225" t="s">
        <v>182</v>
      </c>
      <c r="S9" s="226" t="s">
        <v>184</v>
      </c>
      <c r="T9" s="226" t="s">
        <v>183</v>
      </c>
      <c r="U9" s="226" t="s">
        <v>192</v>
      </c>
      <c r="V9" s="226" t="s">
        <v>193</v>
      </c>
      <c r="W9" s="226" t="s">
        <v>194</v>
      </c>
      <c r="X9" s="225" t="s">
        <v>84</v>
      </c>
      <c r="Y9" s="234" t="s">
        <v>175</v>
      </c>
      <c r="Z9" s="234" t="s">
        <v>173</v>
      </c>
      <c r="AA9" s="234" t="s">
        <v>176</v>
      </c>
      <c r="AB9" s="234" t="s">
        <v>177</v>
      </c>
      <c r="AC9" s="234" t="s">
        <v>179</v>
      </c>
      <c r="AD9" s="234" t="s">
        <v>189</v>
      </c>
      <c r="AE9" s="234" t="s">
        <v>178</v>
      </c>
      <c r="AF9" s="234" t="s">
        <v>190</v>
      </c>
      <c r="AG9" s="234" t="s">
        <v>85</v>
      </c>
      <c r="AH9" s="234" t="s">
        <v>227</v>
      </c>
      <c r="AI9" s="234" t="s">
        <v>191</v>
      </c>
      <c r="AJ9" s="234" t="s">
        <v>180</v>
      </c>
      <c r="AK9" s="234" t="s">
        <v>181</v>
      </c>
      <c r="AL9" s="234" t="s">
        <v>182</v>
      </c>
      <c r="AM9" s="234" t="s">
        <v>184</v>
      </c>
      <c r="AN9" s="234" t="s">
        <v>183</v>
      </c>
      <c r="AO9" s="234" t="s">
        <v>192</v>
      </c>
      <c r="AP9" s="234" t="s">
        <v>193</v>
      </c>
      <c r="AQ9" s="234" t="s">
        <v>194</v>
      </c>
      <c r="AR9" s="234" t="s">
        <v>84</v>
      </c>
      <c r="AS9" s="235" t="s">
        <v>171</v>
      </c>
      <c r="AT9" s="235" t="s">
        <v>172</v>
      </c>
      <c r="AU9" s="235" t="s">
        <v>175</v>
      </c>
      <c r="AV9" s="235" t="s">
        <v>173</v>
      </c>
      <c r="AW9" s="235" t="s">
        <v>176</v>
      </c>
      <c r="AX9" s="235" t="s">
        <v>177</v>
      </c>
      <c r="AY9" s="235" t="s">
        <v>179</v>
      </c>
      <c r="AZ9" s="235" t="s">
        <v>189</v>
      </c>
      <c r="BA9" s="235" t="s">
        <v>178</v>
      </c>
      <c r="BB9" s="235" t="s">
        <v>190</v>
      </c>
      <c r="BC9" s="235" t="s">
        <v>85</v>
      </c>
      <c r="BD9" s="235" t="s">
        <v>227</v>
      </c>
      <c r="BE9" s="235" t="s">
        <v>191</v>
      </c>
      <c r="BF9" s="235" t="s">
        <v>180</v>
      </c>
      <c r="BG9" s="235" t="s">
        <v>181</v>
      </c>
      <c r="BH9" s="235" t="s">
        <v>182</v>
      </c>
      <c r="BI9" s="235" t="s">
        <v>184</v>
      </c>
      <c r="BJ9" s="235" t="s">
        <v>183</v>
      </c>
      <c r="BK9" s="235" t="s">
        <v>192</v>
      </c>
      <c r="BL9" s="235" t="s">
        <v>193</v>
      </c>
      <c r="BM9" s="235" t="s">
        <v>194</v>
      </c>
      <c r="BN9" s="235" t="s">
        <v>84</v>
      </c>
      <c r="BO9" s="236" t="s">
        <v>171</v>
      </c>
      <c r="BP9" s="236" t="s">
        <v>172</v>
      </c>
      <c r="BQ9" s="236" t="s">
        <v>175</v>
      </c>
      <c r="BR9" s="236" t="s">
        <v>173</v>
      </c>
      <c r="BS9" s="236" t="s">
        <v>176</v>
      </c>
      <c r="BT9" s="236" t="s">
        <v>177</v>
      </c>
      <c r="BU9" s="236" t="s">
        <v>179</v>
      </c>
      <c r="BV9" s="236" t="s">
        <v>189</v>
      </c>
      <c r="BW9" s="236" t="s">
        <v>178</v>
      </c>
      <c r="BX9" s="236" t="s">
        <v>190</v>
      </c>
      <c r="BY9" s="236" t="s">
        <v>85</v>
      </c>
      <c r="BZ9" s="236" t="s">
        <v>227</v>
      </c>
      <c r="CA9" s="236" t="s">
        <v>191</v>
      </c>
      <c r="CB9" s="236" t="s">
        <v>180</v>
      </c>
      <c r="CC9" s="236" t="s">
        <v>181</v>
      </c>
      <c r="CD9" s="236" t="s">
        <v>182</v>
      </c>
      <c r="CE9" s="236" t="s">
        <v>184</v>
      </c>
      <c r="CF9" s="236" t="s">
        <v>183</v>
      </c>
      <c r="CG9" s="236" t="s">
        <v>192</v>
      </c>
      <c r="CH9" s="236" t="s">
        <v>193</v>
      </c>
      <c r="CI9" s="236" t="s">
        <v>194</v>
      </c>
      <c r="CJ9" s="236" t="s">
        <v>84</v>
      </c>
      <c r="CK9" s="237" t="s">
        <v>115</v>
      </c>
      <c r="CL9" s="237" t="s">
        <v>115</v>
      </c>
      <c r="CM9" s="237" t="s">
        <v>115</v>
      </c>
      <c r="CN9" s="237" t="s">
        <v>115</v>
      </c>
      <c r="CO9" s="237" t="s">
        <v>115</v>
      </c>
      <c r="CP9" s="237" t="s">
        <v>115</v>
      </c>
      <c r="CQ9" s="331" t="s">
        <v>237</v>
      </c>
    </row>
    <row r="10" ht="32.1" customHeight="1">
      <c r="A10" s="282"/>
      <c r="B10" s="282" t="s">
        <v>75</v>
      </c>
      <c r="C10" s="231" t="s">
        <v>87</v>
      </c>
      <c r="D10" s="231" t="s">
        <v>87</v>
      </c>
      <c r="E10" s="232" t="s">
        <v>174</v>
      </c>
      <c r="F10" s="232" t="s">
        <v>174</v>
      </c>
      <c r="G10" s="232" t="s">
        <v>174</v>
      </c>
      <c r="H10" s="232" t="s">
        <v>174</v>
      </c>
      <c r="I10" s="232" t="s">
        <v>174</v>
      </c>
      <c r="J10" s="232" t="s">
        <v>174</v>
      </c>
      <c r="K10" s="232" t="s">
        <v>174</v>
      </c>
      <c r="L10" s="232" t="s">
        <v>174</v>
      </c>
      <c r="M10" s="232" t="s">
        <v>174</v>
      </c>
      <c r="N10" s="232" t="s">
        <v>174</v>
      </c>
      <c r="O10" s="232" t="s">
        <v>174</v>
      </c>
      <c r="P10" s="232" t="s">
        <v>174</v>
      </c>
      <c r="Q10" s="232" t="s">
        <v>174</v>
      </c>
      <c r="R10" s="232" t="s">
        <v>174</v>
      </c>
      <c r="S10" s="232" t="s">
        <v>174</v>
      </c>
      <c r="T10" s="232" t="s">
        <v>174</v>
      </c>
      <c r="U10" s="232" t="s">
        <v>174</v>
      </c>
      <c r="V10" s="232" t="s">
        <v>174</v>
      </c>
      <c r="W10" s="232" t="s">
        <v>174</v>
      </c>
      <c r="X10" s="232" t="s">
        <v>174</v>
      </c>
      <c r="Y10" s="227" t="s">
        <v>185</v>
      </c>
      <c r="Z10" s="227" t="s">
        <v>185</v>
      </c>
      <c r="AA10" s="227" t="s">
        <v>185</v>
      </c>
      <c r="AB10" s="227" t="s">
        <v>185</v>
      </c>
      <c r="AC10" s="227" t="s">
        <v>185</v>
      </c>
      <c r="AD10" s="227" t="s">
        <v>185</v>
      </c>
      <c r="AE10" s="227" t="s">
        <v>185</v>
      </c>
      <c r="AF10" s="227" t="s">
        <v>185</v>
      </c>
      <c r="AG10" s="227" t="s">
        <v>185</v>
      </c>
      <c r="AH10" s="227" t="s">
        <v>185</v>
      </c>
      <c r="AI10" s="227" t="s">
        <v>185</v>
      </c>
      <c r="AJ10" s="227" t="s">
        <v>185</v>
      </c>
      <c r="AK10" s="227" t="s">
        <v>185</v>
      </c>
      <c r="AL10" s="227" t="s">
        <v>185</v>
      </c>
      <c r="AM10" s="227" t="s">
        <v>185</v>
      </c>
      <c r="AN10" s="227" t="s">
        <v>185</v>
      </c>
      <c r="AO10" s="227" t="s">
        <v>185</v>
      </c>
      <c r="AP10" s="227" t="s">
        <v>185</v>
      </c>
      <c r="AQ10" s="227" t="s">
        <v>185</v>
      </c>
      <c r="AR10" s="227" t="s">
        <v>185</v>
      </c>
      <c r="AS10" s="228" t="s">
        <v>86</v>
      </c>
      <c r="AT10" s="228" t="s">
        <v>86</v>
      </c>
      <c r="AU10" s="228" t="s">
        <v>86</v>
      </c>
      <c r="AV10" s="228" t="s">
        <v>86</v>
      </c>
      <c r="AW10" s="228" t="s">
        <v>86</v>
      </c>
      <c r="AX10" s="228" t="s">
        <v>86</v>
      </c>
      <c r="AY10" s="228" t="s">
        <v>86</v>
      </c>
      <c r="AZ10" s="228" t="s">
        <v>86</v>
      </c>
      <c r="BA10" s="228" t="s">
        <v>86</v>
      </c>
      <c r="BB10" s="228" t="s">
        <v>86</v>
      </c>
      <c r="BC10" s="228" t="s">
        <v>86</v>
      </c>
      <c r="BD10" s="228" t="s">
        <v>86</v>
      </c>
      <c r="BE10" s="228" t="s">
        <v>86</v>
      </c>
      <c r="BF10" s="228" t="s">
        <v>86</v>
      </c>
      <c r="BG10" s="228" t="s">
        <v>86</v>
      </c>
      <c r="BH10" s="228" t="s">
        <v>86</v>
      </c>
      <c r="BI10" s="228" t="s">
        <v>86</v>
      </c>
      <c r="BJ10" s="228" t="s">
        <v>86</v>
      </c>
      <c r="BK10" s="228" t="s">
        <v>86</v>
      </c>
      <c r="BL10" s="228" t="s">
        <v>86</v>
      </c>
      <c r="BM10" s="228" t="s">
        <v>86</v>
      </c>
      <c r="BN10" s="228" t="s">
        <v>86</v>
      </c>
      <c r="BO10" s="229" t="s">
        <v>83</v>
      </c>
      <c r="BP10" s="229" t="s">
        <v>83</v>
      </c>
      <c r="BQ10" s="229" t="s">
        <v>83</v>
      </c>
      <c r="BR10" s="229" t="s">
        <v>83</v>
      </c>
      <c r="BS10" s="229" t="s">
        <v>83</v>
      </c>
      <c r="BT10" s="229" t="s">
        <v>83</v>
      </c>
      <c r="BU10" s="229" t="s">
        <v>83</v>
      </c>
      <c r="BV10" s="229" t="s">
        <v>83</v>
      </c>
      <c r="BW10" s="229" t="s">
        <v>83</v>
      </c>
      <c r="BX10" s="229" t="s">
        <v>83</v>
      </c>
      <c r="BY10" s="229" t="s">
        <v>83</v>
      </c>
      <c r="BZ10" s="229" t="s">
        <v>83</v>
      </c>
      <c r="CA10" s="229" t="s">
        <v>83</v>
      </c>
      <c r="CB10" s="229" t="s">
        <v>83</v>
      </c>
      <c r="CC10" s="229" t="s">
        <v>83</v>
      </c>
      <c r="CD10" s="229" t="s">
        <v>83</v>
      </c>
      <c r="CE10" s="229" t="s">
        <v>83</v>
      </c>
      <c r="CF10" s="229" t="s">
        <v>83</v>
      </c>
      <c r="CG10" s="229" t="s">
        <v>83</v>
      </c>
      <c r="CH10" s="229" t="s">
        <v>83</v>
      </c>
      <c r="CI10" s="229" t="s">
        <v>83</v>
      </c>
      <c r="CJ10" s="229" t="s">
        <v>83</v>
      </c>
      <c r="CK10" s="230" t="s">
        <v>98</v>
      </c>
      <c r="CL10" s="230" t="s">
        <v>111</v>
      </c>
      <c r="CM10" s="230" t="s">
        <v>104</v>
      </c>
      <c r="CN10" s="230" t="s">
        <v>112</v>
      </c>
      <c r="CO10" s="230" t="s">
        <v>113</v>
      </c>
      <c r="CP10" s="230" t="s">
        <v>114</v>
      </c>
      <c r="CQ10" s="331"/>
    </row>
    <row r="11" ht="12.75" customHeight="1">
      <c r="A11" s="283" t="s">
        <v>171</v>
      </c>
      <c r="B11" s="283" t="s">
        <v>87</v>
      </c>
      <c r="C11" s="263">
        <v>1</v>
      </c>
      <c r="D11" s="263">
        <f>DB11+'User Input - Correlations'!D11</f>
        <v>0</v>
      </c>
      <c r="E11" s="263">
        <f>DC11+'User Input - Correlations'!E11</f>
        <v>0</v>
      </c>
      <c r="F11" s="263">
        <f>DD11+'User Input - Correlations'!F11</f>
        <v>0</v>
      </c>
      <c r="G11" s="263">
        <f>DE11+'User Input - Correlations'!G11</f>
        <v>0</v>
      </c>
      <c r="H11" s="263">
        <f>DF11+'User Input - Correlations'!H11</f>
        <v>0</v>
      </c>
      <c r="I11" s="263">
        <f>DG11+'User Input - Correlations'!I11</f>
        <v>0</v>
      </c>
      <c r="J11" s="263">
        <f>DH11+'User Input - Correlations'!J11</f>
        <v>0</v>
      </c>
      <c r="K11" s="263">
        <f>DI11+'User Input - Correlations'!K11</f>
        <v>0</v>
      </c>
      <c r="L11" s="263">
        <f>DJ11+'User Input - Correlations'!L11</f>
        <v>0</v>
      </c>
      <c r="M11" s="263">
        <f>DK11+'User Input - Correlations'!M11</f>
        <v>0</v>
      </c>
      <c r="N11" s="263">
        <f>DL11+'User Input - Correlations'!N11</f>
        <v>0</v>
      </c>
      <c r="O11" s="263">
        <f>DM11+'User Input - Correlations'!O11</f>
        <v>0</v>
      </c>
      <c r="P11" s="263">
        <f>DN11+'User Input - Correlations'!P11</f>
        <v>0</v>
      </c>
      <c r="Q11" s="263">
        <f>DO11+'User Input - Correlations'!Q11</f>
        <v>0</v>
      </c>
      <c r="R11" s="263">
        <f>DP11+'User Input - Correlations'!R11</f>
        <v>0</v>
      </c>
      <c r="S11" s="263">
        <f>DQ11+'User Input - Correlations'!S11</f>
        <v>0</v>
      </c>
      <c r="T11" s="263">
        <f>DR11+'User Input - Correlations'!T11</f>
        <v>0</v>
      </c>
      <c r="U11" s="263">
        <f>DS11+'User Input - Correlations'!U11</f>
        <v>0</v>
      </c>
      <c r="V11" s="263">
        <f>DT11+'User Input - Correlations'!V11</f>
        <v>0</v>
      </c>
      <c r="W11" s="263">
        <f>DU11+'User Input - Correlations'!W11</f>
        <v>0</v>
      </c>
      <c r="X11" s="263">
        <f>DV11+'User Input - Correlations'!X11</f>
        <v>0</v>
      </c>
      <c r="Y11" s="263">
        <f>DW11+'User Input - Correlations'!Y11</f>
        <v>0</v>
      </c>
      <c r="Z11" s="263">
        <f>DX11+'User Input - Correlations'!Z11</f>
        <v>0</v>
      </c>
      <c r="AA11" s="263">
        <f>DY11+'User Input - Correlations'!AA11</f>
        <v>0</v>
      </c>
      <c r="AB11" s="263">
        <f>DZ11+'User Input - Correlations'!AB11</f>
        <v>0</v>
      </c>
      <c r="AC11" s="263">
        <f>EA11+'User Input - Correlations'!AC11</f>
        <v>0</v>
      </c>
      <c r="AD11" s="263">
        <f>EB11+'User Input - Correlations'!AD11</f>
        <v>0</v>
      </c>
      <c r="AE11" s="263">
        <f>EC11+'User Input - Correlations'!AE11</f>
        <v>0</v>
      </c>
      <c r="AF11" s="263">
        <f>ED11+'User Input - Correlations'!AF11</f>
        <v>0</v>
      </c>
      <c r="AG11" s="263">
        <f>EE11+'User Input - Correlations'!AG11</f>
        <v>0</v>
      </c>
      <c r="AH11" s="263">
        <f>EF11+'User Input - Correlations'!AH11</f>
        <v>0</v>
      </c>
      <c r="AI11" s="263">
        <f>EG11+'User Input - Correlations'!AI11</f>
        <v>0</v>
      </c>
      <c r="AJ11" s="263">
        <f>EH11+'User Input - Correlations'!AJ11</f>
        <v>0</v>
      </c>
      <c r="AK11" s="263">
        <f>EI11+'User Input - Correlations'!AK11</f>
        <v>0</v>
      </c>
      <c r="AL11" s="263">
        <f>EJ11+'User Input - Correlations'!AL11</f>
        <v>0</v>
      </c>
      <c r="AM11" s="263">
        <f>EK11+'User Input - Correlations'!AM11</f>
        <v>0</v>
      </c>
      <c r="AN11" s="263">
        <f>EL11+'User Input - Correlations'!AN11</f>
        <v>0</v>
      </c>
      <c r="AO11" s="263">
        <f>EM11+'User Input - Correlations'!AO11</f>
        <v>0</v>
      </c>
      <c r="AP11" s="263">
        <f>EN11+'User Input - Correlations'!AP11</f>
        <v>0</v>
      </c>
      <c r="AQ11" s="263">
        <f>EO11+'User Input - Correlations'!AQ11</f>
        <v>0</v>
      </c>
      <c r="AR11" s="263">
        <f>EP11+'User Input - Correlations'!AR11</f>
        <v>0</v>
      </c>
      <c r="AS11" s="263">
        <f>EQ11+'User Input - Correlations'!AS11</f>
        <v>0</v>
      </c>
      <c r="AT11" s="263">
        <f>ER11+'User Input - Correlations'!AT11</f>
        <v>0</v>
      </c>
      <c r="AU11" s="263">
        <f>ES11+'User Input - Correlations'!AU11</f>
        <v>0</v>
      </c>
      <c r="AV11" s="263">
        <f>ET11+'User Input - Correlations'!AV11</f>
        <v>0</v>
      </c>
      <c r="AW11" s="263">
        <f>EU11+'User Input - Correlations'!AW11</f>
        <v>0</v>
      </c>
      <c r="AX11" s="263">
        <f>EV11+'User Input - Correlations'!AX11</f>
        <v>0</v>
      </c>
      <c r="AY11" s="263">
        <f>EW11+'User Input - Correlations'!AY11</f>
        <v>0</v>
      </c>
      <c r="AZ11" s="263">
        <f>EX11+'User Input - Correlations'!AZ11</f>
        <v>0</v>
      </c>
      <c r="BA11" s="263">
        <f>EY11+'User Input - Correlations'!BA11</f>
        <v>0</v>
      </c>
      <c r="BB11" s="263">
        <f>EZ11+'User Input - Correlations'!BB11</f>
        <v>0</v>
      </c>
      <c r="BC11" s="263">
        <f>FA11+'User Input - Correlations'!BC11</f>
        <v>0</v>
      </c>
      <c r="BD11" s="263">
        <f>FB11+'User Input - Correlations'!BD11</f>
        <v>0</v>
      </c>
      <c r="BE11" s="263">
        <f>FC11+'User Input - Correlations'!BE11</f>
        <v>0</v>
      </c>
      <c r="BF11" s="263">
        <f>FD11+'User Input - Correlations'!BF11</f>
        <v>0</v>
      </c>
      <c r="BG11" s="263">
        <f>FE11+'User Input - Correlations'!BG11</f>
        <v>0</v>
      </c>
      <c r="BH11" s="263">
        <f>FF11+'User Input - Correlations'!BH11</f>
        <v>0</v>
      </c>
      <c r="BI11" s="263">
        <f>FG11+'User Input - Correlations'!BI11</f>
        <v>0</v>
      </c>
      <c r="BJ11" s="263">
        <f>FH11+'User Input - Correlations'!BJ11</f>
        <v>0</v>
      </c>
      <c r="BK11" s="263">
        <f>FI11+'User Input - Correlations'!BK11</f>
        <v>0</v>
      </c>
      <c r="BL11" s="263">
        <f>FJ11+'User Input - Correlations'!BL11</f>
        <v>0</v>
      </c>
      <c r="BM11" s="263">
        <f>FK11+'User Input - Correlations'!BM11</f>
        <v>0</v>
      </c>
      <c r="BN11" s="263">
        <f>FL11+'User Input - Correlations'!BN11</f>
        <v>0</v>
      </c>
      <c r="BO11" s="263">
        <f>FM11+'User Input - Correlations'!BO11</f>
        <v>0</v>
      </c>
      <c r="BP11" s="263">
        <f>FN11+'User Input - Correlations'!BP11</f>
        <v>0</v>
      </c>
      <c r="BQ11" s="263">
        <f>FO11+'User Input - Correlations'!BQ11</f>
        <v>0</v>
      </c>
      <c r="BR11" s="263">
        <f>FP11+'User Input - Correlations'!BR11</f>
        <v>0</v>
      </c>
      <c r="BS11" s="263">
        <f>FQ11+'User Input - Correlations'!BS11</f>
        <v>0</v>
      </c>
      <c r="BT11" s="263">
        <f>FR11+'User Input - Correlations'!BT11</f>
        <v>0</v>
      </c>
      <c r="BU11" s="263">
        <f>FS11+'User Input - Correlations'!BU11</f>
        <v>0</v>
      </c>
      <c r="BV11" s="263">
        <f>FT11+'User Input - Correlations'!BV11</f>
        <v>0</v>
      </c>
      <c r="BW11" s="263">
        <f>FU11+'User Input - Correlations'!BW11</f>
        <v>0</v>
      </c>
      <c r="BX11" s="263">
        <f>FV11+'User Input - Correlations'!BX11</f>
        <v>0</v>
      </c>
      <c r="BY11" s="263">
        <f>FW11+'User Input - Correlations'!BY11</f>
        <v>0</v>
      </c>
      <c r="BZ11" s="263">
        <f>FX11+'User Input - Correlations'!BZ11</f>
        <v>0</v>
      </c>
      <c r="CA11" s="263">
        <f>FY11+'User Input - Correlations'!CA11</f>
        <v>0</v>
      </c>
      <c r="CB11" s="263">
        <f>FZ11+'User Input - Correlations'!CB11</f>
        <v>0</v>
      </c>
      <c r="CC11" s="263">
        <f>GA11+'User Input - Correlations'!CC11</f>
        <v>0</v>
      </c>
      <c r="CD11" s="263">
        <f>GB11+'User Input - Correlations'!CD11</f>
        <v>0</v>
      </c>
      <c r="CE11" s="263">
        <f>GC11+'User Input - Correlations'!CE11</f>
        <v>0</v>
      </c>
      <c r="CF11" s="263">
        <f>GD11+'User Input - Correlations'!CF11</f>
        <v>0</v>
      </c>
      <c r="CG11" s="263">
        <f>GE11+'User Input - Correlations'!CG11</f>
        <v>0</v>
      </c>
      <c r="CH11" s="263">
        <f>GF11+'User Input - Correlations'!CH11</f>
        <v>0</v>
      </c>
      <c r="CI11" s="263">
        <f>GG11+'User Input - Correlations'!CI11</f>
        <v>0</v>
      </c>
      <c r="CJ11" s="263">
        <f>GH11+'User Input - Correlations'!CJ11</f>
        <v>0</v>
      </c>
      <c r="CK11" s="263">
        <f>GI11+'User Input - Correlations'!CK11</f>
        <v>0</v>
      </c>
      <c r="CL11" s="263">
        <f>GJ11+'User Input - Correlations'!CL11</f>
        <v>0</v>
      </c>
      <c r="CM11" s="263">
        <f>GK11+'User Input - Correlations'!CM11</f>
        <v>0</v>
      </c>
      <c r="CN11" s="263">
        <f>GL11+'User Input - Correlations'!CN11</f>
        <v>0</v>
      </c>
      <c r="CO11" s="263">
        <f>GM11+'User Input - Correlations'!CO11</f>
        <v>0</v>
      </c>
      <c r="CP11" s="264">
        <f>GN11+'User Input - Correlations'!CP11</f>
        <v>0</v>
      </c>
      <c r="CQ11" s="281">
        <f ca="1">MDETERM(OFFSET($C$11,0,0,ROWS($CQ$11:$CQ11),ROWS($CQ$11:$CQ11)))</f>
        <v>1</v>
      </c>
      <c r="DA11" s="263">
        <f t="array" ref="DA11:GN102">TRANSPOSE(('User Input - Correlations'!C11:CP102))</f>
        <v>1</v>
      </c>
      <c r="DB11" s="263">
        <v>0</v>
      </c>
      <c r="DC11" s="263">
        <v>0</v>
      </c>
      <c r="DD11" s="263">
        <v>0</v>
      </c>
      <c r="DE11" s="263">
        <v>0</v>
      </c>
      <c r="DF11" s="263">
        <v>0</v>
      </c>
      <c r="DG11" s="263">
        <v>0</v>
      </c>
      <c r="DH11" s="263">
        <v>0</v>
      </c>
      <c r="DI11" s="263">
        <v>0</v>
      </c>
      <c r="DJ11" s="263">
        <v>0</v>
      </c>
      <c r="DK11" s="263">
        <v>0</v>
      </c>
      <c r="DL11" s="263">
        <v>0</v>
      </c>
      <c r="DM11" s="263">
        <v>0</v>
      </c>
      <c r="DN11" s="263">
        <v>0</v>
      </c>
      <c r="DO11" s="263">
        <v>0</v>
      </c>
      <c r="DP11" s="263">
        <v>0</v>
      </c>
      <c r="DQ11" s="263">
        <v>0</v>
      </c>
      <c r="DR11" s="263">
        <v>0</v>
      </c>
      <c r="DS11" s="263">
        <v>0</v>
      </c>
      <c r="DT11" s="263">
        <v>0</v>
      </c>
      <c r="DU11" s="263">
        <v>0</v>
      </c>
      <c r="DV11" s="263">
        <v>0</v>
      </c>
      <c r="DW11" s="263">
        <v>0</v>
      </c>
      <c r="DX11" s="263">
        <v>0</v>
      </c>
      <c r="DY11" s="263">
        <v>0</v>
      </c>
      <c r="DZ11" s="263">
        <v>0</v>
      </c>
      <c r="EA11" s="263">
        <v>0</v>
      </c>
      <c r="EB11" s="263">
        <v>0</v>
      </c>
      <c r="EC11" s="263">
        <v>0</v>
      </c>
      <c r="ED11" s="263">
        <v>0</v>
      </c>
      <c r="EE11" s="263">
        <v>0</v>
      </c>
      <c r="EF11" s="263">
        <v>0</v>
      </c>
      <c r="EG11" s="263">
        <v>0</v>
      </c>
      <c r="EH11" s="263">
        <v>0</v>
      </c>
      <c r="EI11" s="263">
        <v>0</v>
      </c>
      <c r="EJ11" s="263">
        <v>0</v>
      </c>
      <c r="EK11" s="263">
        <v>0</v>
      </c>
      <c r="EL11" s="263">
        <v>0</v>
      </c>
      <c r="EM11" s="263">
        <v>0</v>
      </c>
      <c r="EN11" s="263">
        <v>0</v>
      </c>
      <c r="EO11" s="263">
        <v>0</v>
      </c>
      <c r="EP11" s="263">
        <v>0</v>
      </c>
      <c r="EQ11" s="263">
        <v>0</v>
      </c>
      <c r="ER11" s="263">
        <v>0</v>
      </c>
      <c r="ES11" s="263">
        <v>0</v>
      </c>
      <c r="ET11" s="263">
        <v>0</v>
      </c>
      <c r="EU11" s="263">
        <v>0</v>
      </c>
      <c r="EV11" s="263">
        <v>0</v>
      </c>
      <c r="EW11" s="263">
        <v>0</v>
      </c>
      <c r="EX11" s="263">
        <v>0</v>
      </c>
      <c r="EY11" s="263">
        <v>0</v>
      </c>
      <c r="EZ11" s="263">
        <v>0</v>
      </c>
      <c r="FA11" s="263">
        <v>0</v>
      </c>
      <c r="FB11" s="263">
        <v>0</v>
      </c>
      <c r="FC11" s="263">
        <v>0</v>
      </c>
      <c r="FD11" s="263">
        <v>0</v>
      </c>
      <c r="FE11" s="263">
        <v>0</v>
      </c>
      <c r="FF11" s="263">
        <v>0</v>
      </c>
      <c r="FG11" s="263">
        <v>0</v>
      </c>
      <c r="FH11" s="263">
        <v>0</v>
      </c>
      <c r="FI11" s="263">
        <v>0</v>
      </c>
      <c r="FJ11" s="263">
        <v>0</v>
      </c>
      <c r="FK11" s="263">
        <v>0</v>
      </c>
      <c r="FL11" s="263">
        <v>0</v>
      </c>
      <c r="FM11" s="263">
        <v>0</v>
      </c>
      <c r="FN11" s="263">
        <v>0</v>
      </c>
      <c r="FO11" s="263">
        <v>0</v>
      </c>
      <c r="FP11" s="263">
        <v>0</v>
      </c>
      <c r="FQ11" s="263">
        <v>0</v>
      </c>
      <c r="FR11" s="263">
        <v>0</v>
      </c>
      <c r="FS11" s="263">
        <v>0</v>
      </c>
      <c r="FT11" s="263">
        <v>0</v>
      </c>
      <c r="FU11" s="263">
        <v>0</v>
      </c>
      <c r="FV11" s="263">
        <v>0</v>
      </c>
      <c r="FW11" s="263">
        <v>0</v>
      </c>
      <c r="FX11" s="263">
        <v>0</v>
      </c>
      <c r="FY11" s="263">
        <v>0</v>
      </c>
      <c r="FZ11" s="263">
        <v>0</v>
      </c>
      <c r="GA11" s="263">
        <v>0</v>
      </c>
      <c r="GB11" s="263">
        <v>0</v>
      </c>
      <c r="GC11" s="263">
        <v>0</v>
      </c>
      <c r="GD11" s="263">
        <v>0</v>
      </c>
      <c r="GE11" s="263">
        <v>0</v>
      </c>
      <c r="GF11" s="263">
        <v>0</v>
      </c>
      <c r="GG11" s="263">
        <v>0</v>
      </c>
      <c r="GH11" s="263">
        <v>0</v>
      </c>
      <c r="GI11" s="263">
        <v>0</v>
      </c>
      <c r="GJ11" s="263">
        <v>0</v>
      </c>
      <c r="GK11" s="263">
        <v>0</v>
      </c>
      <c r="GL11" s="263">
        <v>0</v>
      </c>
      <c r="GM11" s="263">
        <v>0</v>
      </c>
      <c r="GN11" s="263">
        <v>0</v>
      </c>
    </row>
    <row r="12" ht="12.75" customHeight="1">
      <c r="A12" s="283" t="s">
        <v>172</v>
      </c>
      <c r="B12" s="283" t="s">
        <v>87</v>
      </c>
      <c r="C12" s="263">
        <f>DA12+'User Input - Correlations'!C12</f>
        <v>0</v>
      </c>
      <c r="D12" s="263">
        <v>1</v>
      </c>
      <c r="E12" s="263">
        <f>DC12+'User Input - Correlations'!E12</f>
        <v>0</v>
      </c>
      <c r="F12" s="263">
        <f>DD12+'User Input - Correlations'!F12</f>
        <v>0</v>
      </c>
      <c r="G12" s="263">
        <f>DE12+'User Input - Correlations'!G12</f>
        <v>0</v>
      </c>
      <c r="H12" s="263">
        <f>DF12+'User Input - Correlations'!H12</f>
        <v>0</v>
      </c>
      <c r="I12" s="263">
        <f>DG12+'User Input - Correlations'!I12</f>
        <v>0</v>
      </c>
      <c r="J12" s="263">
        <f>DH12+'User Input - Correlations'!J12</f>
        <v>0</v>
      </c>
      <c r="K12" s="263">
        <f>DI12+'User Input - Correlations'!K12</f>
        <v>0</v>
      </c>
      <c r="L12" s="263">
        <f>DJ12+'User Input - Correlations'!L12</f>
        <v>0</v>
      </c>
      <c r="M12" s="263">
        <f>DK12+'User Input - Correlations'!M12</f>
        <v>0</v>
      </c>
      <c r="N12" s="263">
        <f>DL12+'User Input - Correlations'!N12</f>
        <v>0</v>
      </c>
      <c r="O12" s="263">
        <f>DM12+'User Input - Correlations'!O12</f>
        <v>0</v>
      </c>
      <c r="P12" s="263">
        <f>DN12+'User Input - Correlations'!P12</f>
        <v>0</v>
      </c>
      <c r="Q12" s="263">
        <f>DO12+'User Input - Correlations'!Q12</f>
        <v>0</v>
      </c>
      <c r="R12" s="263">
        <f>DP12+'User Input - Correlations'!R12</f>
        <v>0</v>
      </c>
      <c r="S12" s="263">
        <f>DQ12+'User Input - Correlations'!S12</f>
        <v>0</v>
      </c>
      <c r="T12" s="263">
        <f>DR12+'User Input - Correlations'!T12</f>
        <v>0</v>
      </c>
      <c r="U12" s="263">
        <f>DS12+'User Input - Correlations'!U12</f>
        <v>0</v>
      </c>
      <c r="V12" s="263">
        <f>DT12+'User Input - Correlations'!V12</f>
        <v>0</v>
      </c>
      <c r="W12" s="263">
        <f>DU12+'User Input - Correlations'!W12</f>
        <v>0</v>
      </c>
      <c r="X12" s="263">
        <f>DV12+'User Input - Correlations'!X12</f>
        <v>0</v>
      </c>
      <c r="Y12" s="263">
        <f>DW12+'User Input - Correlations'!Y12</f>
        <v>0</v>
      </c>
      <c r="Z12" s="263">
        <f>DX12+'User Input - Correlations'!Z12</f>
        <v>0</v>
      </c>
      <c r="AA12" s="263">
        <f>DY12+'User Input - Correlations'!AA12</f>
        <v>0</v>
      </c>
      <c r="AB12" s="263">
        <f>DZ12+'User Input - Correlations'!AB12</f>
        <v>0</v>
      </c>
      <c r="AC12" s="263">
        <f>EA12+'User Input - Correlations'!AC12</f>
        <v>0</v>
      </c>
      <c r="AD12" s="263">
        <f>EB12+'User Input - Correlations'!AD12</f>
        <v>0</v>
      </c>
      <c r="AE12" s="263">
        <f>EC12+'User Input - Correlations'!AE12</f>
        <v>0</v>
      </c>
      <c r="AF12" s="263">
        <f>ED12+'User Input - Correlations'!AF12</f>
        <v>0</v>
      </c>
      <c r="AG12" s="263">
        <f>EE12+'User Input - Correlations'!AG12</f>
        <v>0</v>
      </c>
      <c r="AH12" s="263">
        <f>EF12+'User Input - Correlations'!AH12</f>
        <v>0</v>
      </c>
      <c r="AI12" s="263">
        <f>EG12+'User Input - Correlations'!AI12</f>
        <v>0</v>
      </c>
      <c r="AJ12" s="263">
        <f>EH12+'User Input - Correlations'!AJ12</f>
        <v>0</v>
      </c>
      <c r="AK12" s="263">
        <f>EI12+'User Input - Correlations'!AK12</f>
        <v>0</v>
      </c>
      <c r="AL12" s="263">
        <f>EJ12+'User Input - Correlations'!AL12</f>
        <v>0</v>
      </c>
      <c r="AM12" s="263">
        <f>EK12+'User Input - Correlations'!AM12</f>
        <v>0</v>
      </c>
      <c r="AN12" s="263">
        <f>EL12+'User Input - Correlations'!AN12</f>
        <v>0</v>
      </c>
      <c r="AO12" s="263">
        <f>EM12+'User Input - Correlations'!AO12</f>
        <v>0</v>
      </c>
      <c r="AP12" s="263">
        <f>EN12+'User Input - Correlations'!AP12</f>
        <v>0</v>
      </c>
      <c r="AQ12" s="263">
        <f>EO12+'User Input - Correlations'!AQ12</f>
        <v>0</v>
      </c>
      <c r="AR12" s="263">
        <f>EP12+'User Input - Correlations'!AR12</f>
        <v>0</v>
      </c>
      <c r="AS12" s="263">
        <f>EQ12+'User Input - Correlations'!AS12</f>
        <v>0</v>
      </c>
      <c r="AT12" s="263">
        <f>ER12+'User Input - Correlations'!AT12</f>
        <v>0</v>
      </c>
      <c r="AU12" s="263">
        <f>ES12+'User Input - Correlations'!AU12</f>
        <v>0</v>
      </c>
      <c r="AV12" s="263">
        <f>ET12+'User Input - Correlations'!AV12</f>
        <v>0</v>
      </c>
      <c r="AW12" s="263">
        <f>EU12+'User Input - Correlations'!AW12</f>
        <v>0</v>
      </c>
      <c r="AX12" s="263">
        <f>EV12+'User Input - Correlations'!AX12</f>
        <v>0</v>
      </c>
      <c r="AY12" s="263">
        <f>EW12+'User Input - Correlations'!AY12</f>
        <v>0</v>
      </c>
      <c r="AZ12" s="263">
        <f>EX12+'User Input - Correlations'!AZ12</f>
        <v>0</v>
      </c>
      <c r="BA12" s="263">
        <f>EY12+'User Input - Correlations'!BA12</f>
        <v>0</v>
      </c>
      <c r="BB12" s="263">
        <f>EZ12+'User Input - Correlations'!BB12</f>
        <v>0</v>
      </c>
      <c r="BC12" s="263">
        <f>FA12+'User Input - Correlations'!BC12</f>
        <v>0</v>
      </c>
      <c r="BD12" s="263">
        <f>FB12+'User Input - Correlations'!BD12</f>
        <v>0</v>
      </c>
      <c r="BE12" s="263">
        <f>FC12+'User Input - Correlations'!BE12</f>
        <v>0</v>
      </c>
      <c r="BF12" s="263">
        <f>FD12+'User Input - Correlations'!BF12</f>
        <v>0</v>
      </c>
      <c r="BG12" s="263">
        <f>FE12+'User Input - Correlations'!BG12</f>
        <v>0</v>
      </c>
      <c r="BH12" s="263">
        <f>FF12+'User Input - Correlations'!BH12</f>
        <v>0</v>
      </c>
      <c r="BI12" s="263">
        <f>FG12+'User Input - Correlations'!BI12</f>
        <v>0</v>
      </c>
      <c r="BJ12" s="263">
        <f>FH12+'User Input - Correlations'!BJ12</f>
        <v>0</v>
      </c>
      <c r="BK12" s="263">
        <f>FI12+'User Input - Correlations'!BK12</f>
        <v>0</v>
      </c>
      <c r="BL12" s="263">
        <f>FJ12+'User Input - Correlations'!BL12</f>
        <v>0</v>
      </c>
      <c r="BM12" s="263">
        <f>FK12+'User Input - Correlations'!BM12</f>
        <v>0</v>
      </c>
      <c r="BN12" s="263">
        <f>FL12+'User Input - Correlations'!BN12</f>
        <v>0</v>
      </c>
      <c r="BO12" s="263">
        <f>FM12+'User Input - Correlations'!BO12</f>
        <v>0</v>
      </c>
      <c r="BP12" s="263">
        <f>FN12+'User Input - Correlations'!BP12</f>
        <v>0</v>
      </c>
      <c r="BQ12" s="263">
        <f>FO12+'User Input - Correlations'!BQ12</f>
        <v>0</v>
      </c>
      <c r="BR12" s="263">
        <f>FP12+'User Input - Correlations'!BR12</f>
        <v>0</v>
      </c>
      <c r="BS12" s="263">
        <f>FQ12+'User Input - Correlations'!BS12</f>
        <v>0</v>
      </c>
      <c r="BT12" s="263">
        <f>FR12+'User Input - Correlations'!BT12</f>
        <v>0</v>
      </c>
      <c r="BU12" s="263">
        <f>FS12+'User Input - Correlations'!BU12</f>
        <v>0</v>
      </c>
      <c r="BV12" s="263">
        <f>FT12+'User Input - Correlations'!BV12</f>
        <v>0</v>
      </c>
      <c r="BW12" s="263">
        <f>FU12+'User Input - Correlations'!BW12</f>
        <v>0</v>
      </c>
      <c r="BX12" s="263">
        <f>FV12+'User Input - Correlations'!BX12</f>
        <v>0</v>
      </c>
      <c r="BY12" s="263">
        <f>FW12+'User Input - Correlations'!BY12</f>
        <v>0</v>
      </c>
      <c r="BZ12" s="263">
        <f>FX12+'User Input - Correlations'!BZ12</f>
        <v>0</v>
      </c>
      <c r="CA12" s="263">
        <f>FY12+'User Input - Correlations'!CA12</f>
        <v>0</v>
      </c>
      <c r="CB12" s="263">
        <f>FZ12+'User Input - Correlations'!CB12</f>
        <v>0</v>
      </c>
      <c r="CC12" s="263">
        <f>GA12+'User Input - Correlations'!CC12</f>
        <v>0</v>
      </c>
      <c r="CD12" s="263">
        <f>GB12+'User Input - Correlations'!CD12</f>
        <v>0</v>
      </c>
      <c r="CE12" s="263">
        <f>GC12+'User Input - Correlations'!CE12</f>
        <v>0</v>
      </c>
      <c r="CF12" s="263">
        <f>GD12+'User Input - Correlations'!CF12</f>
        <v>0</v>
      </c>
      <c r="CG12" s="263">
        <f>GE12+'User Input - Correlations'!CG12</f>
        <v>0</v>
      </c>
      <c r="CH12" s="263">
        <f>GF12+'User Input - Correlations'!CH12</f>
        <v>0</v>
      </c>
      <c r="CI12" s="263">
        <f>GG12+'User Input - Correlations'!CI12</f>
        <v>0</v>
      </c>
      <c r="CJ12" s="263">
        <f>GH12+'User Input - Correlations'!CJ12</f>
        <v>0</v>
      </c>
      <c r="CK12" s="263">
        <f>GI12+'User Input - Correlations'!CK12</f>
        <v>0</v>
      </c>
      <c r="CL12" s="263">
        <f>GJ12+'User Input - Correlations'!CL12</f>
        <v>0</v>
      </c>
      <c r="CM12" s="263">
        <f>GK12+'User Input - Correlations'!CM12</f>
        <v>0</v>
      </c>
      <c r="CN12" s="263">
        <f>GL12+'User Input - Correlations'!CN12</f>
        <v>0</v>
      </c>
      <c r="CO12" s="263">
        <f>GM12+'User Input - Correlations'!CO12</f>
        <v>0</v>
      </c>
      <c r="CP12" s="264">
        <f>GN12+'User Input - Correlations'!CP12</f>
        <v>0</v>
      </c>
      <c r="CQ12" s="281">
        <f ca="1">MDETERM(OFFSET($C$11,0,0,ROWS($CQ$11:$CQ12),ROWS($CQ$11:$CQ12)))</f>
        <v>1</v>
      </c>
      <c r="DA12" s="263">
        <v>0</v>
      </c>
      <c r="DB12" s="263">
        <v>1</v>
      </c>
      <c r="DC12" s="263">
        <v>0</v>
      </c>
      <c r="DD12" s="263">
        <v>0</v>
      </c>
      <c r="DE12" s="263">
        <v>0</v>
      </c>
      <c r="DF12" s="263">
        <v>0</v>
      </c>
      <c r="DG12" s="263">
        <v>0</v>
      </c>
      <c r="DH12" s="263">
        <v>0</v>
      </c>
      <c r="DI12" s="263">
        <v>0</v>
      </c>
      <c r="DJ12" s="263">
        <v>0</v>
      </c>
      <c r="DK12" s="263">
        <v>0</v>
      </c>
      <c r="DL12" s="263">
        <v>0</v>
      </c>
      <c r="DM12" s="263">
        <v>0</v>
      </c>
      <c r="DN12" s="263">
        <v>0</v>
      </c>
      <c r="DO12" s="263">
        <v>0</v>
      </c>
      <c r="DP12" s="263">
        <v>0</v>
      </c>
      <c r="DQ12" s="263">
        <v>0</v>
      </c>
      <c r="DR12" s="263">
        <v>0</v>
      </c>
      <c r="DS12" s="263">
        <v>0</v>
      </c>
      <c r="DT12" s="263">
        <v>0</v>
      </c>
      <c r="DU12" s="263">
        <v>0</v>
      </c>
      <c r="DV12" s="263">
        <v>0</v>
      </c>
      <c r="DW12" s="263">
        <v>0</v>
      </c>
      <c r="DX12" s="263">
        <v>0</v>
      </c>
      <c r="DY12" s="263">
        <v>0</v>
      </c>
      <c r="DZ12" s="263">
        <v>0</v>
      </c>
      <c r="EA12" s="263">
        <v>0</v>
      </c>
      <c r="EB12" s="263">
        <v>0</v>
      </c>
      <c r="EC12" s="263">
        <v>0</v>
      </c>
      <c r="ED12" s="263">
        <v>0</v>
      </c>
      <c r="EE12" s="263">
        <v>0</v>
      </c>
      <c r="EF12" s="263">
        <v>0</v>
      </c>
      <c r="EG12" s="263">
        <v>0</v>
      </c>
      <c r="EH12" s="263">
        <v>0</v>
      </c>
      <c r="EI12" s="263">
        <v>0</v>
      </c>
      <c r="EJ12" s="263">
        <v>0</v>
      </c>
      <c r="EK12" s="263">
        <v>0</v>
      </c>
      <c r="EL12" s="263">
        <v>0</v>
      </c>
      <c r="EM12" s="263">
        <v>0</v>
      </c>
      <c r="EN12" s="263">
        <v>0</v>
      </c>
      <c r="EO12" s="263">
        <v>0</v>
      </c>
      <c r="EP12" s="263">
        <v>0</v>
      </c>
      <c r="EQ12" s="263">
        <v>0</v>
      </c>
      <c r="ER12" s="263">
        <v>0</v>
      </c>
      <c r="ES12" s="263">
        <v>0</v>
      </c>
      <c r="ET12" s="263">
        <v>0</v>
      </c>
      <c r="EU12" s="263">
        <v>0</v>
      </c>
      <c r="EV12" s="263">
        <v>0</v>
      </c>
      <c r="EW12" s="263">
        <v>0</v>
      </c>
      <c r="EX12" s="263">
        <v>0</v>
      </c>
      <c r="EY12" s="263">
        <v>0</v>
      </c>
      <c r="EZ12" s="263">
        <v>0</v>
      </c>
      <c r="FA12" s="263">
        <v>0</v>
      </c>
      <c r="FB12" s="263">
        <v>0</v>
      </c>
      <c r="FC12" s="263">
        <v>0</v>
      </c>
      <c r="FD12" s="263">
        <v>0</v>
      </c>
      <c r="FE12" s="263">
        <v>0</v>
      </c>
      <c r="FF12" s="263">
        <v>0</v>
      </c>
      <c r="FG12" s="263">
        <v>0</v>
      </c>
      <c r="FH12" s="263">
        <v>0</v>
      </c>
      <c r="FI12" s="263">
        <v>0</v>
      </c>
      <c r="FJ12" s="263">
        <v>0</v>
      </c>
      <c r="FK12" s="263">
        <v>0</v>
      </c>
      <c r="FL12" s="263">
        <v>0</v>
      </c>
      <c r="FM12" s="263">
        <v>0</v>
      </c>
      <c r="FN12" s="263">
        <v>0</v>
      </c>
      <c r="FO12" s="263">
        <v>0</v>
      </c>
      <c r="FP12" s="263">
        <v>0</v>
      </c>
      <c r="FQ12" s="263">
        <v>0</v>
      </c>
      <c r="FR12" s="263">
        <v>0</v>
      </c>
      <c r="FS12" s="263">
        <v>0</v>
      </c>
      <c r="FT12" s="263">
        <v>0</v>
      </c>
      <c r="FU12" s="263">
        <v>0</v>
      </c>
      <c r="FV12" s="263">
        <v>0</v>
      </c>
      <c r="FW12" s="263">
        <v>0</v>
      </c>
      <c r="FX12" s="263">
        <v>0</v>
      </c>
      <c r="FY12" s="263">
        <v>0</v>
      </c>
      <c r="FZ12" s="263">
        <v>0</v>
      </c>
      <c r="GA12" s="263">
        <v>0</v>
      </c>
      <c r="GB12" s="263">
        <v>0</v>
      </c>
      <c r="GC12" s="263">
        <v>0</v>
      </c>
      <c r="GD12" s="263">
        <v>0</v>
      </c>
      <c r="GE12" s="263">
        <v>0</v>
      </c>
      <c r="GF12" s="263">
        <v>0</v>
      </c>
      <c r="GG12" s="263">
        <v>0</v>
      </c>
      <c r="GH12" s="263">
        <v>0</v>
      </c>
      <c r="GI12" s="263">
        <v>0</v>
      </c>
      <c r="GJ12" s="263">
        <v>0</v>
      </c>
      <c r="GK12" s="263">
        <v>0</v>
      </c>
      <c r="GL12" s="263">
        <v>0</v>
      </c>
      <c r="GM12" s="263">
        <v>0</v>
      </c>
      <c r="GN12" s="263">
        <v>0</v>
      </c>
    </row>
    <row r="13" ht="12.75" customHeight="1">
      <c r="A13" s="284" t="s">
        <v>175</v>
      </c>
      <c r="B13" s="284" t="s">
        <v>174</v>
      </c>
      <c r="C13" s="263">
        <f>DA13+'User Input - Correlations'!C13</f>
        <v>0</v>
      </c>
      <c r="D13" s="263">
        <f>DB13+'User Input - Correlations'!D13</f>
        <v>0</v>
      </c>
      <c r="E13" s="263">
        <v>1</v>
      </c>
      <c r="F13" s="263">
        <f>DD13+'User Input - Correlations'!F13</f>
        <v>0</v>
      </c>
      <c r="G13" s="263">
        <f>DE13+'User Input - Correlations'!G13</f>
        <v>0</v>
      </c>
      <c r="H13" s="263">
        <f>DF13+'User Input - Correlations'!H13</f>
        <v>0</v>
      </c>
      <c r="I13" s="263">
        <f>DG13+'User Input - Correlations'!I13</f>
        <v>0</v>
      </c>
      <c r="J13" s="263">
        <f>DH13+'User Input - Correlations'!J13</f>
        <v>0</v>
      </c>
      <c r="K13" s="263">
        <f>DI13+'User Input - Correlations'!K13</f>
        <v>0</v>
      </c>
      <c r="L13" s="263">
        <f>DJ13+'User Input - Correlations'!L13</f>
        <v>0</v>
      </c>
      <c r="M13" s="263">
        <f>DK13+'User Input - Correlations'!M13</f>
        <v>0</v>
      </c>
      <c r="N13" s="263">
        <f>DL13+'User Input - Correlations'!N13</f>
        <v>0</v>
      </c>
      <c r="O13" s="263">
        <f>DM13+'User Input - Correlations'!O13</f>
        <v>0</v>
      </c>
      <c r="P13" s="263">
        <f>DN13+'User Input - Correlations'!P13</f>
        <v>0</v>
      </c>
      <c r="Q13" s="263">
        <f>DO13+'User Input - Correlations'!Q13</f>
        <v>0</v>
      </c>
      <c r="R13" s="263">
        <f>DP13+'User Input - Correlations'!R13</f>
        <v>0</v>
      </c>
      <c r="S13" s="263">
        <f>DQ13+'User Input - Correlations'!S13</f>
        <v>0</v>
      </c>
      <c r="T13" s="263">
        <f>DR13+'User Input - Correlations'!T13</f>
        <v>0</v>
      </c>
      <c r="U13" s="263">
        <f>DS13+'User Input - Correlations'!U13</f>
        <v>0</v>
      </c>
      <c r="V13" s="263">
        <f>DT13+'User Input - Correlations'!V13</f>
        <v>0</v>
      </c>
      <c r="W13" s="263">
        <f>DU13+'User Input - Correlations'!W13</f>
        <v>0</v>
      </c>
      <c r="X13" s="263">
        <f>DV13+'User Input - Correlations'!X13</f>
        <v>0</v>
      </c>
      <c r="Y13" s="263">
        <f>DW13+'User Input - Correlations'!Y13</f>
        <v>0</v>
      </c>
      <c r="Z13" s="263">
        <f>DX13+'User Input - Correlations'!Z13</f>
        <v>0</v>
      </c>
      <c r="AA13" s="263">
        <f>DY13+'User Input - Correlations'!AA13</f>
        <v>0</v>
      </c>
      <c r="AB13" s="263">
        <f>DZ13+'User Input - Correlations'!AB13</f>
        <v>0</v>
      </c>
      <c r="AC13" s="263">
        <f>EA13+'User Input - Correlations'!AC13</f>
        <v>0</v>
      </c>
      <c r="AD13" s="263">
        <f>EB13+'User Input - Correlations'!AD13</f>
        <v>0</v>
      </c>
      <c r="AE13" s="263">
        <f>EC13+'User Input - Correlations'!AE13</f>
        <v>0</v>
      </c>
      <c r="AF13" s="263">
        <f>ED13+'User Input - Correlations'!AF13</f>
        <v>0</v>
      </c>
      <c r="AG13" s="263">
        <f>EE13+'User Input - Correlations'!AG13</f>
        <v>0</v>
      </c>
      <c r="AH13" s="263">
        <f>EF13+'User Input - Correlations'!AH13</f>
        <v>0</v>
      </c>
      <c r="AI13" s="263">
        <f>EG13+'User Input - Correlations'!AI13</f>
        <v>0</v>
      </c>
      <c r="AJ13" s="263">
        <f>EH13+'User Input - Correlations'!AJ13</f>
        <v>0</v>
      </c>
      <c r="AK13" s="263">
        <f>EI13+'User Input - Correlations'!AK13</f>
        <v>0</v>
      </c>
      <c r="AL13" s="263">
        <f>EJ13+'User Input - Correlations'!AL13</f>
        <v>0</v>
      </c>
      <c r="AM13" s="263">
        <f>EK13+'User Input - Correlations'!AM13</f>
        <v>0</v>
      </c>
      <c r="AN13" s="263">
        <f>EL13+'User Input - Correlations'!AN13</f>
        <v>0</v>
      </c>
      <c r="AO13" s="263">
        <f>EM13+'User Input - Correlations'!AO13</f>
        <v>0</v>
      </c>
      <c r="AP13" s="263">
        <f>EN13+'User Input - Correlations'!AP13</f>
        <v>0</v>
      </c>
      <c r="AQ13" s="263">
        <f>EO13+'User Input - Correlations'!AQ13</f>
        <v>0</v>
      </c>
      <c r="AR13" s="263">
        <f>EP13+'User Input - Correlations'!AR13</f>
        <v>0</v>
      </c>
      <c r="AS13" s="263">
        <f>EQ13+'User Input - Correlations'!AS13</f>
        <v>0</v>
      </c>
      <c r="AT13" s="263">
        <f>ER13+'User Input - Correlations'!AT13</f>
        <v>0</v>
      </c>
      <c r="AU13" s="263">
        <f>ES13+'User Input - Correlations'!AU13</f>
        <v>0</v>
      </c>
      <c r="AV13" s="263">
        <f>ET13+'User Input - Correlations'!AV13</f>
        <v>0</v>
      </c>
      <c r="AW13" s="263">
        <f>EU13+'User Input - Correlations'!AW13</f>
        <v>0</v>
      </c>
      <c r="AX13" s="263">
        <f>EV13+'User Input - Correlations'!AX13</f>
        <v>0</v>
      </c>
      <c r="AY13" s="263">
        <f>EW13+'User Input - Correlations'!AY13</f>
        <v>0</v>
      </c>
      <c r="AZ13" s="263">
        <f>EX13+'User Input - Correlations'!AZ13</f>
        <v>0</v>
      </c>
      <c r="BA13" s="263">
        <f>EY13+'User Input - Correlations'!BA13</f>
        <v>0</v>
      </c>
      <c r="BB13" s="263">
        <f>EZ13+'User Input - Correlations'!BB13</f>
        <v>0</v>
      </c>
      <c r="BC13" s="263">
        <f>FA13+'User Input - Correlations'!BC13</f>
        <v>0</v>
      </c>
      <c r="BD13" s="263">
        <f>FB13+'User Input - Correlations'!BD13</f>
        <v>0</v>
      </c>
      <c r="BE13" s="263">
        <f>FC13+'User Input - Correlations'!BE13</f>
        <v>0</v>
      </c>
      <c r="BF13" s="263">
        <f>FD13+'User Input - Correlations'!BF13</f>
        <v>0</v>
      </c>
      <c r="BG13" s="263">
        <f>FE13+'User Input - Correlations'!BG13</f>
        <v>0</v>
      </c>
      <c r="BH13" s="263">
        <f>FF13+'User Input - Correlations'!BH13</f>
        <v>0</v>
      </c>
      <c r="BI13" s="263">
        <f>FG13+'User Input - Correlations'!BI13</f>
        <v>0</v>
      </c>
      <c r="BJ13" s="263">
        <f>FH13+'User Input - Correlations'!BJ13</f>
        <v>0</v>
      </c>
      <c r="BK13" s="263">
        <f>FI13+'User Input - Correlations'!BK13</f>
        <v>0</v>
      </c>
      <c r="BL13" s="263">
        <f>FJ13+'User Input - Correlations'!BL13</f>
        <v>0</v>
      </c>
      <c r="BM13" s="263">
        <f>FK13+'User Input - Correlations'!BM13</f>
        <v>0</v>
      </c>
      <c r="BN13" s="263">
        <f>FL13+'User Input - Correlations'!BN13</f>
        <v>0</v>
      </c>
      <c r="BO13" s="263">
        <f>FM13+'User Input - Correlations'!BO13</f>
        <v>0</v>
      </c>
      <c r="BP13" s="263">
        <f>FN13+'User Input - Correlations'!BP13</f>
        <v>0</v>
      </c>
      <c r="BQ13" s="263">
        <f>FO13+'User Input - Correlations'!BQ13</f>
        <v>0</v>
      </c>
      <c r="BR13" s="263">
        <f>FP13+'User Input - Correlations'!BR13</f>
        <v>0</v>
      </c>
      <c r="BS13" s="263">
        <f>FQ13+'User Input - Correlations'!BS13</f>
        <v>0</v>
      </c>
      <c r="BT13" s="263">
        <f>FR13+'User Input - Correlations'!BT13</f>
        <v>0</v>
      </c>
      <c r="BU13" s="263">
        <f>FS13+'User Input - Correlations'!BU13</f>
        <v>0</v>
      </c>
      <c r="BV13" s="263">
        <f>FT13+'User Input - Correlations'!BV13</f>
        <v>0</v>
      </c>
      <c r="BW13" s="263">
        <f>FU13+'User Input - Correlations'!BW13</f>
        <v>0</v>
      </c>
      <c r="BX13" s="263">
        <f>FV13+'User Input - Correlations'!BX13</f>
        <v>0</v>
      </c>
      <c r="BY13" s="263">
        <f>FW13+'User Input - Correlations'!BY13</f>
        <v>0</v>
      </c>
      <c r="BZ13" s="263">
        <f>FX13+'User Input - Correlations'!BZ13</f>
        <v>0</v>
      </c>
      <c r="CA13" s="263">
        <f>FY13+'User Input - Correlations'!CA13</f>
        <v>0</v>
      </c>
      <c r="CB13" s="263">
        <f>FZ13+'User Input - Correlations'!CB13</f>
        <v>0</v>
      </c>
      <c r="CC13" s="263">
        <f>GA13+'User Input - Correlations'!CC13</f>
        <v>0</v>
      </c>
      <c r="CD13" s="263">
        <f>GB13+'User Input - Correlations'!CD13</f>
        <v>0</v>
      </c>
      <c r="CE13" s="263">
        <f>GC13+'User Input - Correlations'!CE13</f>
        <v>0</v>
      </c>
      <c r="CF13" s="263">
        <f>GD13+'User Input - Correlations'!CF13</f>
        <v>0</v>
      </c>
      <c r="CG13" s="263">
        <f>GE13+'User Input - Correlations'!CG13</f>
        <v>0</v>
      </c>
      <c r="CH13" s="263">
        <f>GF13+'User Input - Correlations'!CH13</f>
        <v>0</v>
      </c>
      <c r="CI13" s="263">
        <f>GG13+'User Input - Correlations'!CI13</f>
        <v>0</v>
      </c>
      <c r="CJ13" s="263">
        <f>GH13+'User Input - Correlations'!CJ13</f>
        <v>0</v>
      </c>
      <c r="CK13" s="263">
        <f>GI13+'User Input - Correlations'!CK13</f>
        <v>0</v>
      </c>
      <c r="CL13" s="263">
        <f>GJ13+'User Input - Correlations'!CL13</f>
        <v>0</v>
      </c>
      <c r="CM13" s="263">
        <f>GK13+'User Input - Correlations'!CM13</f>
        <v>0</v>
      </c>
      <c r="CN13" s="263">
        <f>GL13+'User Input - Correlations'!CN13</f>
        <v>0</v>
      </c>
      <c r="CO13" s="263">
        <f>GM13+'User Input - Correlations'!CO13</f>
        <v>0</v>
      </c>
      <c r="CP13" s="264">
        <f>GN13+'User Input - Correlations'!CP13</f>
        <v>0</v>
      </c>
      <c r="CQ13" s="281">
        <f ca="1">MDETERM(OFFSET($C$11,0,0,ROWS($CQ$11:$CQ13),ROWS($CQ$11:$CQ13)))</f>
        <v>1</v>
      </c>
      <c r="DA13" s="263">
        <v>0</v>
      </c>
      <c r="DB13" s="263">
        <v>0</v>
      </c>
      <c r="DC13" s="263">
        <v>1</v>
      </c>
      <c r="DD13" s="263">
        <v>0</v>
      </c>
      <c r="DE13" s="263">
        <v>0</v>
      </c>
      <c r="DF13" s="263">
        <v>0</v>
      </c>
      <c r="DG13" s="263">
        <v>0</v>
      </c>
      <c r="DH13" s="263">
        <v>0</v>
      </c>
      <c r="DI13" s="263">
        <v>0</v>
      </c>
      <c r="DJ13" s="263">
        <v>0</v>
      </c>
      <c r="DK13" s="263">
        <v>0</v>
      </c>
      <c r="DL13" s="263">
        <v>0</v>
      </c>
      <c r="DM13" s="263">
        <v>0</v>
      </c>
      <c r="DN13" s="263">
        <v>0</v>
      </c>
      <c r="DO13" s="263">
        <v>0</v>
      </c>
      <c r="DP13" s="263">
        <v>0</v>
      </c>
      <c r="DQ13" s="263">
        <v>0</v>
      </c>
      <c r="DR13" s="263">
        <v>0</v>
      </c>
      <c r="DS13" s="263">
        <v>0</v>
      </c>
      <c r="DT13" s="263">
        <v>0</v>
      </c>
      <c r="DU13" s="263">
        <v>0</v>
      </c>
      <c r="DV13" s="263">
        <v>0</v>
      </c>
      <c r="DW13" s="263">
        <v>0</v>
      </c>
      <c r="DX13" s="263">
        <v>0</v>
      </c>
      <c r="DY13" s="263">
        <v>0</v>
      </c>
      <c r="DZ13" s="263">
        <v>0</v>
      </c>
      <c r="EA13" s="263">
        <v>0</v>
      </c>
      <c r="EB13" s="263">
        <v>0</v>
      </c>
      <c r="EC13" s="263">
        <v>0</v>
      </c>
      <c r="ED13" s="263">
        <v>0</v>
      </c>
      <c r="EE13" s="263">
        <v>0</v>
      </c>
      <c r="EF13" s="263">
        <v>0</v>
      </c>
      <c r="EG13" s="263">
        <v>0</v>
      </c>
      <c r="EH13" s="263">
        <v>0</v>
      </c>
      <c r="EI13" s="263">
        <v>0</v>
      </c>
      <c r="EJ13" s="263">
        <v>0</v>
      </c>
      <c r="EK13" s="263">
        <v>0</v>
      </c>
      <c r="EL13" s="263">
        <v>0</v>
      </c>
      <c r="EM13" s="263">
        <v>0</v>
      </c>
      <c r="EN13" s="263">
        <v>0</v>
      </c>
      <c r="EO13" s="263">
        <v>0</v>
      </c>
      <c r="EP13" s="263">
        <v>0</v>
      </c>
      <c r="EQ13" s="263">
        <v>0</v>
      </c>
      <c r="ER13" s="263">
        <v>0</v>
      </c>
      <c r="ES13" s="263">
        <v>0</v>
      </c>
      <c r="ET13" s="263">
        <v>0</v>
      </c>
      <c r="EU13" s="263">
        <v>0</v>
      </c>
      <c r="EV13" s="263">
        <v>0</v>
      </c>
      <c r="EW13" s="263">
        <v>0</v>
      </c>
      <c r="EX13" s="263">
        <v>0</v>
      </c>
      <c r="EY13" s="263">
        <v>0</v>
      </c>
      <c r="EZ13" s="263">
        <v>0</v>
      </c>
      <c r="FA13" s="263">
        <v>0</v>
      </c>
      <c r="FB13" s="263">
        <v>0</v>
      </c>
      <c r="FC13" s="263">
        <v>0</v>
      </c>
      <c r="FD13" s="263">
        <v>0</v>
      </c>
      <c r="FE13" s="263">
        <v>0</v>
      </c>
      <c r="FF13" s="263">
        <v>0</v>
      </c>
      <c r="FG13" s="263">
        <v>0</v>
      </c>
      <c r="FH13" s="263">
        <v>0</v>
      </c>
      <c r="FI13" s="263">
        <v>0</v>
      </c>
      <c r="FJ13" s="263">
        <v>0</v>
      </c>
      <c r="FK13" s="263">
        <v>0</v>
      </c>
      <c r="FL13" s="263">
        <v>0</v>
      </c>
      <c r="FM13" s="263">
        <v>0</v>
      </c>
      <c r="FN13" s="263">
        <v>0</v>
      </c>
      <c r="FO13" s="263">
        <v>0</v>
      </c>
      <c r="FP13" s="263">
        <v>0</v>
      </c>
      <c r="FQ13" s="263">
        <v>0</v>
      </c>
      <c r="FR13" s="263">
        <v>0</v>
      </c>
      <c r="FS13" s="263">
        <v>0</v>
      </c>
      <c r="FT13" s="263">
        <v>0</v>
      </c>
      <c r="FU13" s="263">
        <v>0</v>
      </c>
      <c r="FV13" s="263">
        <v>0</v>
      </c>
      <c r="FW13" s="263">
        <v>0</v>
      </c>
      <c r="FX13" s="263">
        <v>0</v>
      </c>
      <c r="FY13" s="263">
        <v>0</v>
      </c>
      <c r="FZ13" s="263">
        <v>0</v>
      </c>
      <c r="GA13" s="263">
        <v>0</v>
      </c>
      <c r="GB13" s="263">
        <v>0</v>
      </c>
      <c r="GC13" s="263">
        <v>0</v>
      </c>
      <c r="GD13" s="263">
        <v>0</v>
      </c>
      <c r="GE13" s="263">
        <v>0</v>
      </c>
      <c r="GF13" s="263">
        <v>0</v>
      </c>
      <c r="GG13" s="263">
        <v>0</v>
      </c>
      <c r="GH13" s="263">
        <v>0</v>
      </c>
      <c r="GI13" s="263">
        <v>0</v>
      </c>
      <c r="GJ13" s="263">
        <v>0</v>
      </c>
      <c r="GK13" s="263">
        <v>0</v>
      </c>
      <c r="GL13" s="263">
        <v>0</v>
      </c>
      <c r="GM13" s="263">
        <v>0</v>
      </c>
      <c r="GN13" s="263">
        <v>0</v>
      </c>
    </row>
    <row r="14" ht="12.75" customHeight="1">
      <c r="A14" s="284" t="s">
        <v>173</v>
      </c>
      <c r="B14" s="284" t="s">
        <v>174</v>
      </c>
      <c r="C14" s="263">
        <f>DA14+'User Input - Correlations'!C14</f>
        <v>0</v>
      </c>
      <c r="D14" s="263">
        <f>DB14+'User Input - Correlations'!D14</f>
        <v>0</v>
      </c>
      <c r="E14" s="263">
        <f>DC14+'User Input - Correlations'!E14</f>
        <v>0</v>
      </c>
      <c r="F14" s="263">
        <v>1</v>
      </c>
      <c r="G14" s="263">
        <f>DE14+'User Input - Correlations'!G14</f>
        <v>0</v>
      </c>
      <c r="H14" s="263">
        <f>DF14+'User Input - Correlations'!H14</f>
        <v>0</v>
      </c>
      <c r="I14" s="263">
        <f>DG14+'User Input - Correlations'!I14</f>
        <v>0</v>
      </c>
      <c r="J14" s="263">
        <f>DH14+'User Input - Correlations'!J14</f>
        <v>0</v>
      </c>
      <c r="K14" s="263">
        <f>DI14+'User Input - Correlations'!K14</f>
        <v>0</v>
      </c>
      <c r="L14" s="263">
        <f>DJ14+'User Input - Correlations'!L14</f>
        <v>0</v>
      </c>
      <c r="M14" s="263">
        <f>DK14+'User Input - Correlations'!M14</f>
        <v>0</v>
      </c>
      <c r="N14" s="263">
        <f>DL14+'User Input - Correlations'!N14</f>
        <v>0</v>
      </c>
      <c r="O14" s="263">
        <f>DM14+'User Input - Correlations'!O14</f>
        <v>0</v>
      </c>
      <c r="P14" s="263">
        <f>DN14+'User Input - Correlations'!P14</f>
        <v>0</v>
      </c>
      <c r="Q14" s="263">
        <f>DO14+'User Input - Correlations'!Q14</f>
        <v>0</v>
      </c>
      <c r="R14" s="263">
        <f>DP14+'User Input - Correlations'!R14</f>
        <v>0</v>
      </c>
      <c r="S14" s="263">
        <f>DQ14+'User Input - Correlations'!S14</f>
        <v>0</v>
      </c>
      <c r="T14" s="263">
        <f>DR14+'User Input - Correlations'!T14</f>
        <v>0</v>
      </c>
      <c r="U14" s="263">
        <f>DS14+'User Input - Correlations'!U14</f>
        <v>0</v>
      </c>
      <c r="V14" s="263">
        <f>DT14+'User Input - Correlations'!V14</f>
        <v>0</v>
      </c>
      <c r="W14" s="263">
        <f>DU14+'User Input - Correlations'!W14</f>
        <v>0</v>
      </c>
      <c r="X14" s="263">
        <f>DV14+'User Input - Correlations'!X14</f>
        <v>0</v>
      </c>
      <c r="Y14" s="263">
        <f>DW14+'User Input - Correlations'!Y14</f>
        <v>0</v>
      </c>
      <c r="Z14" s="263">
        <f>DX14+'User Input - Correlations'!Z14</f>
        <v>0</v>
      </c>
      <c r="AA14" s="263">
        <f>DY14+'User Input - Correlations'!AA14</f>
        <v>0</v>
      </c>
      <c r="AB14" s="263">
        <f>DZ14+'User Input - Correlations'!AB14</f>
        <v>0</v>
      </c>
      <c r="AC14" s="263">
        <f>EA14+'User Input - Correlations'!AC14</f>
        <v>0</v>
      </c>
      <c r="AD14" s="263">
        <f>EB14+'User Input - Correlations'!AD14</f>
        <v>0</v>
      </c>
      <c r="AE14" s="263">
        <f>EC14+'User Input - Correlations'!AE14</f>
        <v>0</v>
      </c>
      <c r="AF14" s="263">
        <f>ED14+'User Input - Correlations'!AF14</f>
        <v>0</v>
      </c>
      <c r="AG14" s="263">
        <f>EE14+'User Input - Correlations'!AG14</f>
        <v>0</v>
      </c>
      <c r="AH14" s="263">
        <f>EF14+'User Input - Correlations'!AH14</f>
        <v>0</v>
      </c>
      <c r="AI14" s="263">
        <f>EG14+'User Input - Correlations'!AI14</f>
        <v>0</v>
      </c>
      <c r="AJ14" s="263">
        <f>EH14+'User Input - Correlations'!AJ14</f>
        <v>0</v>
      </c>
      <c r="AK14" s="263">
        <f>EI14+'User Input - Correlations'!AK14</f>
        <v>0</v>
      </c>
      <c r="AL14" s="263">
        <f>EJ14+'User Input - Correlations'!AL14</f>
        <v>0</v>
      </c>
      <c r="AM14" s="263">
        <f>EK14+'User Input - Correlations'!AM14</f>
        <v>0</v>
      </c>
      <c r="AN14" s="263">
        <f>EL14+'User Input - Correlations'!AN14</f>
        <v>0</v>
      </c>
      <c r="AO14" s="263">
        <f>EM14+'User Input - Correlations'!AO14</f>
        <v>0</v>
      </c>
      <c r="AP14" s="263">
        <f>EN14+'User Input - Correlations'!AP14</f>
        <v>0</v>
      </c>
      <c r="AQ14" s="263">
        <f>EO14+'User Input - Correlations'!AQ14</f>
        <v>0</v>
      </c>
      <c r="AR14" s="263">
        <f>EP14+'User Input - Correlations'!AR14</f>
        <v>0</v>
      </c>
      <c r="AS14" s="263">
        <f>EQ14+'User Input - Correlations'!AS14</f>
        <v>0</v>
      </c>
      <c r="AT14" s="263">
        <f>ER14+'User Input - Correlations'!AT14</f>
        <v>0</v>
      </c>
      <c r="AU14" s="263">
        <f>ES14+'User Input - Correlations'!AU14</f>
        <v>0</v>
      </c>
      <c r="AV14" s="263">
        <f>ET14+'User Input - Correlations'!AV14</f>
        <v>0</v>
      </c>
      <c r="AW14" s="263">
        <f>EU14+'User Input - Correlations'!AW14</f>
        <v>0</v>
      </c>
      <c r="AX14" s="263">
        <f>EV14+'User Input - Correlations'!AX14</f>
        <v>0</v>
      </c>
      <c r="AY14" s="263">
        <f>EW14+'User Input - Correlations'!AY14</f>
        <v>0</v>
      </c>
      <c r="AZ14" s="263">
        <f>EX14+'User Input - Correlations'!AZ14</f>
        <v>0</v>
      </c>
      <c r="BA14" s="263">
        <f>EY14+'User Input - Correlations'!BA14</f>
        <v>0</v>
      </c>
      <c r="BB14" s="263">
        <f>EZ14+'User Input - Correlations'!BB14</f>
        <v>0</v>
      </c>
      <c r="BC14" s="263">
        <f>FA14+'User Input - Correlations'!BC14</f>
        <v>0</v>
      </c>
      <c r="BD14" s="263">
        <f>FB14+'User Input - Correlations'!BD14</f>
        <v>0</v>
      </c>
      <c r="BE14" s="263">
        <f>FC14+'User Input - Correlations'!BE14</f>
        <v>0</v>
      </c>
      <c r="BF14" s="263">
        <f>FD14+'User Input - Correlations'!BF14</f>
        <v>0</v>
      </c>
      <c r="BG14" s="263">
        <f>FE14+'User Input - Correlations'!BG14</f>
        <v>0</v>
      </c>
      <c r="BH14" s="263">
        <f>FF14+'User Input - Correlations'!BH14</f>
        <v>0</v>
      </c>
      <c r="BI14" s="263">
        <f>FG14+'User Input - Correlations'!BI14</f>
        <v>0</v>
      </c>
      <c r="BJ14" s="263">
        <f>FH14+'User Input - Correlations'!BJ14</f>
        <v>0</v>
      </c>
      <c r="BK14" s="263">
        <f>FI14+'User Input - Correlations'!BK14</f>
        <v>0</v>
      </c>
      <c r="BL14" s="263">
        <f>FJ14+'User Input - Correlations'!BL14</f>
        <v>0</v>
      </c>
      <c r="BM14" s="263">
        <f>FK14+'User Input - Correlations'!BM14</f>
        <v>0</v>
      </c>
      <c r="BN14" s="263">
        <f>FL14+'User Input - Correlations'!BN14</f>
        <v>0</v>
      </c>
      <c r="BO14" s="263">
        <f>FM14+'User Input - Correlations'!BO14</f>
        <v>0</v>
      </c>
      <c r="BP14" s="263">
        <f>FN14+'User Input - Correlations'!BP14</f>
        <v>0</v>
      </c>
      <c r="BQ14" s="263">
        <f>FO14+'User Input - Correlations'!BQ14</f>
        <v>0</v>
      </c>
      <c r="BR14" s="263">
        <f>FP14+'User Input - Correlations'!BR14</f>
        <v>0</v>
      </c>
      <c r="BS14" s="263">
        <f>FQ14+'User Input - Correlations'!BS14</f>
        <v>0</v>
      </c>
      <c r="BT14" s="263">
        <f>FR14+'User Input - Correlations'!BT14</f>
        <v>0</v>
      </c>
      <c r="BU14" s="263">
        <f>FS14+'User Input - Correlations'!BU14</f>
        <v>0</v>
      </c>
      <c r="BV14" s="263">
        <f>FT14+'User Input - Correlations'!BV14</f>
        <v>0</v>
      </c>
      <c r="BW14" s="263">
        <f>FU14+'User Input - Correlations'!BW14</f>
        <v>0</v>
      </c>
      <c r="BX14" s="263">
        <f>FV14+'User Input - Correlations'!BX14</f>
        <v>0</v>
      </c>
      <c r="BY14" s="263">
        <f>FW14+'User Input - Correlations'!BY14</f>
        <v>0</v>
      </c>
      <c r="BZ14" s="263">
        <f>FX14+'User Input - Correlations'!BZ14</f>
        <v>0</v>
      </c>
      <c r="CA14" s="263">
        <f>FY14+'User Input - Correlations'!CA14</f>
        <v>0</v>
      </c>
      <c r="CB14" s="263">
        <f>FZ14+'User Input - Correlations'!CB14</f>
        <v>0</v>
      </c>
      <c r="CC14" s="263">
        <f>GA14+'User Input - Correlations'!CC14</f>
        <v>0</v>
      </c>
      <c r="CD14" s="263">
        <f>GB14+'User Input - Correlations'!CD14</f>
        <v>0</v>
      </c>
      <c r="CE14" s="263">
        <f>GC14+'User Input - Correlations'!CE14</f>
        <v>0</v>
      </c>
      <c r="CF14" s="263">
        <f>GD14+'User Input - Correlations'!CF14</f>
        <v>0</v>
      </c>
      <c r="CG14" s="263">
        <f>GE14+'User Input - Correlations'!CG14</f>
        <v>0</v>
      </c>
      <c r="CH14" s="263">
        <f>GF14+'User Input - Correlations'!CH14</f>
        <v>0</v>
      </c>
      <c r="CI14" s="263">
        <f>GG14+'User Input - Correlations'!CI14</f>
        <v>0</v>
      </c>
      <c r="CJ14" s="263">
        <f>GH14+'User Input - Correlations'!CJ14</f>
        <v>0</v>
      </c>
      <c r="CK14" s="263">
        <f>GI14+'User Input - Correlations'!CK14</f>
        <v>0</v>
      </c>
      <c r="CL14" s="263">
        <f>GJ14+'User Input - Correlations'!CL14</f>
        <v>0</v>
      </c>
      <c r="CM14" s="263">
        <f>GK14+'User Input - Correlations'!CM14</f>
        <v>0</v>
      </c>
      <c r="CN14" s="263">
        <f>GL14+'User Input - Correlations'!CN14</f>
        <v>0</v>
      </c>
      <c r="CO14" s="263">
        <f>GM14+'User Input - Correlations'!CO14</f>
        <v>0</v>
      </c>
      <c r="CP14" s="264">
        <f>GN14+'User Input - Correlations'!CP14</f>
        <v>0</v>
      </c>
      <c r="CQ14" s="281">
        <f ca="1">MDETERM(OFFSET($C$11,0,0,ROWS($CQ$11:$CQ14),ROWS($CQ$11:$CQ14)))</f>
        <v>1</v>
      </c>
      <c r="DA14" s="263">
        <v>0</v>
      </c>
      <c r="DB14" s="263">
        <v>0</v>
      </c>
      <c r="DC14" s="263">
        <v>0</v>
      </c>
      <c r="DD14" s="263">
        <v>1</v>
      </c>
      <c r="DE14" s="263">
        <v>0</v>
      </c>
      <c r="DF14" s="263">
        <v>0</v>
      </c>
      <c r="DG14" s="263">
        <v>0</v>
      </c>
      <c r="DH14" s="263">
        <v>0</v>
      </c>
      <c r="DI14" s="263">
        <v>0</v>
      </c>
      <c r="DJ14" s="263">
        <v>0</v>
      </c>
      <c r="DK14" s="263">
        <v>0</v>
      </c>
      <c r="DL14" s="263">
        <v>0</v>
      </c>
      <c r="DM14" s="263">
        <v>0</v>
      </c>
      <c r="DN14" s="263">
        <v>0</v>
      </c>
      <c r="DO14" s="263">
        <v>0</v>
      </c>
      <c r="DP14" s="263">
        <v>0</v>
      </c>
      <c r="DQ14" s="263">
        <v>0</v>
      </c>
      <c r="DR14" s="263">
        <v>0</v>
      </c>
      <c r="DS14" s="263">
        <v>0</v>
      </c>
      <c r="DT14" s="263">
        <v>0</v>
      </c>
      <c r="DU14" s="263">
        <v>0</v>
      </c>
      <c r="DV14" s="263">
        <v>0</v>
      </c>
      <c r="DW14" s="263">
        <v>0</v>
      </c>
      <c r="DX14" s="263">
        <v>0</v>
      </c>
      <c r="DY14" s="263">
        <v>0</v>
      </c>
      <c r="DZ14" s="263">
        <v>0</v>
      </c>
      <c r="EA14" s="263">
        <v>0</v>
      </c>
      <c r="EB14" s="263">
        <v>0</v>
      </c>
      <c r="EC14" s="263">
        <v>0</v>
      </c>
      <c r="ED14" s="263">
        <v>0</v>
      </c>
      <c r="EE14" s="263">
        <v>0</v>
      </c>
      <c r="EF14" s="263">
        <v>0</v>
      </c>
      <c r="EG14" s="263">
        <v>0</v>
      </c>
      <c r="EH14" s="263">
        <v>0</v>
      </c>
      <c r="EI14" s="263">
        <v>0</v>
      </c>
      <c r="EJ14" s="263">
        <v>0</v>
      </c>
      <c r="EK14" s="263">
        <v>0</v>
      </c>
      <c r="EL14" s="263">
        <v>0</v>
      </c>
      <c r="EM14" s="263">
        <v>0</v>
      </c>
      <c r="EN14" s="263">
        <v>0</v>
      </c>
      <c r="EO14" s="263">
        <v>0</v>
      </c>
      <c r="EP14" s="263">
        <v>0</v>
      </c>
      <c r="EQ14" s="263">
        <v>0</v>
      </c>
      <c r="ER14" s="263">
        <v>0</v>
      </c>
      <c r="ES14" s="263">
        <v>0</v>
      </c>
      <c r="ET14" s="263">
        <v>0</v>
      </c>
      <c r="EU14" s="263">
        <v>0</v>
      </c>
      <c r="EV14" s="263">
        <v>0</v>
      </c>
      <c r="EW14" s="263">
        <v>0</v>
      </c>
      <c r="EX14" s="263">
        <v>0</v>
      </c>
      <c r="EY14" s="263">
        <v>0</v>
      </c>
      <c r="EZ14" s="263">
        <v>0</v>
      </c>
      <c r="FA14" s="263">
        <v>0</v>
      </c>
      <c r="FB14" s="263">
        <v>0</v>
      </c>
      <c r="FC14" s="263">
        <v>0</v>
      </c>
      <c r="FD14" s="263">
        <v>0</v>
      </c>
      <c r="FE14" s="263">
        <v>0</v>
      </c>
      <c r="FF14" s="263">
        <v>0</v>
      </c>
      <c r="FG14" s="263">
        <v>0</v>
      </c>
      <c r="FH14" s="263">
        <v>0</v>
      </c>
      <c r="FI14" s="263">
        <v>0</v>
      </c>
      <c r="FJ14" s="263">
        <v>0</v>
      </c>
      <c r="FK14" s="263">
        <v>0</v>
      </c>
      <c r="FL14" s="263">
        <v>0</v>
      </c>
      <c r="FM14" s="263">
        <v>0</v>
      </c>
      <c r="FN14" s="263">
        <v>0</v>
      </c>
      <c r="FO14" s="263">
        <v>0</v>
      </c>
      <c r="FP14" s="263">
        <v>0</v>
      </c>
      <c r="FQ14" s="263">
        <v>0</v>
      </c>
      <c r="FR14" s="263">
        <v>0</v>
      </c>
      <c r="FS14" s="263">
        <v>0</v>
      </c>
      <c r="FT14" s="263">
        <v>0</v>
      </c>
      <c r="FU14" s="263">
        <v>0</v>
      </c>
      <c r="FV14" s="263">
        <v>0</v>
      </c>
      <c r="FW14" s="263">
        <v>0</v>
      </c>
      <c r="FX14" s="263">
        <v>0</v>
      </c>
      <c r="FY14" s="263">
        <v>0</v>
      </c>
      <c r="FZ14" s="263">
        <v>0</v>
      </c>
      <c r="GA14" s="263">
        <v>0</v>
      </c>
      <c r="GB14" s="263">
        <v>0</v>
      </c>
      <c r="GC14" s="263">
        <v>0</v>
      </c>
      <c r="GD14" s="263">
        <v>0</v>
      </c>
      <c r="GE14" s="263">
        <v>0</v>
      </c>
      <c r="GF14" s="263">
        <v>0</v>
      </c>
      <c r="GG14" s="263">
        <v>0</v>
      </c>
      <c r="GH14" s="263">
        <v>0</v>
      </c>
      <c r="GI14" s="263">
        <v>0</v>
      </c>
      <c r="GJ14" s="263">
        <v>0</v>
      </c>
      <c r="GK14" s="263">
        <v>0</v>
      </c>
      <c r="GL14" s="263">
        <v>0</v>
      </c>
      <c r="GM14" s="263">
        <v>0</v>
      </c>
      <c r="GN14" s="263">
        <v>0</v>
      </c>
    </row>
    <row r="15" ht="12.75" customHeight="1">
      <c r="A15" s="284" t="s">
        <v>176</v>
      </c>
      <c r="B15" s="284" t="s">
        <v>174</v>
      </c>
      <c r="C15" s="263">
        <f>DA15+'User Input - Correlations'!C15</f>
        <v>0</v>
      </c>
      <c r="D15" s="263">
        <f>DB15+'User Input - Correlations'!D15</f>
        <v>0</v>
      </c>
      <c r="E15" s="263">
        <f>DC15+'User Input - Correlations'!E15</f>
        <v>0</v>
      </c>
      <c r="F15" s="263">
        <f>DD15+'User Input - Correlations'!F15</f>
        <v>0</v>
      </c>
      <c r="G15" s="263">
        <v>1</v>
      </c>
      <c r="H15" s="263">
        <f>DF15+'User Input - Correlations'!H15</f>
        <v>0</v>
      </c>
      <c r="I15" s="263">
        <f>DG15+'User Input - Correlations'!I15</f>
        <v>0</v>
      </c>
      <c r="J15" s="263">
        <f>DH15+'User Input - Correlations'!J15</f>
        <v>0</v>
      </c>
      <c r="K15" s="263">
        <f>DI15+'User Input - Correlations'!K15</f>
        <v>0</v>
      </c>
      <c r="L15" s="263">
        <f>DJ15+'User Input - Correlations'!L15</f>
        <v>0</v>
      </c>
      <c r="M15" s="263">
        <f>DK15+'User Input - Correlations'!M15</f>
        <v>0</v>
      </c>
      <c r="N15" s="263">
        <f>DL15+'User Input - Correlations'!N15</f>
        <v>0</v>
      </c>
      <c r="O15" s="263">
        <f>DM15+'User Input - Correlations'!O15</f>
        <v>0</v>
      </c>
      <c r="P15" s="263">
        <f>DN15+'User Input - Correlations'!P15</f>
        <v>0</v>
      </c>
      <c r="Q15" s="263">
        <f>DO15+'User Input - Correlations'!Q15</f>
        <v>0</v>
      </c>
      <c r="R15" s="263">
        <f>DP15+'User Input - Correlations'!R15</f>
        <v>0</v>
      </c>
      <c r="S15" s="263">
        <f>DQ15+'User Input - Correlations'!S15</f>
        <v>0</v>
      </c>
      <c r="T15" s="263">
        <f>DR15+'User Input - Correlations'!T15</f>
        <v>0</v>
      </c>
      <c r="U15" s="263">
        <f>DS15+'User Input - Correlations'!U15</f>
        <v>0</v>
      </c>
      <c r="V15" s="263">
        <f>DT15+'User Input - Correlations'!V15</f>
        <v>0</v>
      </c>
      <c r="W15" s="263">
        <f>DU15+'User Input - Correlations'!W15</f>
        <v>0</v>
      </c>
      <c r="X15" s="263">
        <f>DV15+'User Input - Correlations'!X15</f>
        <v>0</v>
      </c>
      <c r="Y15" s="263">
        <f>DW15+'User Input - Correlations'!Y15</f>
        <v>0</v>
      </c>
      <c r="Z15" s="263">
        <f>DX15+'User Input - Correlations'!Z15</f>
        <v>0</v>
      </c>
      <c r="AA15" s="263">
        <f>DY15+'User Input - Correlations'!AA15</f>
        <v>0</v>
      </c>
      <c r="AB15" s="263">
        <f>DZ15+'User Input - Correlations'!AB15</f>
        <v>0</v>
      </c>
      <c r="AC15" s="263">
        <f>EA15+'User Input - Correlations'!AC15</f>
        <v>0</v>
      </c>
      <c r="AD15" s="263">
        <f>EB15+'User Input - Correlations'!AD15</f>
        <v>0</v>
      </c>
      <c r="AE15" s="263">
        <f>EC15+'User Input - Correlations'!AE15</f>
        <v>0</v>
      </c>
      <c r="AF15" s="263">
        <f>ED15+'User Input - Correlations'!AF15</f>
        <v>0</v>
      </c>
      <c r="AG15" s="263">
        <f>EE15+'User Input - Correlations'!AG15</f>
        <v>0</v>
      </c>
      <c r="AH15" s="263">
        <f>EF15+'User Input - Correlations'!AH15</f>
        <v>0</v>
      </c>
      <c r="AI15" s="263">
        <f>EG15+'User Input - Correlations'!AI15</f>
        <v>0</v>
      </c>
      <c r="AJ15" s="263">
        <f>EH15+'User Input - Correlations'!AJ15</f>
        <v>0</v>
      </c>
      <c r="AK15" s="263">
        <f>EI15+'User Input - Correlations'!AK15</f>
        <v>0</v>
      </c>
      <c r="AL15" s="263">
        <f>EJ15+'User Input - Correlations'!AL15</f>
        <v>0</v>
      </c>
      <c r="AM15" s="263">
        <f>EK15+'User Input - Correlations'!AM15</f>
        <v>0</v>
      </c>
      <c r="AN15" s="263">
        <f>EL15+'User Input - Correlations'!AN15</f>
        <v>0</v>
      </c>
      <c r="AO15" s="263">
        <f>EM15+'User Input - Correlations'!AO15</f>
        <v>0</v>
      </c>
      <c r="AP15" s="263">
        <f>EN15+'User Input - Correlations'!AP15</f>
        <v>0</v>
      </c>
      <c r="AQ15" s="263">
        <f>EO15+'User Input - Correlations'!AQ15</f>
        <v>0</v>
      </c>
      <c r="AR15" s="263">
        <f>EP15+'User Input - Correlations'!AR15</f>
        <v>0</v>
      </c>
      <c r="AS15" s="263">
        <f>EQ15+'User Input - Correlations'!AS15</f>
        <v>0</v>
      </c>
      <c r="AT15" s="263">
        <f>ER15+'User Input - Correlations'!AT15</f>
        <v>0</v>
      </c>
      <c r="AU15" s="263">
        <f>ES15+'User Input - Correlations'!AU15</f>
        <v>0</v>
      </c>
      <c r="AV15" s="263">
        <f>ET15+'User Input - Correlations'!AV15</f>
        <v>0</v>
      </c>
      <c r="AW15" s="263">
        <f>EU15+'User Input - Correlations'!AW15</f>
        <v>0</v>
      </c>
      <c r="AX15" s="263">
        <f>EV15+'User Input - Correlations'!AX15</f>
        <v>0</v>
      </c>
      <c r="AY15" s="263">
        <f>EW15+'User Input - Correlations'!AY15</f>
        <v>0</v>
      </c>
      <c r="AZ15" s="263">
        <f>EX15+'User Input - Correlations'!AZ15</f>
        <v>0</v>
      </c>
      <c r="BA15" s="263">
        <f>EY15+'User Input - Correlations'!BA15</f>
        <v>0</v>
      </c>
      <c r="BB15" s="263">
        <f>EZ15+'User Input - Correlations'!BB15</f>
        <v>0</v>
      </c>
      <c r="BC15" s="263">
        <f>FA15+'User Input - Correlations'!BC15</f>
        <v>0</v>
      </c>
      <c r="BD15" s="263">
        <f>FB15+'User Input - Correlations'!BD15</f>
        <v>0</v>
      </c>
      <c r="BE15" s="263">
        <f>FC15+'User Input - Correlations'!BE15</f>
        <v>0</v>
      </c>
      <c r="BF15" s="263">
        <f>FD15+'User Input - Correlations'!BF15</f>
        <v>0</v>
      </c>
      <c r="BG15" s="263">
        <f>FE15+'User Input - Correlations'!BG15</f>
        <v>0</v>
      </c>
      <c r="BH15" s="263">
        <f>FF15+'User Input - Correlations'!BH15</f>
        <v>0</v>
      </c>
      <c r="BI15" s="263">
        <f>FG15+'User Input - Correlations'!BI15</f>
        <v>0</v>
      </c>
      <c r="BJ15" s="263">
        <f>FH15+'User Input - Correlations'!BJ15</f>
        <v>0</v>
      </c>
      <c r="BK15" s="263">
        <f>FI15+'User Input - Correlations'!BK15</f>
        <v>0</v>
      </c>
      <c r="BL15" s="263">
        <f>FJ15+'User Input - Correlations'!BL15</f>
        <v>0</v>
      </c>
      <c r="BM15" s="263">
        <f>FK15+'User Input - Correlations'!BM15</f>
        <v>0</v>
      </c>
      <c r="BN15" s="263">
        <f>FL15+'User Input - Correlations'!BN15</f>
        <v>0</v>
      </c>
      <c r="BO15" s="263">
        <f>FM15+'User Input - Correlations'!BO15</f>
        <v>0</v>
      </c>
      <c r="BP15" s="263">
        <f>FN15+'User Input - Correlations'!BP15</f>
        <v>0</v>
      </c>
      <c r="BQ15" s="263">
        <f>FO15+'User Input - Correlations'!BQ15</f>
        <v>0</v>
      </c>
      <c r="BR15" s="263">
        <f>FP15+'User Input - Correlations'!BR15</f>
        <v>0</v>
      </c>
      <c r="BS15" s="263">
        <f>FQ15+'User Input - Correlations'!BS15</f>
        <v>0</v>
      </c>
      <c r="BT15" s="263">
        <f>FR15+'User Input - Correlations'!BT15</f>
        <v>0</v>
      </c>
      <c r="BU15" s="263">
        <f>FS15+'User Input - Correlations'!BU15</f>
        <v>0</v>
      </c>
      <c r="BV15" s="263">
        <f>FT15+'User Input - Correlations'!BV15</f>
        <v>0</v>
      </c>
      <c r="BW15" s="263">
        <f>FU15+'User Input - Correlations'!BW15</f>
        <v>0</v>
      </c>
      <c r="BX15" s="263">
        <f>FV15+'User Input - Correlations'!BX15</f>
        <v>0</v>
      </c>
      <c r="BY15" s="263">
        <f>FW15+'User Input - Correlations'!BY15</f>
        <v>0</v>
      </c>
      <c r="BZ15" s="263">
        <f>FX15+'User Input - Correlations'!BZ15</f>
        <v>0</v>
      </c>
      <c r="CA15" s="263">
        <f>FY15+'User Input - Correlations'!CA15</f>
        <v>0</v>
      </c>
      <c r="CB15" s="263">
        <f>FZ15+'User Input - Correlations'!CB15</f>
        <v>0</v>
      </c>
      <c r="CC15" s="263">
        <f>GA15+'User Input - Correlations'!CC15</f>
        <v>0</v>
      </c>
      <c r="CD15" s="263">
        <f>GB15+'User Input - Correlations'!CD15</f>
        <v>0</v>
      </c>
      <c r="CE15" s="263">
        <f>GC15+'User Input - Correlations'!CE15</f>
        <v>0</v>
      </c>
      <c r="CF15" s="263">
        <f>GD15+'User Input - Correlations'!CF15</f>
        <v>0</v>
      </c>
      <c r="CG15" s="263">
        <f>GE15+'User Input - Correlations'!CG15</f>
        <v>0</v>
      </c>
      <c r="CH15" s="263">
        <f>GF15+'User Input - Correlations'!CH15</f>
        <v>0</v>
      </c>
      <c r="CI15" s="263">
        <f>GG15+'User Input - Correlations'!CI15</f>
        <v>0</v>
      </c>
      <c r="CJ15" s="263">
        <f>GH15+'User Input - Correlations'!CJ15</f>
        <v>0</v>
      </c>
      <c r="CK15" s="263">
        <f>GI15+'User Input - Correlations'!CK15</f>
        <v>0</v>
      </c>
      <c r="CL15" s="263">
        <f>GJ15+'User Input - Correlations'!CL15</f>
        <v>0</v>
      </c>
      <c r="CM15" s="263">
        <f>GK15+'User Input - Correlations'!CM15</f>
        <v>0</v>
      </c>
      <c r="CN15" s="263">
        <f>GL15+'User Input - Correlations'!CN15</f>
        <v>0</v>
      </c>
      <c r="CO15" s="263">
        <f>GM15+'User Input - Correlations'!CO15</f>
        <v>0</v>
      </c>
      <c r="CP15" s="264">
        <f>GN15+'User Input - Correlations'!CP15</f>
        <v>0</v>
      </c>
      <c r="CQ15" s="281">
        <f ca="1">MDETERM(OFFSET($C$11,0,0,ROWS($CQ$11:$CQ15),ROWS($CQ$11:$CQ15)))</f>
        <v>1</v>
      </c>
      <c r="DA15" s="263">
        <v>0</v>
      </c>
      <c r="DB15" s="263">
        <v>0</v>
      </c>
      <c r="DC15" s="263">
        <v>0</v>
      </c>
      <c r="DD15" s="263">
        <v>0</v>
      </c>
      <c r="DE15" s="263">
        <v>1</v>
      </c>
      <c r="DF15" s="263">
        <v>0</v>
      </c>
      <c r="DG15" s="263">
        <v>0</v>
      </c>
      <c r="DH15" s="263">
        <v>0</v>
      </c>
      <c r="DI15" s="263">
        <v>0</v>
      </c>
      <c r="DJ15" s="263">
        <v>0</v>
      </c>
      <c r="DK15" s="263">
        <v>0</v>
      </c>
      <c r="DL15" s="263">
        <v>0</v>
      </c>
      <c r="DM15" s="263">
        <v>0</v>
      </c>
      <c r="DN15" s="263">
        <v>0</v>
      </c>
      <c r="DO15" s="263">
        <v>0</v>
      </c>
      <c r="DP15" s="263">
        <v>0</v>
      </c>
      <c r="DQ15" s="263">
        <v>0</v>
      </c>
      <c r="DR15" s="263">
        <v>0</v>
      </c>
      <c r="DS15" s="263">
        <v>0</v>
      </c>
      <c r="DT15" s="263">
        <v>0</v>
      </c>
      <c r="DU15" s="263">
        <v>0</v>
      </c>
      <c r="DV15" s="263">
        <v>0</v>
      </c>
      <c r="DW15" s="263">
        <v>0</v>
      </c>
      <c r="DX15" s="263">
        <v>0</v>
      </c>
      <c r="DY15" s="263">
        <v>0</v>
      </c>
      <c r="DZ15" s="263">
        <v>0</v>
      </c>
      <c r="EA15" s="263">
        <v>0</v>
      </c>
      <c r="EB15" s="263">
        <v>0</v>
      </c>
      <c r="EC15" s="263">
        <v>0</v>
      </c>
      <c r="ED15" s="263">
        <v>0</v>
      </c>
      <c r="EE15" s="263">
        <v>0</v>
      </c>
      <c r="EF15" s="263">
        <v>0</v>
      </c>
      <c r="EG15" s="263">
        <v>0</v>
      </c>
      <c r="EH15" s="263">
        <v>0</v>
      </c>
      <c r="EI15" s="263">
        <v>0</v>
      </c>
      <c r="EJ15" s="263">
        <v>0</v>
      </c>
      <c r="EK15" s="263">
        <v>0</v>
      </c>
      <c r="EL15" s="263">
        <v>0</v>
      </c>
      <c r="EM15" s="263">
        <v>0</v>
      </c>
      <c r="EN15" s="263">
        <v>0</v>
      </c>
      <c r="EO15" s="263">
        <v>0</v>
      </c>
      <c r="EP15" s="263">
        <v>0</v>
      </c>
      <c r="EQ15" s="263">
        <v>0</v>
      </c>
      <c r="ER15" s="263">
        <v>0</v>
      </c>
      <c r="ES15" s="263">
        <v>0</v>
      </c>
      <c r="ET15" s="263">
        <v>0</v>
      </c>
      <c r="EU15" s="263">
        <v>0</v>
      </c>
      <c r="EV15" s="263">
        <v>0</v>
      </c>
      <c r="EW15" s="263">
        <v>0</v>
      </c>
      <c r="EX15" s="263">
        <v>0</v>
      </c>
      <c r="EY15" s="263">
        <v>0</v>
      </c>
      <c r="EZ15" s="263">
        <v>0</v>
      </c>
      <c r="FA15" s="263">
        <v>0</v>
      </c>
      <c r="FB15" s="263">
        <v>0</v>
      </c>
      <c r="FC15" s="263">
        <v>0</v>
      </c>
      <c r="FD15" s="263">
        <v>0</v>
      </c>
      <c r="FE15" s="263">
        <v>0</v>
      </c>
      <c r="FF15" s="263">
        <v>0</v>
      </c>
      <c r="FG15" s="263">
        <v>0</v>
      </c>
      <c r="FH15" s="263">
        <v>0</v>
      </c>
      <c r="FI15" s="263">
        <v>0</v>
      </c>
      <c r="FJ15" s="263">
        <v>0</v>
      </c>
      <c r="FK15" s="263">
        <v>0</v>
      </c>
      <c r="FL15" s="263">
        <v>0</v>
      </c>
      <c r="FM15" s="263">
        <v>0</v>
      </c>
      <c r="FN15" s="263">
        <v>0</v>
      </c>
      <c r="FO15" s="263">
        <v>0</v>
      </c>
      <c r="FP15" s="263">
        <v>0</v>
      </c>
      <c r="FQ15" s="263">
        <v>0</v>
      </c>
      <c r="FR15" s="263">
        <v>0</v>
      </c>
      <c r="FS15" s="263">
        <v>0</v>
      </c>
      <c r="FT15" s="263">
        <v>0</v>
      </c>
      <c r="FU15" s="263">
        <v>0</v>
      </c>
      <c r="FV15" s="263">
        <v>0</v>
      </c>
      <c r="FW15" s="263">
        <v>0</v>
      </c>
      <c r="FX15" s="263">
        <v>0</v>
      </c>
      <c r="FY15" s="263">
        <v>0</v>
      </c>
      <c r="FZ15" s="263">
        <v>0</v>
      </c>
      <c r="GA15" s="263">
        <v>0</v>
      </c>
      <c r="GB15" s="263">
        <v>0</v>
      </c>
      <c r="GC15" s="263">
        <v>0</v>
      </c>
      <c r="GD15" s="263">
        <v>0</v>
      </c>
      <c r="GE15" s="263">
        <v>0</v>
      </c>
      <c r="GF15" s="263">
        <v>0</v>
      </c>
      <c r="GG15" s="263">
        <v>0</v>
      </c>
      <c r="GH15" s="263">
        <v>0</v>
      </c>
      <c r="GI15" s="263">
        <v>0</v>
      </c>
      <c r="GJ15" s="263">
        <v>0</v>
      </c>
      <c r="GK15" s="263">
        <v>0</v>
      </c>
      <c r="GL15" s="263">
        <v>0</v>
      </c>
      <c r="GM15" s="263">
        <v>0</v>
      </c>
      <c r="GN15" s="263">
        <v>0</v>
      </c>
    </row>
    <row r="16" ht="12.75" customHeight="1">
      <c r="A16" s="284" t="s">
        <v>177</v>
      </c>
      <c r="B16" s="284" t="s">
        <v>174</v>
      </c>
      <c r="C16" s="263">
        <f>DA16+'User Input - Correlations'!C16</f>
        <v>0</v>
      </c>
      <c r="D16" s="263">
        <f>DB16+'User Input - Correlations'!D16</f>
        <v>0</v>
      </c>
      <c r="E16" s="263">
        <f>DC16+'User Input - Correlations'!E16</f>
        <v>0</v>
      </c>
      <c r="F16" s="263">
        <f>DD16+'User Input - Correlations'!F16</f>
        <v>0</v>
      </c>
      <c r="G16" s="263">
        <f>DE16+'User Input - Correlations'!G16</f>
        <v>0</v>
      </c>
      <c r="H16" s="263">
        <v>1</v>
      </c>
      <c r="I16" s="263">
        <f>DG16+'User Input - Correlations'!I16</f>
        <v>0</v>
      </c>
      <c r="J16" s="263">
        <f>DH16+'User Input - Correlations'!J16</f>
        <v>0</v>
      </c>
      <c r="K16" s="263">
        <f>DI16+'User Input - Correlations'!K16</f>
        <v>0</v>
      </c>
      <c r="L16" s="263">
        <f>DJ16+'User Input - Correlations'!L16</f>
        <v>0</v>
      </c>
      <c r="M16" s="263">
        <f>DK16+'User Input - Correlations'!M16</f>
        <v>0</v>
      </c>
      <c r="N16" s="263">
        <f>DL16+'User Input - Correlations'!N16</f>
        <v>0</v>
      </c>
      <c r="O16" s="263">
        <f>DM16+'User Input - Correlations'!O16</f>
        <v>0</v>
      </c>
      <c r="P16" s="263">
        <f>DN16+'User Input - Correlations'!P16</f>
        <v>0</v>
      </c>
      <c r="Q16" s="263">
        <f>DO16+'User Input - Correlations'!Q16</f>
        <v>0</v>
      </c>
      <c r="R16" s="263">
        <f>DP16+'User Input - Correlations'!R16</f>
        <v>0</v>
      </c>
      <c r="S16" s="263">
        <f>DQ16+'User Input - Correlations'!S16</f>
        <v>0</v>
      </c>
      <c r="T16" s="263">
        <f>DR16+'User Input - Correlations'!T16</f>
        <v>0</v>
      </c>
      <c r="U16" s="263">
        <f>DS16+'User Input - Correlations'!U16</f>
        <v>0</v>
      </c>
      <c r="V16" s="263">
        <f>DT16+'User Input - Correlations'!V16</f>
        <v>0</v>
      </c>
      <c r="W16" s="263">
        <f>DU16+'User Input - Correlations'!W16</f>
        <v>0</v>
      </c>
      <c r="X16" s="263">
        <f>DV16+'User Input - Correlations'!X16</f>
        <v>0</v>
      </c>
      <c r="Y16" s="263">
        <f>DW16+'User Input - Correlations'!Y16</f>
        <v>0</v>
      </c>
      <c r="Z16" s="263">
        <f>DX16+'User Input - Correlations'!Z16</f>
        <v>0</v>
      </c>
      <c r="AA16" s="263">
        <f>DY16+'User Input - Correlations'!AA16</f>
        <v>0</v>
      </c>
      <c r="AB16" s="263">
        <f>DZ16+'User Input - Correlations'!AB16</f>
        <v>0</v>
      </c>
      <c r="AC16" s="263">
        <f>EA16+'User Input - Correlations'!AC16</f>
        <v>0</v>
      </c>
      <c r="AD16" s="263">
        <f>EB16+'User Input - Correlations'!AD16</f>
        <v>0</v>
      </c>
      <c r="AE16" s="263">
        <f>EC16+'User Input - Correlations'!AE16</f>
        <v>0</v>
      </c>
      <c r="AF16" s="263">
        <f>ED16+'User Input - Correlations'!AF16</f>
        <v>0</v>
      </c>
      <c r="AG16" s="263">
        <f>EE16+'User Input - Correlations'!AG16</f>
        <v>0</v>
      </c>
      <c r="AH16" s="263">
        <f>EF16+'User Input - Correlations'!AH16</f>
        <v>0</v>
      </c>
      <c r="AI16" s="263">
        <f>EG16+'User Input - Correlations'!AI16</f>
        <v>0</v>
      </c>
      <c r="AJ16" s="263">
        <f>EH16+'User Input - Correlations'!AJ16</f>
        <v>0</v>
      </c>
      <c r="AK16" s="263">
        <f>EI16+'User Input - Correlations'!AK16</f>
        <v>0</v>
      </c>
      <c r="AL16" s="263">
        <f>EJ16+'User Input - Correlations'!AL16</f>
        <v>0</v>
      </c>
      <c r="AM16" s="263">
        <f>EK16+'User Input - Correlations'!AM16</f>
        <v>0</v>
      </c>
      <c r="AN16" s="263">
        <f>EL16+'User Input - Correlations'!AN16</f>
        <v>0</v>
      </c>
      <c r="AO16" s="263">
        <f>EM16+'User Input - Correlations'!AO16</f>
        <v>0</v>
      </c>
      <c r="AP16" s="263">
        <f>EN16+'User Input - Correlations'!AP16</f>
        <v>0</v>
      </c>
      <c r="AQ16" s="263">
        <f>EO16+'User Input - Correlations'!AQ16</f>
        <v>0</v>
      </c>
      <c r="AR16" s="263">
        <f>EP16+'User Input - Correlations'!AR16</f>
        <v>0</v>
      </c>
      <c r="AS16" s="263">
        <f>EQ16+'User Input - Correlations'!AS16</f>
        <v>0</v>
      </c>
      <c r="AT16" s="263">
        <f>ER16+'User Input - Correlations'!AT16</f>
        <v>0</v>
      </c>
      <c r="AU16" s="263">
        <f>ES16+'User Input - Correlations'!AU16</f>
        <v>0</v>
      </c>
      <c r="AV16" s="263">
        <f>ET16+'User Input - Correlations'!AV16</f>
        <v>0</v>
      </c>
      <c r="AW16" s="263">
        <f>EU16+'User Input - Correlations'!AW16</f>
        <v>0</v>
      </c>
      <c r="AX16" s="263">
        <f>EV16+'User Input - Correlations'!AX16</f>
        <v>0</v>
      </c>
      <c r="AY16" s="263">
        <f>EW16+'User Input - Correlations'!AY16</f>
        <v>0</v>
      </c>
      <c r="AZ16" s="263">
        <f>EX16+'User Input - Correlations'!AZ16</f>
        <v>0</v>
      </c>
      <c r="BA16" s="263">
        <f>EY16+'User Input - Correlations'!BA16</f>
        <v>0</v>
      </c>
      <c r="BB16" s="263">
        <f>EZ16+'User Input - Correlations'!BB16</f>
        <v>0</v>
      </c>
      <c r="BC16" s="263">
        <f>FA16+'User Input - Correlations'!BC16</f>
        <v>0</v>
      </c>
      <c r="BD16" s="263">
        <f>FB16+'User Input - Correlations'!BD16</f>
        <v>0</v>
      </c>
      <c r="BE16" s="263">
        <f>FC16+'User Input - Correlations'!BE16</f>
        <v>0</v>
      </c>
      <c r="BF16" s="263">
        <f>FD16+'User Input - Correlations'!BF16</f>
        <v>0</v>
      </c>
      <c r="BG16" s="263">
        <f>FE16+'User Input - Correlations'!BG16</f>
        <v>0</v>
      </c>
      <c r="BH16" s="263">
        <f>FF16+'User Input - Correlations'!BH16</f>
        <v>0</v>
      </c>
      <c r="BI16" s="263">
        <f>FG16+'User Input - Correlations'!BI16</f>
        <v>0</v>
      </c>
      <c r="BJ16" s="263">
        <f>FH16+'User Input - Correlations'!BJ16</f>
        <v>0</v>
      </c>
      <c r="BK16" s="263">
        <f>FI16+'User Input - Correlations'!BK16</f>
        <v>0</v>
      </c>
      <c r="BL16" s="263">
        <f>FJ16+'User Input - Correlations'!BL16</f>
        <v>0</v>
      </c>
      <c r="BM16" s="263">
        <f>FK16+'User Input - Correlations'!BM16</f>
        <v>0</v>
      </c>
      <c r="BN16" s="263">
        <f>FL16+'User Input - Correlations'!BN16</f>
        <v>0</v>
      </c>
      <c r="BO16" s="263">
        <f>FM16+'User Input - Correlations'!BO16</f>
        <v>0</v>
      </c>
      <c r="BP16" s="263">
        <f>FN16+'User Input - Correlations'!BP16</f>
        <v>0</v>
      </c>
      <c r="BQ16" s="263">
        <f>FO16+'User Input - Correlations'!BQ16</f>
        <v>0</v>
      </c>
      <c r="BR16" s="263">
        <f>FP16+'User Input - Correlations'!BR16</f>
        <v>0</v>
      </c>
      <c r="BS16" s="263">
        <f>FQ16+'User Input - Correlations'!BS16</f>
        <v>0</v>
      </c>
      <c r="BT16" s="263">
        <f>FR16+'User Input - Correlations'!BT16</f>
        <v>0</v>
      </c>
      <c r="BU16" s="263">
        <f>FS16+'User Input - Correlations'!BU16</f>
        <v>0</v>
      </c>
      <c r="BV16" s="263">
        <f>FT16+'User Input - Correlations'!BV16</f>
        <v>0</v>
      </c>
      <c r="BW16" s="263">
        <f>FU16+'User Input - Correlations'!BW16</f>
        <v>0</v>
      </c>
      <c r="BX16" s="263">
        <f>FV16+'User Input - Correlations'!BX16</f>
        <v>0</v>
      </c>
      <c r="BY16" s="263">
        <f>FW16+'User Input - Correlations'!BY16</f>
        <v>0</v>
      </c>
      <c r="BZ16" s="263">
        <f>FX16+'User Input - Correlations'!BZ16</f>
        <v>0</v>
      </c>
      <c r="CA16" s="263">
        <f>FY16+'User Input - Correlations'!CA16</f>
        <v>0</v>
      </c>
      <c r="CB16" s="263">
        <f>FZ16+'User Input - Correlations'!CB16</f>
        <v>0</v>
      </c>
      <c r="CC16" s="263">
        <f>GA16+'User Input - Correlations'!CC16</f>
        <v>0</v>
      </c>
      <c r="CD16" s="263">
        <f>GB16+'User Input - Correlations'!CD16</f>
        <v>0</v>
      </c>
      <c r="CE16" s="263">
        <f>GC16+'User Input - Correlations'!CE16</f>
        <v>0</v>
      </c>
      <c r="CF16" s="263">
        <f>GD16+'User Input - Correlations'!CF16</f>
        <v>0</v>
      </c>
      <c r="CG16" s="263">
        <f>GE16+'User Input - Correlations'!CG16</f>
        <v>0</v>
      </c>
      <c r="CH16" s="263">
        <f>GF16+'User Input - Correlations'!CH16</f>
        <v>0</v>
      </c>
      <c r="CI16" s="263">
        <f>GG16+'User Input - Correlations'!CI16</f>
        <v>0</v>
      </c>
      <c r="CJ16" s="263">
        <f>GH16+'User Input - Correlations'!CJ16</f>
        <v>0</v>
      </c>
      <c r="CK16" s="263">
        <f>GI16+'User Input - Correlations'!CK16</f>
        <v>0</v>
      </c>
      <c r="CL16" s="263">
        <f>GJ16+'User Input - Correlations'!CL16</f>
        <v>0</v>
      </c>
      <c r="CM16" s="263">
        <f>GK16+'User Input - Correlations'!CM16</f>
        <v>0</v>
      </c>
      <c r="CN16" s="263">
        <f>GL16+'User Input - Correlations'!CN16</f>
        <v>0</v>
      </c>
      <c r="CO16" s="263">
        <f>GM16+'User Input - Correlations'!CO16</f>
        <v>0</v>
      </c>
      <c r="CP16" s="264">
        <f>GN16+'User Input - Correlations'!CP16</f>
        <v>0</v>
      </c>
      <c r="CQ16" s="281">
        <f ca="1">MDETERM(OFFSET($C$11,0,0,ROWS($CQ$11:$CQ16),ROWS($CQ$11:$CQ16)))</f>
        <v>1</v>
      </c>
      <c r="DA16" s="263">
        <v>0</v>
      </c>
      <c r="DB16" s="263">
        <v>0</v>
      </c>
      <c r="DC16" s="263">
        <v>0</v>
      </c>
      <c r="DD16" s="263">
        <v>0</v>
      </c>
      <c r="DE16" s="263">
        <v>0</v>
      </c>
      <c r="DF16" s="263">
        <v>1</v>
      </c>
      <c r="DG16" s="263">
        <v>0</v>
      </c>
      <c r="DH16" s="263">
        <v>0</v>
      </c>
      <c r="DI16" s="263">
        <v>0</v>
      </c>
      <c r="DJ16" s="263">
        <v>0</v>
      </c>
      <c r="DK16" s="263">
        <v>0</v>
      </c>
      <c r="DL16" s="263">
        <v>0</v>
      </c>
      <c r="DM16" s="263">
        <v>0</v>
      </c>
      <c r="DN16" s="263">
        <v>0</v>
      </c>
      <c r="DO16" s="263">
        <v>0</v>
      </c>
      <c r="DP16" s="263">
        <v>0</v>
      </c>
      <c r="DQ16" s="263">
        <v>0</v>
      </c>
      <c r="DR16" s="263">
        <v>0</v>
      </c>
      <c r="DS16" s="263">
        <v>0</v>
      </c>
      <c r="DT16" s="263">
        <v>0</v>
      </c>
      <c r="DU16" s="263">
        <v>0</v>
      </c>
      <c r="DV16" s="263">
        <v>0</v>
      </c>
      <c r="DW16" s="263">
        <v>0</v>
      </c>
      <c r="DX16" s="263">
        <v>0</v>
      </c>
      <c r="DY16" s="263">
        <v>0</v>
      </c>
      <c r="DZ16" s="263">
        <v>0</v>
      </c>
      <c r="EA16" s="263">
        <v>0</v>
      </c>
      <c r="EB16" s="263">
        <v>0</v>
      </c>
      <c r="EC16" s="263">
        <v>0</v>
      </c>
      <c r="ED16" s="263">
        <v>0</v>
      </c>
      <c r="EE16" s="263">
        <v>0</v>
      </c>
      <c r="EF16" s="263">
        <v>0</v>
      </c>
      <c r="EG16" s="263">
        <v>0</v>
      </c>
      <c r="EH16" s="263">
        <v>0</v>
      </c>
      <c r="EI16" s="263">
        <v>0</v>
      </c>
      <c r="EJ16" s="263">
        <v>0</v>
      </c>
      <c r="EK16" s="263">
        <v>0</v>
      </c>
      <c r="EL16" s="263">
        <v>0</v>
      </c>
      <c r="EM16" s="263">
        <v>0</v>
      </c>
      <c r="EN16" s="263">
        <v>0</v>
      </c>
      <c r="EO16" s="263">
        <v>0</v>
      </c>
      <c r="EP16" s="263">
        <v>0</v>
      </c>
      <c r="EQ16" s="263">
        <v>0</v>
      </c>
      <c r="ER16" s="263">
        <v>0</v>
      </c>
      <c r="ES16" s="263">
        <v>0</v>
      </c>
      <c r="ET16" s="263">
        <v>0</v>
      </c>
      <c r="EU16" s="263">
        <v>0</v>
      </c>
      <c r="EV16" s="263">
        <v>0</v>
      </c>
      <c r="EW16" s="263">
        <v>0</v>
      </c>
      <c r="EX16" s="263">
        <v>0</v>
      </c>
      <c r="EY16" s="263">
        <v>0</v>
      </c>
      <c r="EZ16" s="263">
        <v>0</v>
      </c>
      <c r="FA16" s="263">
        <v>0</v>
      </c>
      <c r="FB16" s="263">
        <v>0</v>
      </c>
      <c r="FC16" s="263">
        <v>0</v>
      </c>
      <c r="FD16" s="263">
        <v>0</v>
      </c>
      <c r="FE16" s="263">
        <v>0</v>
      </c>
      <c r="FF16" s="263">
        <v>0</v>
      </c>
      <c r="FG16" s="263">
        <v>0</v>
      </c>
      <c r="FH16" s="263">
        <v>0</v>
      </c>
      <c r="FI16" s="263">
        <v>0</v>
      </c>
      <c r="FJ16" s="263">
        <v>0</v>
      </c>
      <c r="FK16" s="263">
        <v>0</v>
      </c>
      <c r="FL16" s="263">
        <v>0</v>
      </c>
      <c r="FM16" s="263">
        <v>0</v>
      </c>
      <c r="FN16" s="263">
        <v>0</v>
      </c>
      <c r="FO16" s="263">
        <v>0</v>
      </c>
      <c r="FP16" s="263">
        <v>0</v>
      </c>
      <c r="FQ16" s="263">
        <v>0</v>
      </c>
      <c r="FR16" s="263">
        <v>0</v>
      </c>
      <c r="FS16" s="263">
        <v>0</v>
      </c>
      <c r="FT16" s="263">
        <v>0</v>
      </c>
      <c r="FU16" s="263">
        <v>0</v>
      </c>
      <c r="FV16" s="263">
        <v>0</v>
      </c>
      <c r="FW16" s="263">
        <v>0</v>
      </c>
      <c r="FX16" s="263">
        <v>0</v>
      </c>
      <c r="FY16" s="263">
        <v>0</v>
      </c>
      <c r="FZ16" s="263">
        <v>0</v>
      </c>
      <c r="GA16" s="263">
        <v>0</v>
      </c>
      <c r="GB16" s="263">
        <v>0</v>
      </c>
      <c r="GC16" s="263">
        <v>0</v>
      </c>
      <c r="GD16" s="263">
        <v>0</v>
      </c>
      <c r="GE16" s="263">
        <v>0</v>
      </c>
      <c r="GF16" s="263">
        <v>0</v>
      </c>
      <c r="GG16" s="263">
        <v>0</v>
      </c>
      <c r="GH16" s="263">
        <v>0</v>
      </c>
      <c r="GI16" s="263">
        <v>0</v>
      </c>
      <c r="GJ16" s="263">
        <v>0</v>
      </c>
      <c r="GK16" s="263">
        <v>0</v>
      </c>
      <c r="GL16" s="263">
        <v>0</v>
      </c>
      <c r="GM16" s="263">
        <v>0</v>
      </c>
      <c r="GN16" s="263">
        <v>0</v>
      </c>
    </row>
    <row r="17" ht="12.75" customHeight="1">
      <c r="A17" s="284" t="s">
        <v>179</v>
      </c>
      <c r="B17" s="284" t="s">
        <v>174</v>
      </c>
      <c r="C17" s="263">
        <f>DA17+'User Input - Correlations'!C17</f>
        <v>0</v>
      </c>
      <c r="D17" s="263">
        <f>DB17+'User Input - Correlations'!D17</f>
        <v>0</v>
      </c>
      <c r="E17" s="263">
        <f>DC17+'User Input - Correlations'!E17</f>
        <v>0</v>
      </c>
      <c r="F17" s="263">
        <f>DD17+'User Input - Correlations'!F17</f>
        <v>0</v>
      </c>
      <c r="G17" s="263">
        <f>DE17+'User Input - Correlations'!G17</f>
        <v>0</v>
      </c>
      <c r="H17" s="263">
        <f>DF17+'User Input - Correlations'!H17</f>
        <v>0</v>
      </c>
      <c r="I17" s="263">
        <v>1</v>
      </c>
      <c r="J17" s="263">
        <f>DH17+'User Input - Correlations'!J17</f>
        <v>0</v>
      </c>
      <c r="K17" s="263">
        <f>DI17+'User Input - Correlations'!K17</f>
        <v>0</v>
      </c>
      <c r="L17" s="263">
        <f>DJ17+'User Input - Correlations'!L17</f>
        <v>0</v>
      </c>
      <c r="M17" s="263">
        <f>DK17+'User Input - Correlations'!M17</f>
        <v>0</v>
      </c>
      <c r="N17" s="263">
        <f>DL17+'User Input - Correlations'!N17</f>
        <v>0</v>
      </c>
      <c r="O17" s="263">
        <f>DM17+'User Input - Correlations'!O17</f>
        <v>0</v>
      </c>
      <c r="P17" s="263">
        <f>DN17+'User Input - Correlations'!P17</f>
        <v>0</v>
      </c>
      <c r="Q17" s="263">
        <f>DO17+'User Input - Correlations'!Q17</f>
        <v>0</v>
      </c>
      <c r="R17" s="263">
        <f>DP17+'User Input - Correlations'!R17</f>
        <v>0</v>
      </c>
      <c r="S17" s="263">
        <f>DQ17+'User Input - Correlations'!S17</f>
        <v>0</v>
      </c>
      <c r="T17" s="263">
        <f>DR17+'User Input - Correlations'!T17</f>
        <v>0</v>
      </c>
      <c r="U17" s="263">
        <f>DS17+'User Input - Correlations'!U17</f>
        <v>0</v>
      </c>
      <c r="V17" s="263">
        <f>DT17+'User Input - Correlations'!V17</f>
        <v>0</v>
      </c>
      <c r="W17" s="263">
        <f>DU17+'User Input - Correlations'!W17</f>
        <v>0</v>
      </c>
      <c r="X17" s="263">
        <f>DV17+'User Input - Correlations'!X17</f>
        <v>0</v>
      </c>
      <c r="Y17" s="263">
        <f>DW17+'User Input - Correlations'!Y17</f>
        <v>0</v>
      </c>
      <c r="Z17" s="263">
        <f>DX17+'User Input - Correlations'!Z17</f>
        <v>0</v>
      </c>
      <c r="AA17" s="263">
        <f>DY17+'User Input - Correlations'!AA17</f>
        <v>0</v>
      </c>
      <c r="AB17" s="263">
        <f>DZ17+'User Input - Correlations'!AB17</f>
        <v>0</v>
      </c>
      <c r="AC17" s="263">
        <f>EA17+'User Input - Correlations'!AC17</f>
        <v>0</v>
      </c>
      <c r="AD17" s="263">
        <f>EB17+'User Input - Correlations'!AD17</f>
        <v>0</v>
      </c>
      <c r="AE17" s="263">
        <f>EC17+'User Input - Correlations'!AE17</f>
        <v>0</v>
      </c>
      <c r="AF17" s="263">
        <f>ED17+'User Input - Correlations'!AF17</f>
        <v>0</v>
      </c>
      <c r="AG17" s="263">
        <f>EE17+'User Input - Correlations'!AG17</f>
        <v>0</v>
      </c>
      <c r="AH17" s="263">
        <f>EF17+'User Input - Correlations'!AH17</f>
        <v>0</v>
      </c>
      <c r="AI17" s="263">
        <f>EG17+'User Input - Correlations'!AI17</f>
        <v>0</v>
      </c>
      <c r="AJ17" s="263">
        <f>EH17+'User Input - Correlations'!AJ17</f>
        <v>0</v>
      </c>
      <c r="AK17" s="263">
        <f>EI17+'User Input - Correlations'!AK17</f>
        <v>0</v>
      </c>
      <c r="AL17" s="263">
        <f>EJ17+'User Input - Correlations'!AL17</f>
        <v>0</v>
      </c>
      <c r="AM17" s="263">
        <f>EK17+'User Input - Correlations'!AM17</f>
        <v>0</v>
      </c>
      <c r="AN17" s="263">
        <f>EL17+'User Input - Correlations'!AN17</f>
        <v>0</v>
      </c>
      <c r="AO17" s="263">
        <f>EM17+'User Input - Correlations'!AO17</f>
        <v>0</v>
      </c>
      <c r="AP17" s="263">
        <f>EN17+'User Input - Correlations'!AP17</f>
        <v>0</v>
      </c>
      <c r="AQ17" s="263">
        <f>EO17+'User Input - Correlations'!AQ17</f>
        <v>0</v>
      </c>
      <c r="AR17" s="263">
        <f>EP17+'User Input - Correlations'!AR17</f>
        <v>0</v>
      </c>
      <c r="AS17" s="263">
        <f>EQ17+'User Input - Correlations'!AS17</f>
        <v>0</v>
      </c>
      <c r="AT17" s="263">
        <f>ER17+'User Input - Correlations'!AT17</f>
        <v>0</v>
      </c>
      <c r="AU17" s="263">
        <f>ES17+'User Input - Correlations'!AU17</f>
        <v>0</v>
      </c>
      <c r="AV17" s="263">
        <f>ET17+'User Input - Correlations'!AV17</f>
        <v>0</v>
      </c>
      <c r="AW17" s="263">
        <f>EU17+'User Input - Correlations'!AW17</f>
        <v>0</v>
      </c>
      <c r="AX17" s="263">
        <f>EV17+'User Input - Correlations'!AX17</f>
        <v>0</v>
      </c>
      <c r="AY17" s="263">
        <f>EW17+'User Input - Correlations'!AY17</f>
        <v>0</v>
      </c>
      <c r="AZ17" s="263">
        <f>EX17+'User Input - Correlations'!AZ17</f>
        <v>0</v>
      </c>
      <c r="BA17" s="263">
        <f>EY17+'User Input - Correlations'!BA17</f>
        <v>0</v>
      </c>
      <c r="BB17" s="263">
        <f>EZ17+'User Input - Correlations'!BB17</f>
        <v>0</v>
      </c>
      <c r="BC17" s="263">
        <f>FA17+'User Input - Correlations'!BC17</f>
        <v>0</v>
      </c>
      <c r="BD17" s="263">
        <f>FB17+'User Input - Correlations'!BD17</f>
        <v>0</v>
      </c>
      <c r="BE17" s="263">
        <f>FC17+'User Input - Correlations'!BE17</f>
        <v>0</v>
      </c>
      <c r="BF17" s="263">
        <f>FD17+'User Input - Correlations'!BF17</f>
        <v>0</v>
      </c>
      <c r="BG17" s="263">
        <f>FE17+'User Input - Correlations'!BG17</f>
        <v>0</v>
      </c>
      <c r="BH17" s="263">
        <f>FF17+'User Input - Correlations'!BH17</f>
        <v>0</v>
      </c>
      <c r="BI17" s="263">
        <f>FG17+'User Input - Correlations'!BI17</f>
        <v>0</v>
      </c>
      <c r="BJ17" s="263">
        <f>FH17+'User Input - Correlations'!BJ17</f>
        <v>0</v>
      </c>
      <c r="BK17" s="263">
        <f>FI17+'User Input - Correlations'!BK17</f>
        <v>0</v>
      </c>
      <c r="BL17" s="263">
        <f>FJ17+'User Input - Correlations'!BL17</f>
        <v>0</v>
      </c>
      <c r="BM17" s="263">
        <f>FK17+'User Input - Correlations'!BM17</f>
        <v>0</v>
      </c>
      <c r="BN17" s="263">
        <f>FL17+'User Input - Correlations'!BN17</f>
        <v>0</v>
      </c>
      <c r="BO17" s="263">
        <f>FM17+'User Input - Correlations'!BO17</f>
        <v>0</v>
      </c>
      <c r="BP17" s="263">
        <f>FN17+'User Input - Correlations'!BP17</f>
        <v>0</v>
      </c>
      <c r="BQ17" s="263">
        <f>FO17+'User Input - Correlations'!BQ17</f>
        <v>0</v>
      </c>
      <c r="BR17" s="263">
        <f>FP17+'User Input - Correlations'!BR17</f>
        <v>0</v>
      </c>
      <c r="BS17" s="263">
        <f>FQ17+'User Input - Correlations'!BS17</f>
        <v>0</v>
      </c>
      <c r="BT17" s="263">
        <f>FR17+'User Input - Correlations'!BT17</f>
        <v>0</v>
      </c>
      <c r="BU17" s="263">
        <f>FS17+'User Input - Correlations'!BU17</f>
        <v>0</v>
      </c>
      <c r="BV17" s="263">
        <f>FT17+'User Input - Correlations'!BV17</f>
        <v>0</v>
      </c>
      <c r="BW17" s="263">
        <f>FU17+'User Input - Correlations'!BW17</f>
        <v>0</v>
      </c>
      <c r="BX17" s="263">
        <f>FV17+'User Input - Correlations'!BX17</f>
        <v>0</v>
      </c>
      <c r="BY17" s="263">
        <f>FW17+'User Input - Correlations'!BY17</f>
        <v>0</v>
      </c>
      <c r="BZ17" s="263">
        <f>FX17+'User Input - Correlations'!BZ17</f>
        <v>0</v>
      </c>
      <c r="CA17" s="263">
        <f>FY17+'User Input - Correlations'!CA17</f>
        <v>0</v>
      </c>
      <c r="CB17" s="263">
        <f>FZ17+'User Input - Correlations'!CB17</f>
        <v>0</v>
      </c>
      <c r="CC17" s="263">
        <f>GA17+'User Input - Correlations'!CC17</f>
        <v>0</v>
      </c>
      <c r="CD17" s="263">
        <f>GB17+'User Input - Correlations'!CD17</f>
        <v>0</v>
      </c>
      <c r="CE17" s="263">
        <f>GC17+'User Input - Correlations'!CE17</f>
        <v>0</v>
      </c>
      <c r="CF17" s="263">
        <f>GD17+'User Input - Correlations'!CF17</f>
        <v>0</v>
      </c>
      <c r="CG17" s="263">
        <f>GE17+'User Input - Correlations'!CG17</f>
        <v>0</v>
      </c>
      <c r="CH17" s="263">
        <f>GF17+'User Input - Correlations'!CH17</f>
        <v>0</v>
      </c>
      <c r="CI17" s="263">
        <f>GG17+'User Input - Correlations'!CI17</f>
        <v>0</v>
      </c>
      <c r="CJ17" s="263">
        <f>GH17+'User Input - Correlations'!CJ17</f>
        <v>0</v>
      </c>
      <c r="CK17" s="263">
        <f>GI17+'User Input - Correlations'!CK17</f>
        <v>0</v>
      </c>
      <c r="CL17" s="263">
        <f>GJ17+'User Input - Correlations'!CL17</f>
        <v>0</v>
      </c>
      <c r="CM17" s="263">
        <f>GK17+'User Input - Correlations'!CM17</f>
        <v>0</v>
      </c>
      <c r="CN17" s="263">
        <f>GL17+'User Input - Correlations'!CN17</f>
        <v>0</v>
      </c>
      <c r="CO17" s="263">
        <f>GM17+'User Input - Correlations'!CO17</f>
        <v>0</v>
      </c>
      <c r="CP17" s="264">
        <f>GN17+'User Input - Correlations'!CP17</f>
        <v>0</v>
      </c>
      <c r="CQ17" s="281">
        <f ca="1">MDETERM(OFFSET($C$11,0,0,ROWS($CQ$11:$CQ17),ROWS($CQ$11:$CQ17)))</f>
        <v>1</v>
      </c>
      <c r="DA17" s="263">
        <v>0</v>
      </c>
      <c r="DB17" s="263">
        <v>0</v>
      </c>
      <c r="DC17" s="263">
        <v>0</v>
      </c>
      <c r="DD17" s="263">
        <v>0</v>
      </c>
      <c r="DE17" s="263">
        <v>0</v>
      </c>
      <c r="DF17" s="263">
        <v>0</v>
      </c>
      <c r="DG17" s="263">
        <v>1</v>
      </c>
      <c r="DH17" s="263">
        <v>0</v>
      </c>
      <c r="DI17" s="263">
        <v>0</v>
      </c>
      <c r="DJ17" s="263">
        <v>0</v>
      </c>
      <c r="DK17" s="263">
        <v>0</v>
      </c>
      <c r="DL17" s="263">
        <v>0</v>
      </c>
      <c r="DM17" s="263">
        <v>0</v>
      </c>
      <c r="DN17" s="263">
        <v>0</v>
      </c>
      <c r="DO17" s="263">
        <v>0</v>
      </c>
      <c r="DP17" s="263">
        <v>0</v>
      </c>
      <c r="DQ17" s="263">
        <v>0</v>
      </c>
      <c r="DR17" s="263">
        <v>0</v>
      </c>
      <c r="DS17" s="263">
        <v>0</v>
      </c>
      <c r="DT17" s="263">
        <v>0</v>
      </c>
      <c r="DU17" s="263">
        <v>0</v>
      </c>
      <c r="DV17" s="263">
        <v>0</v>
      </c>
      <c r="DW17" s="263">
        <v>0</v>
      </c>
      <c r="DX17" s="263">
        <v>0</v>
      </c>
      <c r="DY17" s="263">
        <v>0</v>
      </c>
      <c r="DZ17" s="263">
        <v>0</v>
      </c>
      <c r="EA17" s="263">
        <v>0</v>
      </c>
      <c r="EB17" s="263">
        <v>0</v>
      </c>
      <c r="EC17" s="263">
        <v>0</v>
      </c>
      <c r="ED17" s="263">
        <v>0</v>
      </c>
      <c r="EE17" s="263">
        <v>0</v>
      </c>
      <c r="EF17" s="263">
        <v>0</v>
      </c>
      <c r="EG17" s="263">
        <v>0</v>
      </c>
      <c r="EH17" s="263">
        <v>0</v>
      </c>
      <c r="EI17" s="263">
        <v>0</v>
      </c>
      <c r="EJ17" s="263">
        <v>0</v>
      </c>
      <c r="EK17" s="263">
        <v>0</v>
      </c>
      <c r="EL17" s="263">
        <v>0</v>
      </c>
      <c r="EM17" s="263">
        <v>0</v>
      </c>
      <c r="EN17" s="263">
        <v>0</v>
      </c>
      <c r="EO17" s="263">
        <v>0</v>
      </c>
      <c r="EP17" s="263">
        <v>0</v>
      </c>
      <c r="EQ17" s="263">
        <v>0</v>
      </c>
      <c r="ER17" s="263">
        <v>0</v>
      </c>
      <c r="ES17" s="263">
        <v>0</v>
      </c>
      <c r="ET17" s="263">
        <v>0</v>
      </c>
      <c r="EU17" s="263">
        <v>0</v>
      </c>
      <c r="EV17" s="263">
        <v>0</v>
      </c>
      <c r="EW17" s="263">
        <v>0</v>
      </c>
      <c r="EX17" s="263">
        <v>0</v>
      </c>
      <c r="EY17" s="263">
        <v>0</v>
      </c>
      <c r="EZ17" s="263">
        <v>0</v>
      </c>
      <c r="FA17" s="263">
        <v>0</v>
      </c>
      <c r="FB17" s="263">
        <v>0</v>
      </c>
      <c r="FC17" s="263">
        <v>0</v>
      </c>
      <c r="FD17" s="263">
        <v>0</v>
      </c>
      <c r="FE17" s="263">
        <v>0</v>
      </c>
      <c r="FF17" s="263">
        <v>0</v>
      </c>
      <c r="FG17" s="263">
        <v>0</v>
      </c>
      <c r="FH17" s="263">
        <v>0</v>
      </c>
      <c r="FI17" s="263">
        <v>0</v>
      </c>
      <c r="FJ17" s="263">
        <v>0</v>
      </c>
      <c r="FK17" s="263">
        <v>0</v>
      </c>
      <c r="FL17" s="263">
        <v>0</v>
      </c>
      <c r="FM17" s="263">
        <v>0</v>
      </c>
      <c r="FN17" s="263">
        <v>0</v>
      </c>
      <c r="FO17" s="263">
        <v>0</v>
      </c>
      <c r="FP17" s="263">
        <v>0</v>
      </c>
      <c r="FQ17" s="263">
        <v>0</v>
      </c>
      <c r="FR17" s="263">
        <v>0</v>
      </c>
      <c r="FS17" s="263">
        <v>0</v>
      </c>
      <c r="FT17" s="263">
        <v>0</v>
      </c>
      <c r="FU17" s="263">
        <v>0</v>
      </c>
      <c r="FV17" s="263">
        <v>0</v>
      </c>
      <c r="FW17" s="263">
        <v>0</v>
      </c>
      <c r="FX17" s="263">
        <v>0</v>
      </c>
      <c r="FY17" s="263">
        <v>0</v>
      </c>
      <c r="FZ17" s="263">
        <v>0</v>
      </c>
      <c r="GA17" s="263">
        <v>0</v>
      </c>
      <c r="GB17" s="263">
        <v>0</v>
      </c>
      <c r="GC17" s="263">
        <v>0</v>
      </c>
      <c r="GD17" s="263">
        <v>0</v>
      </c>
      <c r="GE17" s="263">
        <v>0</v>
      </c>
      <c r="GF17" s="263">
        <v>0</v>
      </c>
      <c r="GG17" s="263">
        <v>0</v>
      </c>
      <c r="GH17" s="263">
        <v>0</v>
      </c>
      <c r="GI17" s="263">
        <v>0</v>
      </c>
      <c r="GJ17" s="263">
        <v>0</v>
      </c>
      <c r="GK17" s="263">
        <v>0</v>
      </c>
      <c r="GL17" s="263">
        <v>0</v>
      </c>
      <c r="GM17" s="263">
        <v>0</v>
      </c>
      <c r="GN17" s="263">
        <v>0</v>
      </c>
    </row>
    <row r="18" ht="12.75" customHeight="1">
      <c r="A18" s="284" t="s">
        <v>189</v>
      </c>
      <c r="B18" s="284" t="s">
        <v>174</v>
      </c>
      <c r="C18" s="263">
        <f>DA18+'User Input - Correlations'!C18</f>
        <v>0</v>
      </c>
      <c r="D18" s="263">
        <f>DB18+'User Input - Correlations'!D18</f>
        <v>0</v>
      </c>
      <c r="E18" s="263">
        <f>DC18+'User Input - Correlations'!E18</f>
        <v>0</v>
      </c>
      <c r="F18" s="263">
        <f>DD18+'User Input - Correlations'!F18</f>
        <v>0</v>
      </c>
      <c r="G18" s="263">
        <f>DE18+'User Input - Correlations'!G18</f>
        <v>0</v>
      </c>
      <c r="H18" s="263">
        <f>DF18+'User Input - Correlations'!H18</f>
        <v>0</v>
      </c>
      <c r="I18" s="263">
        <f>DG18+'User Input - Correlations'!I18</f>
        <v>0</v>
      </c>
      <c r="J18" s="263">
        <v>1</v>
      </c>
      <c r="K18" s="263">
        <f>DI18+'User Input - Correlations'!K18</f>
        <v>0</v>
      </c>
      <c r="L18" s="263">
        <f>DJ18+'User Input - Correlations'!L18</f>
        <v>0</v>
      </c>
      <c r="M18" s="263">
        <f>DK18+'User Input - Correlations'!M18</f>
        <v>0</v>
      </c>
      <c r="N18" s="263">
        <f>DL18+'User Input - Correlations'!N18</f>
        <v>0</v>
      </c>
      <c r="O18" s="263">
        <f>DM18+'User Input - Correlations'!O18</f>
        <v>0</v>
      </c>
      <c r="P18" s="263">
        <f>DN18+'User Input - Correlations'!P18</f>
        <v>0</v>
      </c>
      <c r="Q18" s="263">
        <f>DO18+'User Input - Correlations'!Q18</f>
        <v>0</v>
      </c>
      <c r="R18" s="263">
        <f>DP18+'User Input - Correlations'!R18</f>
        <v>0</v>
      </c>
      <c r="S18" s="263">
        <f>DQ18+'User Input - Correlations'!S18</f>
        <v>0</v>
      </c>
      <c r="T18" s="263">
        <f>DR18+'User Input - Correlations'!T18</f>
        <v>0</v>
      </c>
      <c r="U18" s="263">
        <f>DS18+'User Input - Correlations'!U18</f>
        <v>0</v>
      </c>
      <c r="V18" s="263">
        <f>DT18+'User Input - Correlations'!V18</f>
        <v>0</v>
      </c>
      <c r="W18" s="263">
        <f>DU18+'User Input - Correlations'!W18</f>
        <v>0</v>
      </c>
      <c r="X18" s="263">
        <f>DV18+'User Input - Correlations'!X18</f>
        <v>0</v>
      </c>
      <c r="Y18" s="263">
        <f>DW18+'User Input - Correlations'!Y18</f>
        <v>0</v>
      </c>
      <c r="Z18" s="263">
        <f>DX18+'User Input - Correlations'!Z18</f>
        <v>0</v>
      </c>
      <c r="AA18" s="263">
        <f>DY18+'User Input - Correlations'!AA18</f>
        <v>0</v>
      </c>
      <c r="AB18" s="263">
        <f>DZ18+'User Input - Correlations'!AB18</f>
        <v>0</v>
      </c>
      <c r="AC18" s="263">
        <f>EA18+'User Input - Correlations'!AC18</f>
        <v>0</v>
      </c>
      <c r="AD18" s="263">
        <f>EB18+'User Input - Correlations'!AD18</f>
        <v>0</v>
      </c>
      <c r="AE18" s="263">
        <f>EC18+'User Input - Correlations'!AE18</f>
        <v>0</v>
      </c>
      <c r="AF18" s="263">
        <f>ED18+'User Input - Correlations'!AF18</f>
        <v>0</v>
      </c>
      <c r="AG18" s="263">
        <f>EE18+'User Input - Correlations'!AG18</f>
        <v>0</v>
      </c>
      <c r="AH18" s="263">
        <f>EF18+'User Input - Correlations'!AH18</f>
        <v>0</v>
      </c>
      <c r="AI18" s="263">
        <f>EG18+'User Input - Correlations'!AI18</f>
        <v>0</v>
      </c>
      <c r="AJ18" s="263">
        <f>EH18+'User Input - Correlations'!AJ18</f>
        <v>0</v>
      </c>
      <c r="AK18" s="263">
        <f>EI18+'User Input - Correlations'!AK18</f>
        <v>0</v>
      </c>
      <c r="AL18" s="263">
        <f>EJ18+'User Input - Correlations'!AL18</f>
        <v>0</v>
      </c>
      <c r="AM18" s="263">
        <f>EK18+'User Input - Correlations'!AM18</f>
        <v>0</v>
      </c>
      <c r="AN18" s="263">
        <f>EL18+'User Input - Correlations'!AN18</f>
        <v>0</v>
      </c>
      <c r="AO18" s="263">
        <f>EM18+'User Input - Correlations'!AO18</f>
        <v>0</v>
      </c>
      <c r="AP18" s="263">
        <f>EN18+'User Input - Correlations'!AP18</f>
        <v>0</v>
      </c>
      <c r="AQ18" s="263">
        <f>EO18+'User Input - Correlations'!AQ18</f>
        <v>0</v>
      </c>
      <c r="AR18" s="263">
        <f>EP18+'User Input - Correlations'!AR18</f>
        <v>0</v>
      </c>
      <c r="AS18" s="263">
        <f>EQ18+'User Input - Correlations'!AS18</f>
        <v>0</v>
      </c>
      <c r="AT18" s="263">
        <f>ER18+'User Input - Correlations'!AT18</f>
        <v>0</v>
      </c>
      <c r="AU18" s="263">
        <f>ES18+'User Input - Correlations'!AU18</f>
        <v>0</v>
      </c>
      <c r="AV18" s="263">
        <f>ET18+'User Input - Correlations'!AV18</f>
        <v>0</v>
      </c>
      <c r="AW18" s="263">
        <f>EU18+'User Input - Correlations'!AW18</f>
        <v>0</v>
      </c>
      <c r="AX18" s="263">
        <f>EV18+'User Input - Correlations'!AX18</f>
        <v>0</v>
      </c>
      <c r="AY18" s="263">
        <f>EW18+'User Input - Correlations'!AY18</f>
        <v>0</v>
      </c>
      <c r="AZ18" s="263">
        <f>EX18+'User Input - Correlations'!AZ18</f>
        <v>0</v>
      </c>
      <c r="BA18" s="263">
        <f>EY18+'User Input - Correlations'!BA18</f>
        <v>0</v>
      </c>
      <c r="BB18" s="263">
        <f>EZ18+'User Input - Correlations'!BB18</f>
        <v>0</v>
      </c>
      <c r="BC18" s="263">
        <f>FA18+'User Input - Correlations'!BC18</f>
        <v>0</v>
      </c>
      <c r="BD18" s="263">
        <f>FB18+'User Input - Correlations'!BD18</f>
        <v>0</v>
      </c>
      <c r="BE18" s="263">
        <f>FC18+'User Input - Correlations'!BE18</f>
        <v>0</v>
      </c>
      <c r="BF18" s="263">
        <f>FD18+'User Input - Correlations'!BF18</f>
        <v>0</v>
      </c>
      <c r="BG18" s="263">
        <f>FE18+'User Input - Correlations'!BG18</f>
        <v>0</v>
      </c>
      <c r="BH18" s="263">
        <f>FF18+'User Input - Correlations'!BH18</f>
        <v>0</v>
      </c>
      <c r="BI18" s="263">
        <f>FG18+'User Input - Correlations'!BI18</f>
        <v>0</v>
      </c>
      <c r="BJ18" s="263">
        <f>FH18+'User Input - Correlations'!BJ18</f>
        <v>0</v>
      </c>
      <c r="BK18" s="263">
        <f>FI18+'User Input - Correlations'!BK18</f>
        <v>0</v>
      </c>
      <c r="BL18" s="263">
        <f>FJ18+'User Input - Correlations'!BL18</f>
        <v>0</v>
      </c>
      <c r="BM18" s="263">
        <f>FK18+'User Input - Correlations'!BM18</f>
        <v>0</v>
      </c>
      <c r="BN18" s="263">
        <f>FL18+'User Input - Correlations'!BN18</f>
        <v>0</v>
      </c>
      <c r="BO18" s="263">
        <f>FM18+'User Input - Correlations'!BO18</f>
        <v>0</v>
      </c>
      <c r="BP18" s="263">
        <f>FN18+'User Input - Correlations'!BP18</f>
        <v>0</v>
      </c>
      <c r="BQ18" s="263">
        <f>FO18+'User Input - Correlations'!BQ18</f>
        <v>0</v>
      </c>
      <c r="BR18" s="263">
        <f>FP18+'User Input - Correlations'!BR18</f>
        <v>0</v>
      </c>
      <c r="BS18" s="263">
        <f>FQ18+'User Input - Correlations'!BS18</f>
        <v>0</v>
      </c>
      <c r="BT18" s="263">
        <f>FR18+'User Input - Correlations'!BT18</f>
        <v>0</v>
      </c>
      <c r="BU18" s="263">
        <f>FS18+'User Input - Correlations'!BU18</f>
        <v>0</v>
      </c>
      <c r="BV18" s="263">
        <f>FT18+'User Input - Correlations'!BV18</f>
        <v>0</v>
      </c>
      <c r="BW18" s="263">
        <f>FU18+'User Input - Correlations'!BW18</f>
        <v>0</v>
      </c>
      <c r="BX18" s="263">
        <f>FV18+'User Input - Correlations'!BX18</f>
        <v>0</v>
      </c>
      <c r="BY18" s="263">
        <f>FW18+'User Input - Correlations'!BY18</f>
        <v>0</v>
      </c>
      <c r="BZ18" s="263">
        <f>FX18+'User Input - Correlations'!BZ18</f>
        <v>0</v>
      </c>
      <c r="CA18" s="263">
        <f>FY18+'User Input - Correlations'!CA18</f>
        <v>0</v>
      </c>
      <c r="CB18" s="263">
        <f>FZ18+'User Input - Correlations'!CB18</f>
        <v>0</v>
      </c>
      <c r="CC18" s="263">
        <f>GA18+'User Input - Correlations'!CC18</f>
        <v>0</v>
      </c>
      <c r="CD18" s="263">
        <f>GB18+'User Input - Correlations'!CD18</f>
        <v>0</v>
      </c>
      <c r="CE18" s="263">
        <f>GC18+'User Input - Correlations'!CE18</f>
        <v>0</v>
      </c>
      <c r="CF18" s="263">
        <f>GD18+'User Input - Correlations'!CF18</f>
        <v>0</v>
      </c>
      <c r="CG18" s="263">
        <f>GE18+'User Input - Correlations'!CG18</f>
        <v>0</v>
      </c>
      <c r="CH18" s="263">
        <f>GF18+'User Input - Correlations'!CH18</f>
        <v>0</v>
      </c>
      <c r="CI18" s="263">
        <f>GG18+'User Input - Correlations'!CI18</f>
        <v>0</v>
      </c>
      <c r="CJ18" s="263">
        <f>GH18+'User Input - Correlations'!CJ18</f>
        <v>0</v>
      </c>
      <c r="CK18" s="263">
        <f>GI18+'User Input - Correlations'!CK18</f>
        <v>0</v>
      </c>
      <c r="CL18" s="263">
        <f>GJ18+'User Input - Correlations'!CL18</f>
        <v>0</v>
      </c>
      <c r="CM18" s="263">
        <f>GK18+'User Input - Correlations'!CM18</f>
        <v>0</v>
      </c>
      <c r="CN18" s="263">
        <f>GL18+'User Input - Correlations'!CN18</f>
        <v>0</v>
      </c>
      <c r="CO18" s="263">
        <f>GM18+'User Input - Correlations'!CO18</f>
        <v>0</v>
      </c>
      <c r="CP18" s="264">
        <f>GN18+'User Input - Correlations'!CP18</f>
        <v>0</v>
      </c>
      <c r="CQ18" s="281">
        <f ca="1">MDETERM(OFFSET($C$11,0,0,ROWS($CQ$11:$CQ18),ROWS($CQ$11:$CQ18)))</f>
        <v>1</v>
      </c>
      <c r="DA18" s="263">
        <v>0</v>
      </c>
      <c r="DB18" s="263">
        <v>0</v>
      </c>
      <c r="DC18" s="263">
        <v>0</v>
      </c>
      <c r="DD18" s="263">
        <v>0</v>
      </c>
      <c r="DE18" s="263">
        <v>0</v>
      </c>
      <c r="DF18" s="263">
        <v>0</v>
      </c>
      <c r="DG18" s="263">
        <v>0</v>
      </c>
      <c r="DH18" s="263">
        <v>1</v>
      </c>
      <c r="DI18" s="263">
        <v>0</v>
      </c>
      <c r="DJ18" s="263">
        <v>0</v>
      </c>
      <c r="DK18" s="263">
        <v>0</v>
      </c>
      <c r="DL18" s="263">
        <v>0</v>
      </c>
      <c r="DM18" s="263">
        <v>0</v>
      </c>
      <c r="DN18" s="263">
        <v>0</v>
      </c>
      <c r="DO18" s="263">
        <v>0</v>
      </c>
      <c r="DP18" s="263">
        <v>0</v>
      </c>
      <c r="DQ18" s="263">
        <v>0</v>
      </c>
      <c r="DR18" s="263">
        <v>0</v>
      </c>
      <c r="DS18" s="263">
        <v>0</v>
      </c>
      <c r="DT18" s="263">
        <v>0</v>
      </c>
      <c r="DU18" s="263">
        <v>0</v>
      </c>
      <c r="DV18" s="263">
        <v>0</v>
      </c>
      <c r="DW18" s="263">
        <v>0</v>
      </c>
      <c r="DX18" s="263">
        <v>0</v>
      </c>
      <c r="DY18" s="263">
        <v>0</v>
      </c>
      <c r="DZ18" s="263">
        <v>0</v>
      </c>
      <c r="EA18" s="263">
        <v>0</v>
      </c>
      <c r="EB18" s="263">
        <v>0</v>
      </c>
      <c r="EC18" s="263">
        <v>0</v>
      </c>
      <c r="ED18" s="263">
        <v>0</v>
      </c>
      <c r="EE18" s="263">
        <v>0</v>
      </c>
      <c r="EF18" s="263">
        <v>0</v>
      </c>
      <c r="EG18" s="263">
        <v>0</v>
      </c>
      <c r="EH18" s="263">
        <v>0</v>
      </c>
      <c r="EI18" s="263">
        <v>0</v>
      </c>
      <c r="EJ18" s="263">
        <v>0</v>
      </c>
      <c r="EK18" s="263">
        <v>0</v>
      </c>
      <c r="EL18" s="263">
        <v>0</v>
      </c>
      <c r="EM18" s="263">
        <v>0</v>
      </c>
      <c r="EN18" s="263">
        <v>0</v>
      </c>
      <c r="EO18" s="263">
        <v>0</v>
      </c>
      <c r="EP18" s="263">
        <v>0</v>
      </c>
      <c r="EQ18" s="263">
        <v>0</v>
      </c>
      <c r="ER18" s="263">
        <v>0</v>
      </c>
      <c r="ES18" s="263">
        <v>0</v>
      </c>
      <c r="ET18" s="263">
        <v>0</v>
      </c>
      <c r="EU18" s="263">
        <v>0</v>
      </c>
      <c r="EV18" s="263">
        <v>0</v>
      </c>
      <c r="EW18" s="263">
        <v>0</v>
      </c>
      <c r="EX18" s="263">
        <v>0</v>
      </c>
      <c r="EY18" s="263">
        <v>0</v>
      </c>
      <c r="EZ18" s="263">
        <v>0</v>
      </c>
      <c r="FA18" s="263">
        <v>0</v>
      </c>
      <c r="FB18" s="263">
        <v>0</v>
      </c>
      <c r="FC18" s="263">
        <v>0</v>
      </c>
      <c r="FD18" s="263">
        <v>0</v>
      </c>
      <c r="FE18" s="263">
        <v>0</v>
      </c>
      <c r="FF18" s="263">
        <v>0</v>
      </c>
      <c r="FG18" s="263">
        <v>0</v>
      </c>
      <c r="FH18" s="263">
        <v>0</v>
      </c>
      <c r="FI18" s="263">
        <v>0</v>
      </c>
      <c r="FJ18" s="263">
        <v>0</v>
      </c>
      <c r="FK18" s="263">
        <v>0</v>
      </c>
      <c r="FL18" s="263">
        <v>0</v>
      </c>
      <c r="FM18" s="263">
        <v>0</v>
      </c>
      <c r="FN18" s="263">
        <v>0</v>
      </c>
      <c r="FO18" s="263">
        <v>0</v>
      </c>
      <c r="FP18" s="263">
        <v>0</v>
      </c>
      <c r="FQ18" s="263">
        <v>0</v>
      </c>
      <c r="FR18" s="263">
        <v>0</v>
      </c>
      <c r="FS18" s="263">
        <v>0</v>
      </c>
      <c r="FT18" s="263">
        <v>0</v>
      </c>
      <c r="FU18" s="263">
        <v>0</v>
      </c>
      <c r="FV18" s="263">
        <v>0</v>
      </c>
      <c r="FW18" s="263">
        <v>0</v>
      </c>
      <c r="FX18" s="263">
        <v>0</v>
      </c>
      <c r="FY18" s="263">
        <v>0</v>
      </c>
      <c r="FZ18" s="263">
        <v>0</v>
      </c>
      <c r="GA18" s="263">
        <v>0</v>
      </c>
      <c r="GB18" s="263">
        <v>0</v>
      </c>
      <c r="GC18" s="263">
        <v>0</v>
      </c>
      <c r="GD18" s="263">
        <v>0</v>
      </c>
      <c r="GE18" s="263">
        <v>0</v>
      </c>
      <c r="GF18" s="263">
        <v>0</v>
      </c>
      <c r="GG18" s="263">
        <v>0</v>
      </c>
      <c r="GH18" s="263">
        <v>0</v>
      </c>
      <c r="GI18" s="263">
        <v>0</v>
      </c>
      <c r="GJ18" s="263">
        <v>0</v>
      </c>
      <c r="GK18" s="263">
        <v>0</v>
      </c>
      <c r="GL18" s="263">
        <v>0</v>
      </c>
      <c r="GM18" s="263">
        <v>0</v>
      </c>
      <c r="GN18" s="263">
        <v>0</v>
      </c>
    </row>
    <row r="19" ht="12.75" customHeight="1">
      <c r="A19" s="284" t="s">
        <v>178</v>
      </c>
      <c r="B19" s="284" t="s">
        <v>174</v>
      </c>
      <c r="C19" s="263">
        <f>DA19+'User Input - Correlations'!C19</f>
        <v>0</v>
      </c>
      <c r="D19" s="263">
        <f>DB19+'User Input - Correlations'!D19</f>
        <v>0</v>
      </c>
      <c r="E19" s="263">
        <f>DC19+'User Input - Correlations'!E19</f>
        <v>0</v>
      </c>
      <c r="F19" s="263">
        <f>DD19+'User Input - Correlations'!F19</f>
        <v>0</v>
      </c>
      <c r="G19" s="263">
        <f>DE19+'User Input - Correlations'!G19</f>
        <v>0</v>
      </c>
      <c r="H19" s="263">
        <f>DF19+'User Input - Correlations'!H19</f>
        <v>0</v>
      </c>
      <c r="I19" s="263">
        <f>DG19+'User Input - Correlations'!I19</f>
        <v>0</v>
      </c>
      <c r="J19" s="263">
        <f>DH19+'User Input - Correlations'!J19</f>
        <v>0</v>
      </c>
      <c r="K19" s="263">
        <v>1</v>
      </c>
      <c r="L19" s="263">
        <f>DJ19+'User Input - Correlations'!L19</f>
        <v>0</v>
      </c>
      <c r="M19" s="263">
        <f>DK19+'User Input - Correlations'!M19</f>
        <v>0</v>
      </c>
      <c r="N19" s="263">
        <f>DL19+'User Input - Correlations'!N19</f>
        <v>0</v>
      </c>
      <c r="O19" s="263">
        <f>DM19+'User Input - Correlations'!O19</f>
        <v>0</v>
      </c>
      <c r="P19" s="263">
        <f>DN19+'User Input - Correlations'!P19</f>
        <v>0</v>
      </c>
      <c r="Q19" s="263">
        <f>DO19+'User Input - Correlations'!Q19</f>
        <v>0</v>
      </c>
      <c r="R19" s="263">
        <f>DP19+'User Input - Correlations'!R19</f>
        <v>0</v>
      </c>
      <c r="S19" s="263">
        <f>DQ19+'User Input - Correlations'!S19</f>
        <v>0</v>
      </c>
      <c r="T19" s="263">
        <f>DR19+'User Input - Correlations'!T19</f>
        <v>0</v>
      </c>
      <c r="U19" s="263">
        <f>DS19+'User Input - Correlations'!U19</f>
        <v>0</v>
      </c>
      <c r="V19" s="263">
        <f>DT19+'User Input - Correlations'!V19</f>
        <v>0</v>
      </c>
      <c r="W19" s="263">
        <f>DU19+'User Input - Correlations'!W19</f>
        <v>0</v>
      </c>
      <c r="X19" s="263">
        <f>DV19+'User Input - Correlations'!X19</f>
        <v>0</v>
      </c>
      <c r="Y19" s="263">
        <f>DW19+'User Input - Correlations'!Y19</f>
        <v>0</v>
      </c>
      <c r="Z19" s="263">
        <f>DX19+'User Input - Correlations'!Z19</f>
        <v>0</v>
      </c>
      <c r="AA19" s="263">
        <f>DY19+'User Input - Correlations'!AA19</f>
        <v>0</v>
      </c>
      <c r="AB19" s="263">
        <f>DZ19+'User Input - Correlations'!AB19</f>
        <v>0</v>
      </c>
      <c r="AC19" s="263">
        <f>EA19+'User Input - Correlations'!AC19</f>
        <v>0</v>
      </c>
      <c r="AD19" s="263">
        <f>EB19+'User Input - Correlations'!AD19</f>
        <v>0</v>
      </c>
      <c r="AE19" s="263">
        <f>EC19+'User Input - Correlations'!AE19</f>
        <v>0</v>
      </c>
      <c r="AF19" s="263">
        <f>ED19+'User Input - Correlations'!AF19</f>
        <v>0</v>
      </c>
      <c r="AG19" s="263">
        <f>EE19+'User Input - Correlations'!AG19</f>
        <v>0</v>
      </c>
      <c r="AH19" s="263">
        <f>EF19+'User Input - Correlations'!AH19</f>
        <v>0</v>
      </c>
      <c r="AI19" s="263">
        <f>EG19+'User Input - Correlations'!AI19</f>
        <v>0</v>
      </c>
      <c r="AJ19" s="263">
        <f>EH19+'User Input - Correlations'!AJ19</f>
        <v>0</v>
      </c>
      <c r="AK19" s="263">
        <f>EI19+'User Input - Correlations'!AK19</f>
        <v>0</v>
      </c>
      <c r="AL19" s="263">
        <f>EJ19+'User Input - Correlations'!AL19</f>
        <v>0</v>
      </c>
      <c r="AM19" s="263">
        <f>EK19+'User Input - Correlations'!AM19</f>
        <v>0</v>
      </c>
      <c r="AN19" s="263">
        <f>EL19+'User Input - Correlations'!AN19</f>
        <v>0</v>
      </c>
      <c r="AO19" s="263">
        <f>EM19+'User Input - Correlations'!AO19</f>
        <v>0</v>
      </c>
      <c r="AP19" s="263">
        <f>EN19+'User Input - Correlations'!AP19</f>
        <v>0</v>
      </c>
      <c r="AQ19" s="263">
        <f>EO19+'User Input - Correlations'!AQ19</f>
        <v>0</v>
      </c>
      <c r="AR19" s="263">
        <f>EP19+'User Input - Correlations'!AR19</f>
        <v>0</v>
      </c>
      <c r="AS19" s="263">
        <f>EQ19+'User Input - Correlations'!AS19</f>
        <v>0</v>
      </c>
      <c r="AT19" s="263">
        <f>ER19+'User Input - Correlations'!AT19</f>
        <v>0</v>
      </c>
      <c r="AU19" s="263">
        <f>ES19+'User Input - Correlations'!AU19</f>
        <v>0</v>
      </c>
      <c r="AV19" s="263">
        <f>ET19+'User Input - Correlations'!AV19</f>
        <v>0</v>
      </c>
      <c r="AW19" s="263">
        <f>EU19+'User Input - Correlations'!AW19</f>
        <v>0</v>
      </c>
      <c r="AX19" s="263">
        <f>EV19+'User Input - Correlations'!AX19</f>
        <v>0</v>
      </c>
      <c r="AY19" s="263">
        <f>EW19+'User Input - Correlations'!AY19</f>
        <v>0</v>
      </c>
      <c r="AZ19" s="263">
        <f>EX19+'User Input - Correlations'!AZ19</f>
        <v>0</v>
      </c>
      <c r="BA19" s="263">
        <f>EY19+'User Input - Correlations'!BA19</f>
        <v>0</v>
      </c>
      <c r="BB19" s="263">
        <f>EZ19+'User Input - Correlations'!BB19</f>
        <v>0</v>
      </c>
      <c r="BC19" s="263">
        <f>FA19+'User Input - Correlations'!BC19</f>
        <v>0</v>
      </c>
      <c r="BD19" s="263">
        <f>FB19+'User Input - Correlations'!BD19</f>
        <v>0</v>
      </c>
      <c r="BE19" s="263">
        <f>FC19+'User Input - Correlations'!BE19</f>
        <v>0</v>
      </c>
      <c r="BF19" s="263">
        <f>FD19+'User Input - Correlations'!BF19</f>
        <v>0</v>
      </c>
      <c r="BG19" s="263">
        <f>FE19+'User Input - Correlations'!BG19</f>
        <v>0</v>
      </c>
      <c r="BH19" s="263">
        <f>FF19+'User Input - Correlations'!BH19</f>
        <v>0</v>
      </c>
      <c r="BI19" s="263">
        <f>FG19+'User Input - Correlations'!BI19</f>
        <v>0</v>
      </c>
      <c r="BJ19" s="263">
        <f>FH19+'User Input - Correlations'!BJ19</f>
        <v>0</v>
      </c>
      <c r="BK19" s="263">
        <f>FI19+'User Input - Correlations'!BK19</f>
        <v>0</v>
      </c>
      <c r="BL19" s="263">
        <f>FJ19+'User Input - Correlations'!BL19</f>
        <v>0</v>
      </c>
      <c r="BM19" s="263">
        <f>FK19+'User Input - Correlations'!BM19</f>
        <v>0</v>
      </c>
      <c r="BN19" s="263">
        <f>FL19+'User Input - Correlations'!BN19</f>
        <v>0</v>
      </c>
      <c r="BO19" s="263">
        <f>FM19+'User Input - Correlations'!BO19</f>
        <v>0</v>
      </c>
      <c r="BP19" s="263">
        <f>FN19+'User Input - Correlations'!BP19</f>
        <v>0</v>
      </c>
      <c r="BQ19" s="263">
        <f>FO19+'User Input - Correlations'!BQ19</f>
        <v>0</v>
      </c>
      <c r="BR19" s="263">
        <f>FP19+'User Input - Correlations'!BR19</f>
        <v>0</v>
      </c>
      <c r="BS19" s="263">
        <f>FQ19+'User Input - Correlations'!BS19</f>
        <v>0</v>
      </c>
      <c r="BT19" s="263">
        <f>FR19+'User Input - Correlations'!BT19</f>
        <v>0</v>
      </c>
      <c r="BU19" s="263">
        <f>FS19+'User Input - Correlations'!BU19</f>
        <v>0</v>
      </c>
      <c r="BV19" s="263">
        <f>FT19+'User Input - Correlations'!BV19</f>
        <v>0</v>
      </c>
      <c r="BW19" s="263">
        <f>FU19+'User Input - Correlations'!BW19</f>
        <v>0</v>
      </c>
      <c r="BX19" s="263">
        <f>FV19+'User Input - Correlations'!BX19</f>
        <v>0</v>
      </c>
      <c r="BY19" s="263">
        <f>FW19+'User Input - Correlations'!BY19</f>
        <v>0</v>
      </c>
      <c r="BZ19" s="263">
        <f>FX19+'User Input - Correlations'!BZ19</f>
        <v>0</v>
      </c>
      <c r="CA19" s="263">
        <f>FY19+'User Input - Correlations'!CA19</f>
        <v>0</v>
      </c>
      <c r="CB19" s="263">
        <f>FZ19+'User Input - Correlations'!CB19</f>
        <v>0</v>
      </c>
      <c r="CC19" s="263">
        <f>GA19+'User Input - Correlations'!CC19</f>
        <v>0</v>
      </c>
      <c r="CD19" s="263">
        <f>GB19+'User Input - Correlations'!CD19</f>
        <v>0</v>
      </c>
      <c r="CE19" s="263">
        <f>GC19+'User Input - Correlations'!CE19</f>
        <v>0</v>
      </c>
      <c r="CF19" s="263">
        <f>GD19+'User Input - Correlations'!CF19</f>
        <v>0</v>
      </c>
      <c r="CG19" s="263">
        <f>GE19+'User Input - Correlations'!CG19</f>
        <v>0</v>
      </c>
      <c r="CH19" s="263">
        <f>GF19+'User Input - Correlations'!CH19</f>
        <v>0</v>
      </c>
      <c r="CI19" s="263">
        <f>GG19+'User Input - Correlations'!CI19</f>
        <v>0</v>
      </c>
      <c r="CJ19" s="263">
        <f>GH19+'User Input - Correlations'!CJ19</f>
        <v>0</v>
      </c>
      <c r="CK19" s="263">
        <f>GI19+'User Input - Correlations'!CK19</f>
        <v>0</v>
      </c>
      <c r="CL19" s="263">
        <f>GJ19+'User Input - Correlations'!CL19</f>
        <v>0</v>
      </c>
      <c r="CM19" s="263">
        <f>GK19+'User Input - Correlations'!CM19</f>
        <v>0</v>
      </c>
      <c r="CN19" s="263">
        <f>GL19+'User Input - Correlations'!CN19</f>
        <v>0</v>
      </c>
      <c r="CO19" s="263">
        <f>GM19+'User Input - Correlations'!CO19</f>
        <v>0</v>
      </c>
      <c r="CP19" s="264">
        <f>GN19+'User Input - Correlations'!CP19</f>
        <v>0</v>
      </c>
      <c r="CQ19" s="281">
        <f ca="1">MDETERM(OFFSET($C$11,0,0,ROWS($CQ$11:$CQ19),ROWS($CQ$11:$CQ19)))</f>
        <v>1</v>
      </c>
      <c r="DA19" s="263">
        <v>0</v>
      </c>
      <c r="DB19" s="263">
        <v>0</v>
      </c>
      <c r="DC19" s="263">
        <v>0</v>
      </c>
      <c r="DD19" s="263">
        <v>0</v>
      </c>
      <c r="DE19" s="263">
        <v>0</v>
      </c>
      <c r="DF19" s="263">
        <v>0</v>
      </c>
      <c r="DG19" s="263">
        <v>0</v>
      </c>
      <c r="DH19" s="263">
        <v>0</v>
      </c>
      <c r="DI19" s="263">
        <v>1</v>
      </c>
      <c r="DJ19" s="263">
        <v>0</v>
      </c>
      <c r="DK19" s="263">
        <v>0</v>
      </c>
      <c r="DL19" s="263">
        <v>0</v>
      </c>
      <c r="DM19" s="263">
        <v>0</v>
      </c>
      <c r="DN19" s="263">
        <v>0</v>
      </c>
      <c r="DO19" s="263">
        <v>0</v>
      </c>
      <c r="DP19" s="263">
        <v>0</v>
      </c>
      <c r="DQ19" s="263">
        <v>0</v>
      </c>
      <c r="DR19" s="263">
        <v>0</v>
      </c>
      <c r="DS19" s="263">
        <v>0</v>
      </c>
      <c r="DT19" s="263">
        <v>0</v>
      </c>
      <c r="DU19" s="263">
        <v>0</v>
      </c>
      <c r="DV19" s="263">
        <v>0</v>
      </c>
      <c r="DW19" s="263">
        <v>0</v>
      </c>
      <c r="DX19" s="263">
        <v>0</v>
      </c>
      <c r="DY19" s="263">
        <v>0</v>
      </c>
      <c r="DZ19" s="263">
        <v>0</v>
      </c>
      <c r="EA19" s="263">
        <v>0</v>
      </c>
      <c r="EB19" s="263">
        <v>0</v>
      </c>
      <c r="EC19" s="263">
        <v>0</v>
      </c>
      <c r="ED19" s="263">
        <v>0</v>
      </c>
      <c r="EE19" s="263">
        <v>0</v>
      </c>
      <c r="EF19" s="263">
        <v>0</v>
      </c>
      <c r="EG19" s="263">
        <v>0</v>
      </c>
      <c r="EH19" s="263">
        <v>0</v>
      </c>
      <c r="EI19" s="263">
        <v>0</v>
      </c>
      <c r="EJ19" s="263">
        <v>0</v>
      </c>
      <c r="EK19" s="263">
        <v>0</v>
      </c>
      <c r="EL19" s="263">
        <v>0</v>
      </c>
      <c r="EM19" s="263">
        <v>0</v>
      </c>
      <c r="EN19" s="263">
        <v>0</v>
      </c>
      <c r="EO19" s="263">
        <v>0</v>
      </c>
      <c r="EP19" s="263">
        <v>0</v>
      </c>
      <c r="EQ19" s="263">
        <v>0</v>
      </c>
      <c r="ER19" s="263">
        <v>0</v>
      </c>
      <c r="ES19" s="263">
        <v>0</v>
      </c>
      <c r="ET19" s="263">
        <v>0</v>
      </c>
      <c r="EU19" s="263">
        <v>0</v>
      </c>
      <c r="EV19" s="263">
        <v>0</v>
      </c>
      <c r="EW19" s="263">
        <v>0</v>
      </c>
      <c r="EX19" s="263">
        <v>0</v>
      </c>
      <c r="EY19" s="263">
        <v>0</v>
      </c>
      <c r="EZ19" s="263">
        <v>0</v>
      </c>
      <c r="FA19" s="263">
        <v>0</v>
      </c>
      <c r="FB19" s="263">
        <v>0</v>
      </c>
      <c r="FC19" s="263">
        <v>0</v>
      </c>
      <c r="FD19" s="263">
        <v>0</v>
      </c>
      <c r="FE19" s="263">
        <v>0</v>
      </c>
      <c r="FF19" s="263">
        <v>0</v>
      </c>
      <c r="FG19" s="263">
        <v>0</v>
      </c>
      <c r="FH19" s="263">
        <v>0</v>
      </c>
      <c r="FI19" s="263">
        <v>0</v>
      </c>
      <c r="FJ19" s="263">
        <v>0</v>
      </c>
      <c r="FK19" s="263">
        <v>0</v>
      </c>
      <c r="FL19" s="263">
        <v>0</v>
      </c>
      <c r="FM19" s="263">
        <v>0</v>
      </c>
      <c r="FN19" s="263">
        <v>0</v>
      </c>
      <c r="FO19" s="263">
        <v>0</v>
      </c>
      <c r="FP19" s="263">
        <v>0</v>
      </c>
      <c r="FQ19" s="263">
        <v>0</v>
      </c>
      <c r="FR19" s="263">
        <v>0</v>
      </c>
      <c r="FS19" s="263">
        <v>0</v>
      </c>
      <c r="FT19" s="263">
        <v>0</v>
      </c>
      <c r="FU19" s="263">
        <v>0</v>
      </c>
      <c r="FV19" s="263">
        <v>0</v>
      </c>
      <c r="FW19" s="263">
        <v>0</v>
      </c>
      <c r="FX19" s="263">
        <v>0</v>
      </c>
      <c r="FY19" s="263">
        <v>0</v>
      </c>
      <c r="FZ19" s="263">
        <v>0</v>
      </c>
      <c r="GA19" s="263">
        <v>0</v>
      </c>
      <c r="GB19" s="263">
        <v>0</v>
      </c>
      <c r="GC19" s="263">
        <v>0</v>
      </c>
      <c r="GD19" s="263">
        <v>0</v>
      </c>
      <c r="GE19" s="263">
        <v>0</v>
      </c>
      <c r="GF19" s="263">
        <v>0</v>
      </c>
      <c r="GG19" s="263">
        <v>0</v>
      </c>
      <c r="GH19" s="263">
        <v>0</v>
      </c>
      <c r="GI19" s="263">
        <v>0</v>
      </c>
      <c r="GJ19" s="263">
        <v>0</v>
      </c>
      <c r="GK19" s="263">
        <v>0</v>
      </c>
      <c r="GL19" s="263">
        <v>0</v>
      </c>
      <c r="GM19" s="263">
        <v>0</v>
      </c>
      <c r="GN19" s="263">
        <v>0</v>
      </c>
    </row>
    <row r="20" ht="12.75" customHeight="1">
      <c r="A20" s="284" t="s">
        <v>190</v>
      </c>
      <c r="B20" s="284" t="s">
        <v>174</v>
      </c>
      <c r="C20" s="263">
        <f>DA20+'User Input - Correlations'!C20</f>
        <v>0</v>
      </c>
      <c r="D20" s="263">
        <f>DB20+'User Input - Correlations'!D20</f>
        <v>0</v>
      </c>
      <c r="E20" s="263">
        <f>DC20+'User Input - Correlations'!E20</f>
        <v>0</v>
      </c>
      <c r="F20" s="263">
        <f>DD20+'User Input - Correlations'!F20</f>
        <v>0</v>
      </c>
      <c r="G20" s="263">
        <f>DE20+'User Input - Correlations'!G20</f>
        <v>0</v>
      </c>
      <c r="H20" s="263">
        <f>DF20+'User Input - Correlations'!H20</f>
        <v>0</v>
      </c>
      <c r="I20" s="263">
        <f>DG20+'User Input - Correlations'!I20</f>
        <v>0</v>
      </c>
      <c r="J20" s="263">
        <f>DH20+'User Input - Correlations'!J20</f>
        <v>0</v>
      </c>
      <c r="K20" s="263">
        <f>DI20+'User Input - Correlations'!K20</f>
        <v>0</v>
      </c>
      <c r="L20" s="263">
        <v>1</v>
      </c>
      <c r="M20" s="263">
        <f>DK20+'User Input - Correlations'!M20</f>
        <v>0</v>
      </c>
      <c r="N20" s="263">
        <f>DL20+'User Input - Correlations'!N20</f>
        <v>0</v>
      </c>
      <c r="O20" s="263">
        <f>DM20+'User Input - Correlations'!O20</f>
        <v>0</v>
      </c>
      <c r="P20" s="263">
        <f>DN20+'User Input - Correlations'!P20</f>
        <v>0</v>
      </c>
      <c r="Q20" s="263">
        <f>DO20+'User Input - Correlations'!Q20</f>
        <v>0</v>
      </c>
      <c r="R20" s="263">
        <f>DP20+'User Input - Correlations'!R20</f>
        <v>0</v>
      </c>
      <c r="S20" s="263">
        <f>DQ20+'User Input - Correlations'!S20</f>
        <v>0</v>
      </c>
      <c r="T20" s="263">
        <f>DR20+'User Input - Correlations'!T20</f>
        <v>0</v>
      </c>
      <c r="U20" s="263">
        <f>DS20+'User Input - Correlations'!U20</f>
        <v>0</v>
      </c>
      <c r="V20" s="263">
        <f>DT20+'User Input - Correlations'!V20</f>
        <v>0</v>
      </c>
      <c r="W20" s="263">
        <f>DU20+'User Input - Correlations'!W20</f>
        <v>0</v>
      </c>
      <c r="X20" s="263">
        <f>DV20+'User Input - Correlations'!X20</f>
        <v>0</v>
      </c>
      <c r="Y20" s="263">
        <f>DW20+'User Input - Correlations'!Y20</f>
        <v>0</v>
      </c>
      <c r="Z20" s="263">
        <f>DX20+'User Input - Correlations'!Z20</f>
        <v>0</v>
      </c>
      <c r="AA20" s="263">
        <f>DY20+'User Input - Correlations'!AA20</f>
        <v>0</v>
      </c>
      <c r="AB20" s="263">
        <f>DZ20+'User Input - Correlations'!AB20</f>
        <v>0</v>
      </c>
      <c r="AC20" s="263">
        <f>EA20+'User Input - Correlations'!AC20</f>
        <v>0</v>
      </c>
      <c r="AD20" s="263">
        <f>EB20+'User Input - Correlations'!AD20</f>
        <v>0</v>
      </c>
      <c r="AE20" s="263">
        <f>EC20+'User Input - Correlations'!AE20</f>
        <v>0</v>
      </c>
      <c r="AF20" s="263">
        <f>ED20+'User Input - Correlations'!AF20</f>
        <v>0</v>
      </c>
      <c r="AG20" s="263">
        <f>EE20+'User Input - Correlations'!AG20</f>
        <v>0</v>
      </c>
      <c r="AH20" s="263">
        <f>EF20+'User Input - Correlations'!AH20</f>
        <v>0</v>
      </c>
      <c r="AI20" s="263">
        <f>EG20+'User Input - Correlations'!AI20</f>
        <v>0</v>
      </c>
      <c r="AJ20" s="263">
        <f>EH20+'User Input - Correlations'!AJ20</f>
        <v>0</v>
      </c>
      <c r="AK20" s="263">
        <f>EI20+'User Input - Correlations'!AK20</f>
        <v>0</v>
      </c>
      <c r="AL20" s="263">
        <f>EJ20+'User Input - Correlations'!AL20</f>
        <v>0</v>
      </c>
      <c r="AM20" s="263">
        <f>EK20+'User Input - Correlations'!AM20</f>
        <v>0</v>
      </c>
      <c r="AN20" s="263">
        <f>EL20+'User Input - Correlations'!AN20</f>
        <v>0</v>
      </c>
      <c r="AO20" s="263">
        <f>EM20+'User Input - Correlations'!AO20</f>
        <v>0</v>
      </c>
      <c r="AP20" s="263">
        <f>EN20+'User Input - Correlations'!AP20</f>
        <v>0</v>
      </c>
      <c r="AQ20" s="263">
        <f>EO20+'User Input - Correlations'!AQ20</f>
        <v>0</v>
      </c>
      <c r="AR20" s="263">
        <f>EP20+'User Input - Correlations'!AR20</f>
        <v>0</v>
      </c>
      <c r="AS20" s="263">
        <f>EQ20+'User Input - Correlations'!AS20</f>
        <v>0</v>
      </c>
      <c r="AT20" s="263">
        <f>ER20+'User Input - Correlations'!AT20</f>
        <v>0</v>
      </c>
      <c r="AU20" s="263">
        <f>ES20+'User Input - Correlations'!AU20</f>
        <v>0</v>
      </c>
      <c r="AV20" s="263">
        <f>ET20+'User Input - Correlations'!AV20</f>
        <v>0</v>
      </c>
      <c r="AW20" s="263">
        <f>EU20+'User Input - Correlations'!AW20</f>
        <v>0</v>
      </c>
      <c r="AX20" s="263">
        <f>EV20+'User Input - Correlations'!AX20</f>
        <v>0</v>
      </c>
      <c r="AY20" s="263">
        <f>EW20+'User Input - Correlations'!AY20</f>
        <v>0</v>
      </c>
      <c r="AZ20" s="263">
        <f>EX20+'User Input - Correlations'!AZ20</f>
        <v>0</v>
      </c>
      <c r="BA20" s="263">
        <f>EY20+'User Input - Correlations'!BA20</f>
        <v>0</v>
      </c>
      <c r="BB20" s="263">
        <f>EZ20+'User Input - Correlations'!BB20</f>
        <v>0</v>
      </c>
      <c r="BC20" s="263">
        <f>FA20+'User Input - Correlations'!BC20</f>
        <v>0</v>
      </c>
      <c r="BD20" s="263">
        <f>FB20+'User Input - Correlations'!BD20</f>
        <v>0</v>
      </c>
      <c r="BE20" s="263">
        <f>FC20+'User Input - Correlations'!BE20</f>
        <v>0</v>
      </c>
      <c r="BF20" s="263">
        <f>FD20+'User Input - Correlations'!BF20</f>
        <v>0</v>
      </c>
      <c r="BG20" s="263">
        <f>FE20+'User Input - Correlations'!BG20</f>
        <v>0</v>
      </c>
      <c r="BH20" s="263">
        <f>FF20+'User Input - Correlations'!BH20</f>
        <v>0</v>
      </c>
      <c r="BI20" s="263">
        <f>FG20+'User Input - Correlations'!BI20</f>
        <v>0</v>
      </c>
      <c r="BJ20" s="263">
        <f>FH20+'User Input - Correlations'!BJ20</f>
        <v>0</v>
      </c>
      <c r="BK20" s="263">
        <f>FI20+'User Input - Correlations'!BK20</f>
        <v>0</v>
      </c>
      <c r="BL20" s="263">
        <f>FJ20+'User Input - Correlations'!BL20</f>
        <v>0</v>
      </c>
      <c r="BM20" s="263">
        <f>FK20+'User Input - Correlations'!BM20</f>
        <v>0</v>
      </c>
      <c r="BN20" s="263">
        <f>FL20+'User Input - Correlations'!BN20</f>
        <v>0</v>
      </c>
      <c r="BO20" s="263">
        <f>FM20+'User Input - Correlations'!BO20</f>
        <v>0</v>
      </c>
      <c r="BP20" s="263">
        <f>FN20+'User Input - Correlations'!BP20</f>
        <v>0</v>
      </c>
      <c r="BQ20" s="263">
        <f>FO20+'User Input - Correlations'!BQ20</f>
        <v>0</v>
      </c>
      <c r="BR20" s="263">
        <f>FP20+'User Input - Correlations'!BR20</f>
        <v>0</v>
      </c>
      <c r="BS20" s="263">
        <f>FQ20+'User Input - Correlations'!BS20</f>
        <v>0</v>
      </c>
      <c r="BT20" s="263">
        <f>FR20+'User Input - Correlations'!BT20</f>
        <v>0</v>
      </c>
      <c r="BU20" s="263">
        <f>FS20+'User Input - Correlations'!BU20</f>
        <v>0</v>
      </c>
      <c r="BV20" s="263">
        <f>FT20+'User Input - Correlations'!BV20</f>
        <v>0</v>
      </c>
      <c r="BW20" s="263">
        <f>FU20+'User Input - Correlations'!BW20</f>
        <v>0</v>
      </c>
      <c r="BX20" s="263">
        <f>FV20+'User Input - Correlations'!BX20</f>
        <v>0</v>
      </c>
      <c r="BY20" s="263">
        <f>FW20+'User Input - Correlations'!BY20</f>
        <v>0</v>
      </c>
      <c r="BZ20" s="263">
        <f>FX20+'User Input - Correlations'!BZ20</f>
        <v>0</v>
      </c>
      <c r="CA20" s="263">
        <f>FY20+'User Input - Correlations'!CA20</f>
        <v>0</v>
      </c>
      <c r="CB20" s="263">
        <f>FZ20+'User Input - Correlations'!CB20</f>
        <v>0</v>
      </c>
      <c r="CC20" s="263">
        <f>GA20+'User Input - Correlations'!CC20</f>
        <v>0</v>
      </c>
      <c r="CD20" s="263">
        <f>GB20+'User Input - Correlations'!CD20</f>
        <v>0</v>
      </c>
      <c r="CE20" s="263">
        <f>GC20+'User Input - Correlations'!CE20</f>
        <v>0</v>
      </c>
      <c r="CF20" s="263">
        <f>GD20+'User Input - Correlations'!CF20</f>
        <v>0</v>
      </c>
      <c r="CG20" s="263">
        <f>GE20+'User Input - Correlations'!CG20</f>
        <v>0</v>
      </c>
      <c r="CH20" s="263">
        <f>GF20+'User Input - Correlations'!CH20</f>
        <v>0</v>
      </c>
      <c r="CI20" s="263">
        <f>GG20+'User Input - Correlations'!CI20</f>
        <v>0</v>
      </c>
      <c r="CJ20" s="263">
        <f>GH20+'User Input - Correlations'!CJ20</f>
        <v>0</v>
      </c>
      <c r="CK20" s="263">
        <f>GI20+'User Input - Correlations'!CK20</f>
        <v>0</v>
      </c>
      <c r="CL20" s="263">
        <f>GJ20+'User Input - Correlations'!CL20</f>
        <v>0</v>
      </c>
      <c r="CM20" s="263">
        <f>GK20+'User Input - Correlations'!CM20</f>
        <v>0</v>
      </c>
      <c r="CN20" s="263">
        <f>GL20+'User Input - Correlations'!CN20</f>
        <v>0</v>
      </c>
      <c r="CO20" s="263">
        <f>GM20+'User Input - Correlations'!CO20</f>
        <v>0</v>
      </c>
      <c r="CP20" s="264">
        <f>GN20+'User Input - Correlations'!CP20</f>
        <v>0</v>
      </c>
      <c r="CQ20" s="281">
        <f ca="1">MDETERM(OFFSET($C$11,0,0,ROWS($CQ$11:$CQ20),ROWS($CQ$11:$CQ20)))</f>
        <v>1</v>
      </c>
      <c r="DA20" s="263">
        <v>0</v>
      </c>
      <c r="DB20" s="263">
        <v>0</v>
      </c>
      <c r="DC20" s="263">
        <v>0</v>
      </c>
      <c r="DD20" s="263">
        <v>0</v>
      </c>
      <c r="DE20" s="263">
        <v>0</v>
      </c>
      <c r="DF20" s="263">
        <v>0</v>
      </c>
      <c r="DG20" s="263">
        <v>0</v>
      </c>
      <c r="DH20" s="263">
        <v>0</v>
      </c>
      <c r="DI20" s="263">
        <v>0</v>
      </c>
      <c r="DJ20" s="263">
        <v>1</v>
      </c>
      <c r="DK20" s="263">
        <v>0</v>
      </c>
      <c r="DL20" s="263">
        <v>0</v>
      </c>
      <c r="DM20" s="263">
        <v>0</v>
      </c>
      <c r="DN20" s="263">
        <v>0</v>
      </c>
      <c r="DO20" s="263">
        <v>0</v>
      </c>
      <c r="DP20" s="263">
        <v>0</v>
      </c>
      <c r="DQ20" s="263">
        <v>0</v>
      </c>
      <c r="DR20" s="263">
        <v>0</v>
      </c>
      <c r="DS20" s="263">
        <v>0</v>
      </c>
      <c r="DT20" s="263">
        <v>0</v>
      </c>
      <c r="DU20" s="263">
        <v>0</v>
      </c>
      <c r="DV20" s="263">
        <v>0</v>
      </c>
      <c r="DW20" s="263">
        <v>0</v>
      </c>
      <c r="DX20" s="263">
        <v>0</v>
      </c>
      <c r="DY20" s="263">
        <v>0</v>
      </c>
      <c r="DZ20" s="263">
        <v>0</v>
      </c>
      <c r="EA20" s="263">
        <v>0</v>
      </c>
      <c r="EB20" s="263">
        <v>0</v>
      </c>
      <c r="EC20" s="263">
        <v>0</v>
      </c>
      <c r="ED20" s="263">
        <v>0</v>
      </c>
      <c r="EE20" s="263">
        <v>0</v>
      </c>
      <c r="EF20" s="263">
        <v>0</v>
      </c>
      <c r="EG20" s="263">
        <v>0</v>
      </c>
      <c r="EH20" s="263">
        <v>0</v>
      </c>
      <c r="EI20" s="263">
        <v>0</v>
      </c>
      <c r="EJ20" s="263">
        <v>0</v>
      </c>
      <c r="EK20" s="263">
        <v>0</v>
      </c>
      <c r="EL20" s="263">
        <v>0</v>
      </c>
      <c r="EM20" s="263">
        <v>0</v>
      </c>
      <c r="EN20" s="263">
        <v>0</v>
      </c>
      <c r="EO20" s="263">
        <v>0</v>
      </c>
      <c r="EP20" s="263">
        <v>0</v>
      </c>
      <c r="EQ20" s="263">
        <v>0</v>
      </c>
      <c r="ER20" s="263">
        <v>0</v>
      </c>
      <c r="ES20" s="263">
        <v>0</v>
      </c>
      <c r="ET20" s="263">
        <v>0</v>
      </c>
      <c r="EU20" s="263">
        <v>0</v>
      </c>
      <c r="EV20" s="263">
        <v>0</v>
      </c>
      <c r="EW20" s="263">
        <v>0</v>
      </c>
      <c r="EX20" s="263">
        <v>0</v>
      </c>
      <c r="EY20" s="263">
        <v>0</v>
      </c>
      <c r="EZ20" s="263">
        <v>0</v>
      </c>
      <c r="FA20" s="263">
        <v>0</v>
      </c>
      <c r="FB20" s="263">
        <v>0</v>
      </c>
      <c r="FC20" s="263">
        <v>0</v>
      </c>
      <c r="FD20" s="263">
        <v>0</v>
      </c>
      <c r="FE20" s="263">
        <v>0</v>
      </c>
      <c r="FF20" s="263">
        <v>0</v>
      </c>
      <c r="FG20" s="263">
        <v>0</v>
      </c>
      <c r="FH20" s="263">
        <v>0</v>
      </c>
      <c r="FI20" s="263">
        <v>0</v>
      </c>
      <c r="FJ20" s="263">
        <v>0</v>
      </c>
      <c r="FK20" s="263">
        <v>0</v>
      </c>
      <c r="FL20" s="263">
        <v>0</v>
      </c>
      <c r="FM20" s="263">
        <v>0</v>
      </c>
      <c r="FN20" s="263">
        <v>0</v>
      </c>
      <c r="FO20" s="263">
        <v>0</v>
      </c>
      <c r="FP20" s="263">
        <v>0</v>
      </c>
      <c r="FQ20" s="263">
        <v>0</v>
      </c>
      <c r="FR20" s="263">
        <v>0</v>
      </c>
      <c r="FS20" s="263">
        <v>0</v>
      </c>
      <c r="FT20" s="263">
        <v>0</v>
      </c>
      <c r="FU20" s="263">
        <v>0</v>
      </c>
      <c r="FV20" s="263">
        <v>0</v>
      </c>
      <c r="FW20" s="263">
        <v>0</v>
      </c>
      <c r="FX20" s="263">
        <v>0</v>
      </c>
      <c r="FY20" s="263">
        <v>0</v>
      </c>
      <c r="FZ20" s="263">
        <v>0</v>
      </c>
      <c r="GA20" s="263">
        <v>0</v>
      </c>
      <c r="GB20" s="263">
        <v>0</v>
      </c>
      <c r="GC20" s="263">
        <v>0</v>
      </c>
      <c r="GD20" s="263">
        <v>0</v>
      </c>
      <c r="GE20" s="263">
        <v>0</v>
      </c>
      <c r="GF20" s="263">
        <v>0</v>
      </c>
      <c r="GG20" s="263">
        <v>0</v>
      </c>
      <c r="GH20" s="263">
        <v>0</v>
      </c>
      <c r="GI20" s="263">
        <v>0</v>
      </c>
      <c r="GJ20" s="263">
        <v>0</v>
      </c>
      <c r="GK20" s="263">
        <v>0</v>
      </c>
      <c r="GL20" s="263">
        <v>0</v>
      </c>
      <c r="GM20" s="263">
        <v>0</v>
      </c>
      <c r="GN20" s="263">
        <v>0</v>
      </c>
    </row>
    <row r="21" ht="12.75" customHeight="1">
      <c r="A21" s="284" t="s">
        <v>85</v>
      </c>
      <c r="B21" s="284" t="s">
        <v>174</v>
      </c>
      <c r="C21" s="263">
        <f>DA21+'User Input - Correlations'!C21</f>
        <v>0</v>
      </c>
      <c r="D21" s="263">
        <f>DB21+'User Input - Correlations'!D21</f>
        <v>0</v>
      </c>
      <c r="E21" s="263">
        <f>DC21+'User Input - Correlations'!E21</f>
        <v>0</v>
      </c>
      <c r="F21" s="263">
        <f>DD21+'User Input - Correlations'!F21</f>
        <v>0</v>
      </c>
      <c r="G21" s="263">
        <f>DE21+'User Input - Correlations'!G21</f>
        <v>0</v>
      </c>
      <c r="H21" s="263">
        <f>DF21+'User Input - Correlations'!H21</f>
        <v>0</v>
      </c>
      <c r="I21" s="263">
        <f>DG21+'User Input - Correlations'!I21</f>
        <v>0</v>
      </c>
      <c r="J21" s="263">
        <f>DH21+'User Input - Correlations'!J21</f>
        <v>0</v>
      </c>
      <c r="K21" s="263">
        <f>DI21+'User Input - Correlations'!K21</f>
        <v>0</v>
      </c>
      <c r="L21" s="263">
        <f>DJ21+'User Input - Correlations'!L21</f>
        <v>0</v>
      </c>
      <c r="M21" s="263">
        <v>1</v>
      </c>
      <c r="N21" s="263">
        <f>DL21+'User Input - Correlations'!N21</f>
        <v>0</v>
      </c>
      <c r="O21" s="263">
        <f>DM21+'User Input - Correlations'!O21</f>
        <v>0</v>
      </c>
      <c r="P21" s="263">
        <f>DN21+'User Input - Correlations'!P21</f>
        <v>0</v>
      </c>
      <c r="Q21" s="263">
        <f>DO21+'User Input - Correlations'!Q21</f>
        <v>0</v>
      </c>
      <c r="R21" s="263">
        <f>DP21+'User Input - Correlations'!R21</f>
        <v>0</v>
      </c>
      <c r="S21" s="263">
        <f>DQ21+'User Input - Correlations'!S21</f>
        <v>0</v>
      </c>
      <c r="T21" s="263">
        <f>DR21+'User Input - Correlations'!T21</f>
        <v>0</v>
      </c>
      <c r="U21" s="263">
        <f>DS21+'User Input - Correlations'!U21</f>
        <v>0</v>
      </c>
      <c r="V21" s="263">
        <f>DT21+'User Input - Correlations'!V21</f>
        <v>0</v>
      </c>
      <c r="W21" s="263">
        <f>DU21+'User Input - Correlations'!W21</f>
        <v>0</v>
      </c>
      <c r="X21" s="263">
        <f>DV21+'User Input - Correlations'!X21</f>
        <v>0</v>
      </c>
      <c r="Y21" s="263">
        <f>DW21+'User Input - Correlations'!Y21</f>
        <v>0</v>
      </c>
      <c r="Z21" s="263">
        <f>DX21+'User Input - Correlations'!Z21</f>
        <v>0</v>
      </c>
      <c r="AA21" s="263">
        <f>DY21+'User Input - Correlations'!AA21</f>
        <v>0</v>
      </c>
      <c r="AB21" s="263">
        <f>DZ21+'User Input - Correlations'!AB21</f>
        <v>0</v>
      </c>
      <c r="AC21" s="263">
        <f>EA21+'User Input - Correlations'!AC21</f>
        <v>0</v>
      </c>
      <c r="AD21" s="263">
        <f>EB21+'User Input - Correlations'!AD21</f>
        <v>0</v>
      </c>
      <c r="AE21" s="263">
        <f>EC21+'User Input - Correlations'!AE21</f>
        <v>0</v>
      </c>
      <c r="AF21" s="263">
        <f>ED21+'User Input - Correlations'!AF21</f>
        <v>0</v>
      </c>
      <c r="AG21" s="263">
        <f>EE21+'User Input - Correlations'!AG21</f>
        <v>0</v>
      </c>
      <c r="AH21" s="263">
        <f>EF21+'User Input - Correlations'!AH21</f>
        <v>0</v>
      </c>
      <c r="AI21" s="263">
        <f>EG21+'User Input - Correlations'!AI21</f>
        <v>0</v>
      </c>
      <c r="AJ21" s="263">
        <f>EH21+'User Input - Correlations'!AJ21</f>
        <v>0</v>
      </c>
      <c r="AK21" s="263">
        <f>EI21+'User Input - Correlations'!AK21</f>
        <v>0</v>
      </c>
      <c r="AL21" s="263">
        <f>EJ21+'User Input - Correlations'!AL21</f>
        <v>0</v>
      </c>
      <c r="AM21" s="263">
        <f>EK21+'User Input - Correlations'!AM21</f>
        <v>0</v>
      </c>
      <c r="AN21" s="263">
        <f>EL21+'User Input - Correlations'!AN21</f>
        <v>0</v>
      </c>
      <c r="AO21" s="263">
        <f>EM21+'User Input - Correlations'!AO21</f>
        <v>0</v>
      </c>
      <c r="AP21" s="263">
        <f>EN21+'User Input - Correlations'!AP21</f>
        <v>0</v>
      </c>
      <c r="AQ21" s="263">
        <f>EO21+'User Input - Correlations'!AQ21</f>
        <v>0</v>
      </c>
      <c r="AR21" s="263">
        <f>EP21+'User Input - Correlations'!AR21</f>
        <v>0</v>
      </c>
      <c r="AS21" s="263">
        <f>EQ21+'User Input - Correlations'!AS21</f>
        <v>0</v>
      </c>
      <c r="AT21" s="263">
        <f>ER21+'User Input - Correlations'!AT21</f>
        <v>0</v>
      </c>
      <c r="AU21" s="263">
        <f>ES21+'User Input - Correlations'!AU21</f>
        <v>0</v>
      </c>
      <c r="AV21" s="263">
        <f>ET21+'User Input - Correlations'!AV21</f>
        <v>0</v>
      </c>
      <c r="AW21" s="263">
        <f>EU21+'User Input - Correlations'!AW21</f>
        <v>0</v>
      </c>
      <c r="AX21" s="263">
        <f>EV21+'User Input - Correlations'!AX21</f>
        <v>0</v>
      </c>
      <c r="AY21" s="263">
        <f>EW21+'User Input - Correlations'!AY21</f>
        <v>0</v>
      </c>
      <c r="AZ21" s="263">
        <f>EX21+'User Input - Correlations'!AZ21</f>
        <v>0</v>
      </c>
      <c r="BA21" s="263">
        <f>EY21+'User Input - Correlations'!BA21</f>
        <v>0</v>
      </c>
      <c r="BB21" s="263">
        <f>EZ21+'User Input - Correlations'!BB21</f>
        <v>0</v>
      </c>
      <c r="BC21" s="263">
        <f>FA21+'User Input - Correlations'!BC21</f>
        <v>0</v>
      </c>
      <c r="BD21" s="263">
        <f>FB21+'User Input - Correlations'!BD21</f>
        <v>0</v>
      </c>
      <c r="BE21" s="263">
        <f>FC21+'User Input - Correlations'!BE21</f>
        <v>0</v>
      </c>
      <c r="BF21" s="263">
        <f>FD21+'User Input - Correlations'!BF21</f>
        <v>0</v>
      </c>
      <c r="BG21" s="263">
        <f>FE21+'User Input - Correlations'!BG21</f>
        <v>0</v>
      </c>
      <c r="BH21" s="263">
        <f>FF21+'User Input - Correlations'!BH21</f>
        <v>0</v>
      </c>
      <c r="BI21" s="263">
        <f>FG21+'User Input - Correlations'!BI21</f>
        <v>0</v>
      </c>
      <c r="BJ21" s="263">
        <f>FH21+'User Input - Correlations'!BJ21</f>
        <v>0</v>
      </c>
      <c r="BK21" s="263">
        <f>FI21+'User Input - Correlations'!BK21</f>
        <v>0</v>
      </c>
      <c r="BL21" s="263">
        <f>FJ21+'User Input - Correlations'!BL21</f>
        <v>0</v>
      </c>
      <c r="BM21" s="263">
        <f>FK21+'User Input - Correlations'!BM21</f>
        <v>0</v>
      </c>
      <c r="BN21" s="263">
        <f>FL21+'User Input - Correlations'!BN21</f>
        <v>0</v>
      </c>
      <c r="BO21" s="263">
        <f>FM21+'User Input - Correlations'!BO21</f>
        <v>0</v>
      </c>
      <c r="BP21" s="263">
        <f>FN21+'User Input - Correlations'!BP21</f>
        <v>0</v>
      </c>
      <c r="BQ21" s="263">
        <f>FO21+'User Input - Correlations'!BQ21</f>
        <v>0</v>
      </c>
      <c r="BR21" s="263">
        <f>FP21+'User Input - Correlations'!BR21</f>
        <v>0</v>
      </c>
      <c r="BS21" s="263">
        <f>FQ21+'User Input - Correlations'!BS21</f>
        <v>0</v>
      </c>
      <c r="BT21" s="263">
        <f>FR21+'User Input - Correlations'!BT21</f>
        <v>0</v>
      </c>
      <c r="BU21" s="263">
        <f>FS21+'User Input - Correlations'!BU21</f>
        <v>0</v>
      </c>
      <c r="BV21" s="263">
        <f>FT21+'User Input - Correlations'!BV21</f>
        <v>0</v>
      </c>
      <c r="BW21" s="263">
        <f>FU21+'User Input - Correlations'!BW21</f>
        <v>0</v>
      </c>
      <c r="BX21" s="263">
        <f>FV21+'User Input - Correlations'!BX21</f>
        <v>0</v>
      </c>
      <c r="BY21" s="263">
        <f>FW21+'User Input - Correlations'!BY21</f>
        <v>0</v>
      </c>
      <c r="BZ21" s="263">
        <f>FX21+'User Input - Correlations'!BZ21</f>
        <v>0</v>
      </c>
      <c r="CA21" s="263">
        <f>FY21+'User Input - Correlations'!CA21</f>
        <v>0</v>
      </c>
      <c r="CB21" s="263">
        <f>FZ21+'User Input - Correlations'!CB21</f>
        <v>0</v>
      </c>
      <c r="CC21" s="263">
        <f>GA21+'User Input - Correlations'!CC21</f>
        <v>0</v>
      </c>
      <c r="CD21" s="263">
        <f>GB21+'User Input - Correlations'!CD21</f>
        <v>0</v>
      </c>
      <c r="CE21" s="263">
        <f>GC21+'User Input - Correlations'!CE21</f>
        <v>0</v>
      </c>
      <c r="CF21" s="263">
        <f>GD21+'User Input - Correlations'!CF21</f>
        <v>0</v>
      </c>
      <c r="CG21" s="263">
        <f>GE21+'User Input - Correlations'!CG21</f>
        <v>0</v>
      </c>
      <c r="CH21" s="263">
        <f>GF21+'User Input - Correlations'!CH21</f>
        <v>0</v>
      </c>
      <c r="CI21" s="263">
        <f>GG21+'User Input - Correlations'!CI21</f>
        <v>0</v>
      </c>
      <c r="CJ21" s="263">
        <f>GH21+'User Input - Correlations'!CJ21</f>
        <v>0</v>
      </c>
      <c r="CK21" s="263">
        <f>GI21+'User Input - Correlations'!CK21</f>
        <v>0</v>
      </c>
      <c r="CL21" s="263">
        <f>GJ21+'User Input - Correlations'!CL21</f>
        <v>0</v>
      </c>
      <c r="CM21" s="263">
        <f>GK21+'User Input - Correlations'!CM21</f>
        <v>0</v>
      </c>
      <c r="CN21" s="263">
        <f>GL21+'User Input - Correlations'!CN21</f>
        <v>0</v>
      </c>
      <c r="CO21" s="263">
        <f>GM21+'User Input - Correlations'!CO21</f>
        <v>0</v>
      </c>
      <c r="CP21" s="264">
        <f>GN21+'User Input - Correlations'!CP21</f>
        <v>0</v>
      </c>
      <c r="CQ21" s="281">
        <f ca="1">MDETERM(OFFSET($C$11,0,0,ROWS($CQ$11:$CQ21),ROWS($CQ$11:$CQ21)))</f>
        <v>1</v>
      </c>
      <c r="DA21" s="263">
        <v>0</v>
      </c>
      <c r="DB21" s="263">
        <v>0</v>
      </c>
      <c r="DC21" s="263">
        <v>0</v>
      </c>
      <c r="DD21" s="263">
        <v>0</v>
      </c>
      <c r="DE21" s="263">
        <v>0</v>
      </c>
      <c r="DF21" s="263">
        <v>0</v>
      </c>
      <c r="DG21" s="263">
        <v>0</v>
      </c>
      <c r="DH21" s="263">
        <v>0</v>
      </c>
      <c r="DI21" s="263">
        <v>0</v>
      </c>
      <c r="DJ21" s="263">
        <v>0</v>
      </c>
      <c r="DK21" s="263">
        <v>1</v>
      </c>
      <c r="DL21" s="263">
        <v>0</v>
      </c>
      <c r="DM21" s="263">
        <v>0</v>
      </c>
      <c r="DN21" s="263">
        <v>0</v>
      </c>
      <c r="DO21" s="263">
        <v>0</v>
      </c>
      <c r="DP21" s="263">
        <v>0</v>
      </c>
      <c r="DQ21" s="263">
        <v>0</v>
      </c>
      <c r="DR21" s="263">
        <v>0</v>
      </c>
      <c r="DS21" s="263">
        <v>0</v>
      </c>
      <c r="DT21" s="263">
        <v>0</v>
      </c>
      <c r="DU21" s="263">
        <v>0</v>
      </c>
      <c r="DV21" s="263">
        <v>0</v>
      </c>
      <c r="DW21" s="263">
        <v>0</v>
      </c>
      <c r="DX21" s="263">
        <v>0</v>
      </c>
      <c r="DY21" s="263">
        <v>0</v>
      </c>
      <c r="DZ21" s="263">
        <v>0</v>
      </c>
      <c r="EA21" s="263">
        <v>0</v>
      </c>
      <c r="EB21" s="263">
        <v>0</v>
      </c>
      <c r="EC21" s="263">
        <v>0</v>
      </c>
      <c r="ED21" s="263">
        <v>0</v>
      </c>
      <c r="EE21" s="263">
        <v>0</v>
      </c>
      <c r="EF21" s="263">
        <v>0</v>
      </c>
      <c r="EG21" s="263">
        <v>0</v>
      </c>
      <c r="EH21" s="263">
        <v>0</v>
      </c>
      <c r="EI21" s="263">
        <v>0</v>
      </c>
      <c r="EJ21" s="263">
        <v>0</v>
      </c>
      <c r="EK21" s="263">
        <v>0</v>
      </c>
      <c r="EL21" s="263">
        <v>0</v>
      </c>
      <c r="EM21" s="263">
        <v>0</v>
      </c>
      <c r="EN21" s="263">
        <v>0</v>
      </c>
      <c r="EO21" s="263">
        <v>0</v>
      </c>
      <c r="EP21" s="263">
        <v>0</v>
      </c>
      <c r="EQ21" s="263">
        <v>0</v>
      </c>
      <c r="ER21" s="263">
        <v>0</v>
      </c>
      <c r="ES21" s="263">
        <v>0</v>
      </c>
      <c r="ET21" s="263">
        <v>0</v>
      </c>
      <c r="EU21" s="263">
        <v>0</v>
      </c>
      <c r="EV21" s="263">
        <v>0</v>
      </c>
      <c r="EW21" s="263">
        <v>0</v>
      </c>
      <c r="EX21" s="263">
        <v>0</v>
      </c>
      <c r="EY21" s="263">
        <v>0</v>
      </c>
      <c r="EZ21" s="263">
        <v>0</v>
      </c>
      <c r="FA21" s="263">
        <v>0</v>
      </c>
      <c r="FB21" s="263">
        <v>0</v>
      </c>
      <c r="FC21" s="263">
        <v>0</v>
      </c>
      <c r="FD21" s="263">
        <v>0</v>
      </c>
      <c r="FE21" s="263">
        <v>0</v>
      </c>
      <c r="FF21" s="263">
        <v>0</v>
      </c>
      <c r="FG21" s="263">
        <v>0</v>
      </c>
      <c r="FH21" s="263">
        <v>0</v>
      </c>
      <c r="FI21" s="263">
        <v>0</v>
      </c>
      <c r="FJ21" s="263">
        <v>0</v>
      </c>
      <c r="FK21" s="263">
        <v>0</v>
      </c>
      <c r="FL21" s="263">
        <v>0</v>
      </c>
      <c r="FM21" s="263">
        <v>0</v>
      </c>
      <c r="FN21" s="263">
        <v>0</v>
      </c>
      <c r="FO21" s="263">
        <v>0</v>
      </c>
      <c r="FP21" s="263">
        <v>0</v>
      </c>
      <c r="FQ21" s="263">
        <v>0</v>
      </c>
      <c r="FR21" s="263">
        <v>0</v>
      </c>
      <c r="FS21" s="263">
        <v>0</v>
      </c>
      <c r="FT21" s="263">
        <v>0</v>
      </c>
      <c r="FU21" s="263">
        <v>0</v>
      </c>
      <c r="FV21" s="263">
        <v>0</v>
      </c>
      <c r="FW21" s="263">
        <v>0</v>
      </c>
      <c r="FX21" s="263">
        <v>0</v>
      </c>
      <c r="FY21" s="263">
        <v>0</v>
      </c>
      <c r="FZ21" s="263">
        <v>0</v>
      </c>
      <c r="GA21" s="263">
        <v>0</v>
      </c>
      <c r="GB21" s="263">
        <v>0</v>
      </c>
      <c r="GC21" s="263">
        <v>0</v>
      </c>
      <c r="GD21" s="263">
        <v>0</v>
      </c>
      <c r="GE21" s="263">
        <v>0</v>
      </c>
      <c r="GF21" s="263">
        <v>0</v>
      </c>
      <c r="GG21" s="263">
        <v>0</v>
      </c>
      <c r="GH21" s="263">
        <v>0</v>
      </c>
      <c r="GI21" s="263">
        <v>0</v>
      </c>
      <c r="GJ21" s="263">
        <v>0</v>
      </c>
      <c r="GK21" s="263">
        <v>0</v>
      </c>
      <c r="GL21" s="263">
        <v>0</v>
      </c>
      <c r="GM21" s="263">
        <v>0</v>
      </c>
      <c r="GN21" s="263">
        <v>0</v>
      </c>
    </row>
    <row r="22" ht="12.75" customHeight="1">
      <c r="A22" s="284" t="s">
        <v>227</v>
      </c>
      <c r="B22" s="284" t="s">
        <v>174</v>
      </c>
      <c r="C22" s="263">
        <f>DA22+'User Input - Correlations'!C22</f>
        <v>0</v>
      </c>
      <c r="D22" s="263">
        <f>DB22+'User Input - Correlations'!D22</f>
        <v>0</v>
      </c>
      <c r="E22" s="263">
        <f>DC22+'User Input - Correlations'!E22</f>
        <v>0</v>
      </c>
      <c r="F22" s="263">
        <f>DD22+'User Input - Correlations'!F22</f>
        <v>0</v>
      </c>
      <c r="G22" s="263">
        <f>DE22+'User Input - Correlations'!G22</f>
        <v>0</v>
      </c>
      <c r="H22" s="263">
        <f>DF22+'User Input - Correlations'!H22</f>
        <v>0</v>
      </c>
      <c r="I22" s="263">
        <f>DG22+'User Input - Correlations'!I22</f>
        <v>0</v>
      </c>
      <c r="J22" s="263">
        <f>DH22+'User Input - Correlations'!J22</f>
        <v>0</v>
      </c>
      <c r="K22" s="263">
        <f>DI22+'User Input - Correlations'!K22</f>
        <v>0</v>
      </c>
      <c r="L22" s="263">
        <f>DJ22+'User Input - Correlations'!L22</f>
        <v>0</v>
      </c>
      <c r="M22" s="263">
        <f>DK22+'User Input - Correlations'!M22</f>
        <v>0</v>
      </c>
      <c r="N22" s="263">
        <v>1</v>
      </c>
      <c r="O22" s="263">
        <f>DM22+'User Input - Correlations'!O22</f>
        <v>0</v>
      </c>
      <c r="P22" s="263">
        <f>DN22+'User Input - Correlations'!P22</f>
        <v>0</v>
      </c>
      <c r="Q22" s="263">
        <f>DO22+'User Input - Correlations'!Q22</f>
        <v>0</v>
      </c>
      <c r="R22" s="263">
        <f>DP22+'User Input - Correlations'!R22</f>
        <v>0</v>
      </c>
      <c r="S22" s="263">
        <f>DQ22+'User Input - Correlations'!S22</f>
        <v>0</v>
      </c>
      <c r="T22" s="263">
        <f>DR22+'User Input - Correlations'!T22</f>
        <v>0</v>
      </c>
      <c r="U22" s="263">
        <f>DS22+'User Input - Correlations'!U22</f>
        <v>0</v>
      </c>
      <c r="V22" s="263">
        <f>DT22+'User Input - Correlations'!V22</f>
        <v>0</v>
      </c>
      <c r="W22" s="263">
        <f>DU22+'User Input - Correlations'!W22</f>
        <v>0</v>
      </c>
      <c r="X22" s="263">
        <f>DV22+'User Input - Correlations'!X22</f>
        <v>0</v>
      </c>
      <c r="Y22" s="263">
        <f>DW22+'User Input - Correlations'!Y22</f>
        <v>0</v>
      </c>
      <c r="Z22" s="263">
        <f>DX22+'User Input - Correlations'!Z22</f>
        <v>0</v>
      </c>
      <c r="AA22" s="263">
        <f>DY22+'User Input - Correlations'!AA22</f>
        <v>0</v>
      </c>
      <c r="AB22" s="263">
        <f>DZ22+'User Input - Correlations'!AB22</f>
        <v>0</v>
      </c>
      <c r="AC22" s="263">
        <f>EA22+'User Input - Correlations'!AC22</f>
        <v>0</v>
      </c>
      <c r="AD22" s="263">
        <f>EB22+'User Input - Correlations'!AD22</f>
        <v>0</v>
      </c>
      <c r="AE22" s="263">
        <f>EC22+'User Input - Correlations'!AE22</f>
        <v>0</v>
      </c>
      <c r="AF22" s="263">
        <f>ED22+'User Input - Correlations'!AF22</f>
        <v>0</v>
      </c>
      <c r="AG22" s="263">
        <f>EE22+'User Input - Correlations'!AG22</f>
        <v>0</v>
      </c>
      <c r="AH22" s="263">
        <f>EF22+'User Input - Correlations'!AH22</f>
        <v>0</v>
      </c>
      <c r="AI22" s="263">
        <f>EG22+'User Input - Correlations'!AI22</f>
        <v>0</v>
      </c>
      <c r="AJ22" s="263">
        <f>EH22+'User Input - Correlations'!AJ22</f>
        <v>0</v>
      </c>
      <c r="AK22" s="263">
        <f>EI22+'User Input - Correlations'!AK22</f>
        <v>0</v>
      </c>
      <c r="AL22" s="263">
        <f>EJ22+'User Input - Correlations'!AL22</f>
        <v>0</v>
      </c>
      <c r="AM22" s="263">
        <f>EK22+'User Input - Correlations'!AM22</f>
        <v>0</v>
      </c>
      <c r="AN22" s="263">
        <f>EL22+'User Input - Correlations'!AN22</f>
        <v>0</v>
      </c>
      <c r="AO22" s="263">
        <f>EM22+'User Input - Correlations'!AO22</f>
        <v>0</v>
      </c>
      <c r="AP22" s="263">
        <f>EN22+'User Input - Correlations'!AP22</f>
        <v>0</v>
      </c>
      <c r="AQ22" s="263">
        <f>EO22+'User Input - Correlations'!AQ22</f>
        <v>0</v>
      </c>
      <c r="AR22" s="263">
        <f>EP22+'User Input - Correlations'!AR22</f>
        <v>0</v>
      </c>
      <c r="AS22" s="263">
        <f>EQ22+'User Input - Correlations'!AS22</f>
        <v>0</v>
      </c>
      <c r="AT22" s="263">
        <f>ER22+'User Input - Correlations'!AT22</f>
        <v>0</v>
      </c>
      <c r="AU22" s="263">
        <f>ES22+'User Input - Correlations'!AU22</f>
        <v>0</v>
      </c>
      <c r="AV22" s="263">
        <f>ET22+'User Input - Correlations'!AV22</f>
        <v>0</v>
      </c>
      <c r="AW22" s="263">
        <f>EU22+'User Input - Correlations'!AW22</f>
        <v>0</v>
      </c>
      <c r="AX22" s="263">
        <f>EV22+'User Input - Correlations'!AX22</f>
        <v>0</v>
      </c>
      <c r="AY22" s="263">
        <f>EW22+'User Input - Correlations'!AY22</f>
        <v>0</v>
      </c>
      <c r="AZ22" s="263">
        <f>EX22+'User Input - Correlations'!AZ22</f>
        <v>0</v>
      </c>
      <c r="BA22" s="263">
        <f>EY22+'User Input - Correlations'!BA22</f>
        <v>0</v>
      </c>
      <c r="BB22" s="263">
        <f>EZ22+'User Input - Correlations'!BB22</f>
        <v>0</v>
      </c>
      <c r="BC22" s="263">
        <f>FA22+'User Input - Correlations'!BC22</f>
        <v>0</v>
      </c>
      <c r="BD22" s="263">
        <f>FB22+'User Input - Correlations'!BD22</f>
        <v>0</v>
      </c>
      <c r="BE22" s="263">
        <f>FC22+'User Input - Correlations'!BE22</f>
        <v>0</v>
      </c>
      <c r="BF22" s="263">
        <f>FD22+'User Input - Correlations'!BF22</f>
        <v>0</v>
      </c>
      <c r="BG22" s="263">
        <f>FE22+'User Input - Correlations'!BG22</f>
        <v>0</v>
      </c>
      <c r="BH22" s="263">
        <f>FF22+'User Input - Correlations'!BH22</f>
        <v>0</v>
      </c>
      <c r="BI22" s="263">
        <f>FG22+'User Input - Correlations'!BI22</f>
        <v>0</v>
      </c>
      <c r="BJ22" s="263">
        <f>FH22+'User Input - Correlations'!BJ22</f>
        <v>0</v>
      </c>
      <c r="BK22" s="263">
        <f>FI22+'User Input - Correlations'!BK22</f>
        <v>0</v>
      </c>
      <c r="BL22" s="263">
        <f>FJ22+'User Input - Correlations'!BL22</f>
        <v>0</v>
      </c>
      <c r="BM22" s="263">
        <f>FK22+'User Input - Correlations'!BM22</f>
        <v>0</v>
      </c>
      <c r="BN22" s="263">
        <f>FL22+'User Input - Correlations'!BN22</f>
        <v>0</v>
      </c>
      <c r="BO22" s="263">
        <f>FM22+'User Input - Correlations'!BO22</f>
        <v>0</v>
      </c>
      <c r="BP22" s="263">
        <f>FN22+'User Input - Correlations'!BP22</f>
        <v>0</v>
      </c>
      <c r="BQ22" s="263">
        <f>FO22+'User Input - Correlations'!BQ22</f>
        <v>0</v>
      </c>
      <c r="BR22" s="263">
        <f>FP22+'User Input - Correlations'!BR22</f>
        <v>0</v>
      </c>
      <c r="BS22" s="263">
        <f>FQ22+'User Input - Correlations'!BS22</f>
        <v>0</v>
      </c>
      <c r="BT22" s="263">
        <f>FR22+'User Input - Correlations'!BT22</f>
        <v>0</v>
      </c>
      <c r="BU22" s="263">
        <f>FS22+'User Input - Correlations'!BU22</f>
        <v>0</v>
      </c>
      <c r="BV22" s="263">
        <f>FT22+'User Input - Correlations'!BV22</f>
        <v>0</v>
      </c>
      <c r="BW22" s="263">
        <f>FU22+'User Input - Correlations'!BW22</f>
        <v>0</v>
      </c>
      <c r="BX22" s="263">
        <f>FV22+'User Input - Correlations'!BX22</f>
        <v>0</v>
      </c>
      <c r="BY22" s="263">
        <f>FW22+'User Input - Correlations'!BY22</f>
        <v>0</v>
      </c>
      <c r="BZ22" s="263">
        <f>FX22+'User Input - Correlations'!BZ22</f>
        <v>0</v>
      </c>
      <c r="CA22" s="263">
        <f>FY22+'User Input - Correlations'!CA22</f>
        <v>0</v>
      </c>
      <c r="CB22" s="263">
        <f>FZ22+'User Input - Correlations'!CB22</f>
        <v>0</v>
      </c>
      <c r="CC22" s="263">
        <f>GA22+'User Input - Correlations'!CC22</f>
        <v>0</v>
      </c>
      <c r="CD22" s="263">
        <f>GB22+'User Input - Correlations'!CD22</f>
        <v>0</v>
      </c>
      <c r="CE22" s="263">
        <f>GC22+'User Input - Correlations'!CE22</f>
        <v>0</v>
      </c>
      <c r="CF22" s="263">
        <f>GD22+'User Input - Correlations'!CF22</f>
        <v>0</v>
      </c>
      <c r="CG22" s="263">
        <f>GE22+'User Input - Correlations'!CG22</f>
        <v>0</v>
      </c>
      <c r="CH22" s="263">
        <f>GF22+'User Input - Correlations'!CH22</f>
        <v>0</v>
      </c>
      <c r="CI22" s="263">
        <f>GG22+'User Input - Correlations'!CI22</f>
        <v>0</v>
      </c>
      <c r="CJ22" s="263">
        <f>GH22+'User Input - Correlations'!CJ22</f>
        <v>0</v>
      </c>
      <c r="CK22" s="263">
        <f>GI22+'User Input - Correlations'!CK22</f>
        <v>0</v>
      </c>
      <c r="CL22" s="263">
        <f>GJ22+'User Input - Correlations'!CL22</f>
        <v>0</v>
      </c>
      <c r="CM22" s="263">
        <f>GK22+'User Input - Correlations'!CM22</f>
        <v>0</v>
      </c>
      <c r="CN22" s="263">
        <f>GL22+'User Input - Correlations'!CN22</f>
        <v>0</v>
      </c>
      <c r="CO22" s="263">
        <f>GM22+'User Input - Correlations'!CO22</f>
        <v>0</v>
      </c>
      <c r="CP22" s="264">
        <f>GN22+'User Input - Correlations'!CP22</f>
        <v>0</v>
      </c>
      <c r="CQ22" s="281">
        <f ca="1">MDETERM(OFFSET($C$11,0,0,ROWS($CQ$11:$CQ22),ROWS($CQ$11:$CQ22)))</f>
        <v>1</v>
      </c>
      <c r="DA22" s="263">
        <v>0</v>
      </c>
      <c r="DB22" s="263">
        <v>0</v>
      </c>
      <c r="DC22" s="263">
        <v>0</v>
      </c>
      <c r="DD22" s="263">
        <v>0</v>
      </c>
      <c r="DE22" s="263">
        <v>0</v>
      </c>
      <c r="DF22" s="263">
        <v>0</v>
      </c>
      <c r="DG22" s="263">
        <v>0</v>
      </c>
      <c r="DH22" s="263">
        <v>0</v>
      </c>
      <c r="DI22" s="263">
        <v>0</v>
      </c>
      <c r="DJ22" s="263">
        <v>0</v>
      </c>
      <c r="DK22" s="263">
        <v>0</v>
      </c>
      <c r="DL22" s="263">
        <v>1</v>
      </c>
      <c r="DM22" s="263">
        <v>0</v>
      </c>
      <c r="DN22" s="263">
        <v>0</v>
      </c>
      <c r="DO22" s="263">
        <v>0</v>
      </c>
      <c r="DP22" s="263">
        <v>0</v>
      </c>
      <c r="DQ22" s="263">
        <v>0</v>
      </c>
      <c r="DR22" s="263">
        <v>0</v>
      </c>
      <c r="DS22" s="263">
        <v>0</v>
      </c>
      <c r="DT22" s="263">
        <v>0</v>
      </c>
      <c r="DU22" s="263">
        <v>0</v>
      </c>
      <c r="DV22" s="263">
        <v>0</v>
      </c>
      <c r="DW22" s="263">
        <v>0</v>
      </c>
      <c r="DX22" s="263">
        <v>0</v>
      </c>
      <c r="DY22" s="263">
        <v>0</v>
      </c>
      <c r="DZ22" s="263">
        <v>0</v>
      </c>
      <c r="EA22" s="263">
        <v>0</v>
      </c>
      <c r="EB22" s="263">
        <v>0</v>
      </c>
      <c r="EC22" s="263">
        <v>0</v>
      </c>
      <c r="ED22" s="263">
        <v>0</v>
      </c>
      <c r="EE22" s="263">
        <v>0</v>
      </c>
      <c r="EF22" s="263">
        <v>0</v>
      </c>
      <c r="EG22" s="263">
        <v>0</v>
      </c>
      <c r="EH22" s="263">
        <v>0</v>
      </c>
      <c r="EI22" s="263">
        <v>0</v>
      </c>
      <c r="EJ22" s="263">
        <v>0</v>
      </c>
      <c r="EK22" s="263">
        <v>0</v>
      </c>
      <c r="EL22" s="263">
        <v>0</v>
      </c>
      <c r="EM22" s="263">
        <v>0</v>
      </c>
      <c r="EN22" s="263">
        <v>0</v>
      </c>
      <c r="EO22" s="263">
        <v>0</v>
      </c>
      <c r="EP22" s="263">
        <v>0</v>
      </c>
      <c r="EQ22" s="263">
        <v>0</v>
      </c>
      <c r="ER22" s="263">
        <v>0</v>
      </c>
      <c r="ES22" s="263">
        <v>0</v>
      </c>
      <c r="ET22" s="263">
        <v>0</v>
      </c>
      <c r="EU22" s="263">
        <v>0</v>
      </c>
      <c r="EV22" s="263">
        <v>0</v>
      </c>
      <c r="EW22" s="263">
        <v>0</v>
      </c>
      <c r="EX22" s="263">
        <v>0</v>
      </c>
      <c r="EY22" s="263">
        <v>0</v>
      </c>
      <c r="EZ22" s="263">
        <v>0</v>
      </c>
      <c r="FA22" s="263">
        <v>0</v>
      </c>
      <c r="FB22" s="263">
        <v>0</v>
      </c>
      <c r="FC22" s="263">
        <v>0</v>
      </c>
      <c r="FD22" s="263">
        <v>0</v>
      </c>
      <c r="FE22" s="263">
        <v>0</v>
      </c>
      <c r="FF22" s="263">
        <v>0</v>
      </c>
      <c r="FG22" s="263">
        <v>0</v>
      </c>
      <c r="FH22" s="263">
        <v>0</v>
      </c>
      <c r="FI22" s="263">
        <v>0</v>
      </c>
      <c r="FJ22" s="263">
        <v>0</v>
      </c>
      <c r="FK22" s="263">
        <v>0</v>
      </c>
      <c r="FL22" s="263">
        <v>0</v>
      </c>
      <c r="FM22" s="263">
        <v>0</v>
      </c>
      <c r="FN22" s="263">
        <v>0</v>
      </c>
      <c r="FO22" s="263">
        <v>0</v>
      </c>
      <c r="FP22" s="263">
        <v>0</v>
      </c>
      <c r="FQ22" s="263">
        <v>0</v>
      </c>
      <c r="FR22" s="263">
        <v>0</v>
      </c>
      <c r="FS22" s="263">
        <v>0</v>
      </c>
      <c r="FT22" s="263">
        <v>0</v>
      </c>
      <c r="FU22" s="263">
        <v>0</v>
      </c>
      <c r="FV22" s="263">
        <v>0</v>
      </c>
      <c r="FW22" s="263">
        <v>0</v>
      </c>
      <c r="FX22" s="263">
        <v>0</v>
      </c>
      <c r="FY22" s="263">
        <v>0</v>
      </c>
      <c r="FZ22" s="263">
        <v>0</v>
      </c>
      <c r="GA22" s="263">
        <v>0</v>
      </c>
      <c r="GB22" s="263">
        <v>0</v>
      </c>
      <c r="GC22" s="263">
        <v>0</v>
      </c>
      <c r="GD22" s="263">
        <v>0</v>
      </c>
      <c r="GE22" s="263">
        <v>0</v>
      </c>
      <c r="GF22" s="263">
        <v>0</v>
      </c>
      <c r="GG22" s="263">
        <v>0</v>
      </c>
      <c r="GH22" s="263">
        <v>0</v>
      </c>
      <c r="GI22" s="263">
        <v>0</v>
      </c>
      <c r="GJ22" s="263">
        <v>0</v>
      </c>
      <c r="GK22" s="263">
        <v>0</v>
      </c>
      <c r="GL22" s="263">
        <v>0</v>
      </c>
      <c r="GM22" s="263">
        <v>0</v>
      </c>
      <c r="GN22" s="263">
        <v>0</v>
      </c>
    </row>
    <row r="23" ht="12.75" customHeight="1">
      <c r="A23" s="284" t="s">
        <v>191</v>
      </c>
      <c r="B23" s="284" t="s">
        <v>174</v>
      </c>
      <c r="C23" s="263">
        <f>DA23+'User Input - Correlations'!C23</f>
        <v>0</v>
      </c>
      <c r="D23" s="263">
        <f>DB23+'User Input - Correlations'!D23</f>
        <v>0</v>
      </c>
      <c r="E23" s="263">
        <f>DC23+'User Input - Correlations'!E23</f>
        <v>0</v>
      </c>
      <c r="F23" s="263">
        <f>DD23+'User Input - Correlations'!F23</f>
        <v>0</v>
      </c>
      <c r="G23" s="263">
        <f>DE23+'User Input - Correlations'!G23</f>
        <v>0</v>
      </c>
      <c r="H23" s="263">
        <f>DF23+'User Input - Correlations'!H23</f>
        <v>0</v>
      </c>
      <c r="I23" s="263">
        <f>DG23+'User Input - Correlations'!I23</f>
        <v>0</v>
      </c>
      <c r="J23" s="263">
        <f>DH23+'User Input - Correlations'!J23</f>
        <v>0</v>
      </c>
      <c r="K23" s="263">
        <f>DI23+'User Input - Correlations'!K23</f>
        <v>0</v>
      </c>
      <c r="L23" s="263">
        <f>DJ23+'User Input - Correlations'!L23</f>
        <v>0</v>
      </c>
      <c r="M23" s="263">
        <f>DK23+'User Input - Correlations'!M23</f>
        <v>0</v>
      </c>
      <c r="N23" s="263">
        <f>DL23+'User Input - Correlations'!N23</f>
        <v>0</v>
      </c>
      <c r="O23" s="263">
        <v>1</v>
      </c>
      <c r="P23" s="263">
        <f>DN23+'User Input - Correlations'!P23</f>
        <v>0</v>
      </c>
      <c r="Q23" s="263">
        <f>DO23+'User Input - Correlations'!Q23</f>
        <v>0</v>
      </c>
      <c r="R23" s="263">
        <f>DP23+'User Input - Correlations'!R23</f>
        <v>0</v>
      </c>
      <c r="S23" s="263">
        <f>DQ23+'User Input - Correlations'!S23</f>
        <v>0</v>
      </c>
      <c r="T23" s="263">
        <f>DR23+'User Input - Correlations'!T23</f>
        <v>0</v>
      </c>
      <c r="U23" s="263">
        <f>DS23+'User Input - Correlations'!U23</f>
        <v>0</v>
      </c>
      <c r="V23" s="263">
        <f>DT23+'User Input - Correlations'!V23</f>
        <v>0</v>
      </c>
      <c r="W23" s="263">
        <f>DU23+'User Input - Correlations'!W23</f>
        <v>0</v>
      </c>
      <c r="X23" s="263">
        <f>DV23+'User Input - Correlations'!X23</f>
        <v>0</v>
      </c>
      <c r="Y23" s="263">
        <f>DW23+'User Input - Correlations'!Y23</f>
        <v>0</v>
      </c>
      <c r="Z23" s="263">
        <f>DX23+'User Input - Correlations'!Z23</f>
        <v>0</v>
      </c>
      <c r="AA23" s="263">
        <f>DY23+'User Input - Correlations'!AA23</f>
        <v>0</v>
      </c>
      <c r="AB23" s="263">
        <f>DZ23+'User Input - Correlations'!AB23</f>
        <v>0</v>
      </c>
      <c r="AC23" s="263">
        <f>EA23+'User Input - Correlations'!AC23</f>
        <v>0</v>
      </c>
      <c r="AD23" s="263">
        <f>EB23+'User Input - Correlations'!AD23</f>
        <v>0</v>
      </c>
      <c r="AE23" s="263">
        <f>EC23+'User Input - Correlations'!AE23</f>
        <v>0</v>
      </c>
      <c r="AF23" s="263">
        <f>ED23+'User Input - Correlations'!AF23</f>
        <v>0</v>
      </c>
      <c r="AG23" s="263">
        <f>EE23+'User Input - Correlations'!AG23</f>
        <v>0</v>
      </c>
      <c r="AH23" s="263">
        <f>EF23+'User Input - Correlations'!AH23</f>
        <v>0</v>
      </c>
      <c r="AI23" s="263">
        <f>EG23+'User Input - Correlations'!AI23</f>
        <v>0</v>
      </c>
      <c r="AJ23" s="263">
        <f>EH23+'User Input - Correlations'!AJ23</f>
        <v>0</v>
      </c>
      <c r="AK23" s="263">
        <f>EI23+'User Input - Correlations'!AK23</f>
        <v>0</v>
      </c>
      <c r="AL23" s="263">
        <f>EJ23+'User Input - Correlations'!AL23</f>
        <v>0</v>
      </c>
      <c r="AM23" s="263">
        <f>EK23+'User Input - Correlations'!AM23</f>
        <v>0</v>
      </c>
      <c r="AN23" s="263">
        <f>EL23+'User Input - Correlations'!AN23</f>
        <v>0</v>
      </c>
      <c r="AO23" s="263">
        <f>EM23+'User Input - Correlations'!AO23</f>
        <v>0</v>
      </c>
      <c r="AP23" s="263">
        <f>EN23+'User Input - Correlations'!AP23</f>
        <v>0</v>
      </c>
      <c r="AQ23" s="263">
        <f>EO23+'User Input - Correlations'!AQ23</f>
        <v>0</v>
      </c>
      <c r="AR23" s="263">
        <f>EP23+'User Input - Correlations'!AR23</f>
        <v>0</v>
      </c>
      <c r="AS23" s="263">
        <f>EQ23+'User Input - Correlations'!AS23</f>
        <v>0</v>
      </c>
      <c r="AT23" s="263">
        <f>ER23+'User Input - Correlations'!AT23</f>
        <v>0</v>
      </c>
      <c r="AU23" s="263">
        <f>ES23+'User Input - Correlations'!AU23</f>
        <v>0</v>
      </c>
      <c r="AV23" s="263">
        <f>ET23+'User Input - Correlations'!AV23</f>
        <v>0</v>
      </c>
      <c r="AW23" s="263">
        <f>EU23+'User Input - Correlations'!AW23</f>
        <v>0</v>
      </c>
      <c r="AX23" s="263">
        <f>EV23+'User Input - Correlations'!AX23</f>
        <v>0</v>
      </c>
      <c r="AY23" s="263">
        <f>EW23+'User Input - Correlations'!AY23</f>
        <v>0</v>
      </c>
      <c r="AZ23" s="263">
        <f>EX23+'User Input - Correlations'!AZ23</f>
        <v>0</v>
      </c>
      <c r="BA23" s="263">
        <f>EY23+'User Input - Correlations'!BA23</f>
        <v>0</v>
      </c>
      <c r="BB23" s="263">
        <f>EZ23+'User Input - Correlations'!BB23</f>
        <v>0</v>
      </c>
      <c r="BC23" s="263">
        <f>FA23+'User Input - Correlations'!BC23</f>
        <v>0</v>
      </c>
      <c r="BD23" s="263">
        <f>FB23+'User Input - Correlations'!BD23</f>
        <v>0</v>
      </c>
      <c r="BE23" s="263">
        <f>FC23+'User Input - Correlations'!BE23</f>
        <v>0</v>
      </c>
      <c r="BF23" s="263">
        <f>FD23+'User Input - Correlations'!BF23</f>
        <v>0</v>
      </c>
      <c r="BG23" s="263">
        <f>FE23+'User Input - Correlations'!BG23</f>
        <v>0</v>
      </c>
      <c r="BH23" s="263">
        <f>FF23+'User Input - Correlations'!BH23</f>
        <v>0</v>
      </c>
      <c r="BI23" s="263">
        <f>FG23+'User Input - Correlations'!BI23</f>
        <v>0</v>
      </c>
      <c r="BJ23" s="263">
        <f>FH23+'User Input - Correlations'!BJ23</f>
        <v>0</v>
      </c>
      <c r="BK23" s="263">
        <f>FI23+'User Input - Correlations'!BK23</f>
        <v>0</v>
      </c>
      <c r="BL23" s="263">
        <f>FJ23+'User Input - Correlations'!BL23</f>
        <v>0</v>
      </c>
      <c r="BM23" s="263">
        <f>FK23+'User Input - Correlations'!BM23</f>
        <v>0</v>
      </c>
      <c r="BN23" s="263">
        <f>FL23+'User Input - Correlations'!BN23</f>
        <v>0</v>
      </c>
      <c r="BO23" s="263">
        <f>FM23+'User Input - Correlations'!BO23</f>
        <v>0</v>
      </c>
      <c r="BP23" s="263">
        <f>FN23+'User Input - Correlations'!BP23</f>
        <v>0</v>
      </c>
      <c r="BQ23" s="263">
        <f>FO23+'User Input - Correlations'!BQ23</f>
        <v>0</v>
      </c>
      <c r="BR23" s="263">
        <f>FP23+'User Input - Correlations'!BR23</f>
        <v>0</v>
      </c>
      <c r="BS23" s="263">
        <f>FQ23+'User Input - Correlations'!BS23</f>
        <v>0</v>
      </c>
      <c r="BT23" s="263">
        <f>FR23+'User Input - Correlations'!BT23</f>
        <v>0</v>
      </c>
      <c r="BU23" s="263">
        <f>FS23+'User Input - Correlations'!BU23</f>
        <v>0</v>
      </c>
      <c r="BV23" s="263">
        <f>FT23+'User Input - Correlations'!BV23</f>
        <v>0</v>
      </c>
      <c r="BW23" s="263">
        <f>FU23+'User Input - Correlations'!BW23</f>
        <v>0</v>
      </c>
      <c r="BX23" s="263">
        <f>FV23+'User Input - Correlations'!BX23</f>
        <v>0</v>
      </c>
      <c r="BY23" s="263">
        <f>FW23+'User Input - Correlations'!BY23</f>
        <v>0</v>
      </c>
      <c r="BZ23" s="263">
        <f>FX23+'User Input - Correlations'!BZ23</f>
        <v>0</v>
      </c>
      <c r="CA23" s="263">
        <f>FY23+'User Input - Correlations'!CA23</f>
        <v>0</v>
      </c>
      <c r="CB23" s="263">
        <f>FZ23+'User Input - Correlations'!CB23</f>
        <v>0</v>
      </c>
      <c r="CC23" s="263">
        <f>GA23+'User Input - Correlations'!CC23</f>
        <v>0</v>
      </c>
      <c r="CD23" s="263">
        <f>GB23+'User Input - Correlations'!CD23</f>
        <v>0</v>
      </c>
      <c r="CE23" s="263">
        <f>GC23+'User Input - Correlations'!CE23</f>
        <v>0</v>
      </c>
      <c r="CF23" s="263">
        <f>GD23+'User Input - Correlations'!CF23</f>
        <v>0</v>
      </c>
      <c r="CG23" s="263">
        <f>GE23+'User Input - Correlations'!CG23</f>
        <v>0</v>
      </c>
      <c r="CH23" s="263">
        <f>GF23+'User Input - Correlations'!CH23</f>
        <v>0</v>
      </c>
      <c r="CI23" s="263">
        <f>GG23+'User Input - Correlations'!CI23</f>
        <v>0</v>
      </c>
      <c r="CJ23" s="263">
        <f>GH23+'User Input - Correlations'!CJ23</f>
        <v>0</v>
      </c>
      <c r="CK23" s="263">
        <f>GI23+'User Input - Correlations'!CK23</f>
        <v>0</v>
      </c>
      <c r="CL23" s="263">
        <f>GJ23+'User Input - Correlations'!CL23</f>
        <v>0</v>
      </c>
      <c r="CM23" s="263">
        <f>GK23+'User Input - Correlations'!CM23</f>
        <v>0</v>
      </c>
      <c r="CN23" s="263">
        <f>GL23+'User Input - Correlations'!CN23</f>
        <v>0</v>
      </c>
      <c r="CO23" s="263">
        <f>GM23+'User Input - Correlations'!CO23</f>
        <v>0</v>
      </c>
      <c r="CP23" s="264">
        <f>GN23+'User Input - Correlations'!CP23</f>
        <v>0</v>
      </c>
      <c r="CQ23" s="281">
        <f ca="1">MDETERM(OFFSET($C$11,0,0,ROWS($CQ$11:$CQ23),ROWS($CQ$11:$CQ23)))</f>
        <v>1</v>
      </c>
      <c r="DA23" s="263">
        <v>0</v>
      </c>
      <c r="DB23" s="263">
        <v>0</v>
      </c>
      <c r="DC23" s="263">
        <v>0</v>
      </c>
      <c r="DD23" s="263">
        <v>0</v>
      </c>
      <c r="DE23" s="263">
        <v>0</v>
      </c>
      <c r="DF23" s="263">
        <v>0</v>
      </c>
      <c r="DG23" s="263">
        <v>0</v>
      </c>
      <c r="DH23" s="263">
        <v>0</v>
      </c>
      <c r="DI23" s="263">
        <v>0</v>
      </c>
      <c r="DJ23" s="263">
        <v>0</v>
      </c>
      <c r="DK23" s="263">
        <v>0</v>
      </c>
      <c r="DL23" s="263">
        <v>0</v>
      </c>
      <c r="DM23" s="263">
        <v>1</v>
      </c>
      <c r="DN23" s="263">
        <v>0</v>
      </c>
      <c r="DO23" s="263">
        <v>0</v>
      </c>
      <c r="DP23" s="263">
        <v>0</v>
      </c>
      <c r="DQ23" s="263">
        <v>0</v>
      </c>
      <c r="DR23" s="263">
        <v>0</v>
      </c>
      <c r="DS23" s="263">
        <v>0</v>
      </c>
      <c r="DT23" s="263">
        <v>0</v>
      </c>
      <c r="DU23" s="263">
        <v>0</v>
      </c>
      <c r="DV23" s="263">
        <v>0</v>
      </c>
      <c r="DW23" s="263">
        <v>0</v>
      </c>
      <c r="DX23" s="263">
        <v>0</v>
      </c>
      <c r="DY23" s="263">
        <v>0</v>
      </c>
      <c r="DZ23" s="263">
        <v>0</v>
      </c>
      <c r="EA23" s="263">
        <v>0</v>
      </c>
      <c r="EB23" s="263">
        <v>0</v>
      </c>
      <c r="EC23" s="263">
        <v>0</v>
      </c>
      <c r="ED23" s="263">
        <v>0</v>
      </c>
      <c r="EE23" s="263">
        <v>0</v>
      </c>
      <c r="EF23" s="263">
        <v>0</v>
      </c>
      <c r="EG23" s="263">
        <v>0</v>
      </c>
      <c r="EH23" s="263">
        <v>0</v>
      </c>
      <c r="EI23" s="263">
        <v>0</v>
      </c>
      <c r="EJ23" s="263">
        <v>0</v>
      </c>
      <c r="EK23" s="263">
        <v>0</v>
      </c>
      <c r="EL23" s="263">
        <v>0</v>
      </c>
      <c r="EM23" s="263">
        <v>0</v>
      </c>
      <c r="EN23" s="263">
        <v>0</v>
      </c>
      <c r="EO23" s="263">
        <v>0</v>
      </c>
      <c r="EP23" s="263">
        <v>0</v>
      </c>
      <c r="EQ23" s="263">
        <v>0</v>
      </c>
      <c r="ER23" s="263">
        <v>0</v>
      </c>
      <c r="ES23" s="263">
        <v>0</v>
      </c>
      <c r="ET23" s="263">
        <v>0</v>
      </c>
      <c r="EU23" s="263">
        <v>0</v>
      </c>
      <c r="EV23" s="263">
        <v>0</v>
      </c>
      <c r="EW23" s="263">
        <v>0</v>
      </c>
      <c r="EX23" s="263">
        <v>0</v>
      </c>
      <c r="EY23" s="263">
        <v>0</v>
      </c>
      <c r="EZ23" s="263">
        <v>0</v>
      </c>
      <c r="FA23" s="263">
        <v>0</v>
      </c>
      <c r="FB23" s="263">
        <v>0</v>
      </c>
      <c r="FC23" s="263">
        <v>0</v>
      </c>
      <c r="FD23" s="263">
        <v>0</v>
      </c>
      <c r="FE23" s="263">
        <v>0</v>
      </c>
      <c r="FF23" s="263">
        <v>0</v>
      </c>
      <c r="FG23" s="263">
        <v>0</v>
      </c>
      <c r="FH23" s="263">
        <v>0</v>
      </c>
      <c r="FI23" s="263">
        <v>0</v>
      </c>
      <c r="FJ23" s="263">
        <v>0</v>
      </c>
      <c r="FK23" s="263">
        <v>0</v>
      </c>
      <c r="FL23" s="263">
        <v>0</v>
      </c>
      <c r="FM23" s="263">
        <v>0</v>
      </c>
      <c r="FN23" s="263">
        <v>0</v>
      </c>
      <c r="FO23" s="263">
        <v>0</v>
      </c>
      <c r="FP23" s="263">
        <v>0</v>
      </c>
      <c r="FQ23" s="263">
        <v>0</v>
      </c>
      <c r="FR23" s="263">
        <v>0</v>
      </c>
      <c r="FS23" s="263">
        <v>0</v>
      </c>
      <c r="FT23" s="263">
        <v>0</v>
      </c>
      <c r="FU23" s="263">
        <v>0</v>
      </c>
      <c r="FV23" s="263">
        <v>0</v>
      </c>
      <c r="FW23" s="263">
        <v>0</v>
      </c>
      <c r="FX23" s="263">
        <v>0</v>
      </c>
      <c r="FY23" s="263">
        <v>0</v>
      </c>
      <c r="FZ23" s="263">
        <v>0</v>
      </c>
      <c r="GA23" s="263">
        <v>0</v>
      </c>
      <c r="GB23" s="263">
        <v>0</v>
      </c>
      <c r="GC23" s="263">
        <v>0</v>
      </c>
      <c r="GD23" s="263">
        <v>0</v>
      </c>
      <c r="GE23" s="263">
        <v>0</v>
      </c>
      <c r="GF23" s="263">
        <v>0</v>
      </c>
      <c r="GG23" s="263">
        <v>0</v>
      </c>
      <c r="GH23" s="263">
        <v>0</v>
      </c>
      <c r="GI23" s="263">
        <v>0</v>
      </c>
      <c r="GJ23" s="263">
        <v>0</v>
      </c>
      <c r="GK23" s="263">
        <v>0</v>
      </c>
      <c r="GL23" s="263">
        <v>0</v>
      </c>
      <c r="GM23" s="263">
        <v>0</v>
      </c>
      <c r="GN23" s="263">
        <v>0</v>
      </c>
    </row>
    <row r="24" ht="12.75" customHeight="1">
      <c r="A24" s="284" t="s">
        <v>180</v>
      </c>
      <c r="B24" s="284" t="s">
        <v>174</v>
      </c>
      <c r="C24" s="263">
        <f>DA24+'User Input - Correlations'!C24</f>
        <v>0</v>
      </c>
      <c r="D24" s="263">
        <f>DB24+'User Input - Correlations'!D24</f>
        <v>0</v>
      </c>
      <c r="E24" s="263">
        <f>DC24+'User Input - Correlations'!E24</f>
        <v>0</v>
      </c>
      <c r="F24" s="263">
        <f>DD24+'User Input - Correlations'!F24</f>
        <v>0</v>
      </c>
      <c r="G24" s="263">
        <f>DE24+'User Input - Correlations'!G24</f>
        <v>0</v>
      </c>
      <c r="H24" s="263">
        <f>DF24+'User Input - Correlations'!H24</f>
        <v>0</v>
      </c>
      <c r="I24" s="263">
        <f>DG24+'User Input - Correlations'!I24</f>
        <v>0</v>
      </c>
      <c r="J24" s="263">
        <f>DH24+'User Input - Correlations'!J24</f>
        <v>0</v>
      </c>
      <c r="K24" s="263">
        <f>DI24+'User Input - Correlations'!K24</f>
        <v>0</v>
      </c>
      <c r="L24" s="263">
        <f>DJ24+'User Input - Correlations'!L24</f>
        <v>0</v>
      </c>
      <c r="M24" s="263">
        <f>DK24+'User Input - Correlations'!M24</f>
        <v>0</v>
      </c>
      <c r="N24" s="263">
        <f>DL24+'User Input - Correlations'!N24</f>
        <v>0</v>
      </c>
      <c r="O24" s="263">
        <f>DM24+'User Input - Correlations'!O24</f>
        <v>0</v>
      </c>
      <c r="P24" s="263">
        <v>1</v>
      </c>
      <c r="Q24" s="263">
        <f>DO24+'User Input - Correlations'!Q24</f>
        <v>0</v>
      </c>
      <c r="R24" s="263">
        <f>DP24+'User Input - Correlations'!R24</f>
        <v>0</v>
      </c>
      <c r="S24" s="263">
        <f>DQ24+'User Input - Correlations'!S24</f>
        <v>0</v>
      </c>
      <c r="T24" s="263">
        <f>DR24+'User Input - Correlations'!T24</f>
        <v>0</v>
      </c>
      <c r="U24" s="263">
        <f>DS24+'User Input - Correlations'!U24</f>
        <v>0</v>
      </c>
      <c r="V24" s="263">
        <f>DT24+'User Input - Correlations'!V24</f>
        <v>0</v>
      </c>
      <c r="W24" s="263">
        <f>DU24+'User Input - Correlations'!W24</f>
        <v>0</v>
      </c>
      <c r="X24" s="263">
        <f>DV24+'User Input - Correlations'!X24</f>
        <v>0</v>
      </c>
      <c r="Y24" s="263">
        <f>DW24+'User Input - Correlations'!Y24</f>
        <v>0</v>
      </c>
      <c r="Z24" s="263">
        <f>DX24+'User Input - Correlations'!Z24</f>
        <v>0</v>
      </c>
      <c r="AA24" s="263">
        <f>DY24+'User Input - Correlations'!AA24</f>
        <v>0</v>
      </c>
      <c r="AB24" s="263">
        <f>DZ24+'User Input - Correlations'!AB24</f>
        <v>0</v>
      </c>
      <c r="AC24" s="263">
        <f>EA24+'User Input - Correlations'!AC24</f>
        <v>0</v>
      </c>
      <c r="AD24" s="263">
        <f>EB24+'User Input - Correlations'!AD24</f>
        <v>0</v>
      </c>
      <c r="AE24" s="263">
        <f>EC24+'User Input - Correlations'!AE24</f>
        <v>0</v>
      </c>
      <c r="AF24" s="263">
        <f>ED24+'User Input - Correlations'!AF24</f>
        <v>0</v>
      </c>
      <c r="AG24" s="263">
        <f>EE24+'User Input - Correlations'!AG24</f>
        <v>0</v>
      </c>
      <c r="AH24" s="263">
        <f>EF24+'User Input - Correlations'!AH24</f>
        <v>0</v>
      </c>
      <c r="AI24" s="263">
        <f>EG24+'User Input - Correlations'!AI24</f>
        <v>0</v>
      </c>
      <c r="AJ24" s="263">
        <f>EH24+'User Input - Correlations'!AJ24</f>
        <v>0</v>
      </c>
      <c r="AK24" s="263">
        <f>EI24+'User Input - Correlations'!AK24</f>
        <v>0</v>
      </c>
      <c r="AL24" s="263">
        <f>EJ24+'User Input - Correlations'!AL24</f>
        <v>0</v>
      </c>
      <c r="AM24" s="263">
        <f>EK24+'User Input - Correlations'!AM24</f>
        <v>0</v>
      </c>
      <c r="AN24" s="263">
        <f>EL24+'User Input - Correlations'!AN24</f>
        <v>0</v>
      </c>
      <c r="AO24" s="263">
        <f>EM24+'User Input - Correlations'!AO24</f>
        <v>0</v>
      </c>
      <c r="AP24" s="263">
        <f>EN24+'User Input - Correlations'!AP24</f>
        <v>0</v>
      </c>
      <c r="AQ24" s="263">
        <f>EO24+'User Input - Correlations'!AQ24</f>
        <v>0</v>
      </c>
      <c r="AR24" s="263">
        <f>EP24+'User Input - Correlations'!AR24</f>
        <v>0</v>
      </c>
      <c r="AS24" s="263">
        <f>EQ24+'User Input - Correlations'!AS24</f>
        <v>0</v>
      </c>
      <c r="AT24" s="263">
        <f>ER24+'User Input - Correlations'!AT24</f>
        <v>0</v>
      </c>
      <c r="AU24" s="263">
        <f>ES24+'User Input - Correlations'!AU24</f>
        <v>0</v>
      </c>
      <c r="AV24" s="263">
        <f>ET24+'User Input - Correlations'!AV24</f>
        <v>0</v>
      </c>
      <c r="AW24" s="263">
        <f>EU24+'User Input - Correlations'!AW24</f>
        <v>0</v>
      </c>
      <c r="AX24" s="263">
        <f>EV24+'User Input - Correlations'!AX24</f>
        <v>0</v>
      </c>
      <c r="AY24" s="263">
        <f>EW24+'User Input - Correlations'!AY24</f>
        <v>0</v>
      </c>
      <c r="AZ24" s="263">
        <f>EX24+'User Input - Correlations'!AZ24</f>
        <v>0</v>
      </c>
      <c r="BA24" s="263">
        <f>EY24+'User Input - Correlations'!BA24</f>
        <v>0</v>
      </c>
      <c r="BB24" s="263">
        <f>EZ24+'User Input - Correlations'!BB24</f>
        <v>0</v>
      </c>
      <c r="BC24" s="263">
        <f>FA24+'User Input - Correlations'!BC24</f>
        <v>0</v>
      </c>
      <c r="BD24" s="263">
        <f>FB24+'User Input - Correlations'!BD24</f>
        <v>0</v>
      </c>
      <c r="BE24" s="263">
        <f>FC24+'User Input - Correlations'!BE24</f>
        <v>0</v>
      </c>
      <c r="BF24" s="263">
        <f>FD24+'User Input - Correlations'!BF24</f>
        <v>0</v>
      </c>
      <c r="BG24" s="263">
        <f>FE24+'User Input - Correlations'!BG24</f>
        <v>0</v>
      </c>
      <c r="BH24" s="263">
        <f>FF24+'User Input - Correlations'!BH24</f>
        <v>0</v>
      </c>
      <c r="BI24" s="263">
        <f>FG24+'User Input - Correlations'!BI24</f>
        <v>0</v>
      </c>
      <c r="BJ24" s="263">
        <f>FH24+'User Input - Correlations'!BJ24</f>
        <v>0</v>
      </c>
      <c r="BK24" s="263">
        <f>FI24+'User Input - Correlations'!BK24</f>
        <v>0</v>
      </c>
      <c r="BL24" s="263">
        <f>FJ24+'User Input - Correlations'!BL24</f>
        <v>0</v>
      </c>
      <c r="BM24" s="263">
        <f>FK24+'User Input - Correlations'!BM24</f>
        <v>0</v>
      </c>
      <c r="BN24" s="263">
        <f>FL24+'User Input - Correlations'!BN24</f>
        <v>0</v>
      </c>
      <c r="BO24" s="263">
        <f>FM24+'User Input - Correlations'!BO24</f>
        <v>0</v>
      </c>
      <c r="BP24" s="263">
        <f>FN24+'User Input - Correlations'!BP24</f>
        <v>0</v>
      </c>
      <c r="BQ24" s="263">
        <f>FO24+'User Input - Correlations'!BQ24</f>
        <v>0</v>
      </c>
      <c r="BR24" s="263">
        <f>FP24+'User Input - Correlations'!BR24</f>
        <v>0</v>
      </c>
      <c r="BS24" s="263">
        <f>FQ24+'User Input - Correlations'!BS24</f>
        <v>0</v>
      </c>
      <c r="BT24" s="263">
        <f>FR24+'User Input - Correlations'!BT24</f>
        <v>0</v>
      </c>
      <c r="BU24" s="263">
        <f>FS24+'User Input - Correlations'!BU24</f>
        <v>0</v>
      </c>
      <c r="BV24" s="263">
        <f>FT24+'User Input - Correlations'!BV24</f>
        <v>0</v>
      </c>
      <c r="BW24" s="263">
        <f>FU24+'User Input - Correlations'!BW24</f>
        <v>0</v>
      </c>
      <c r="BX24" s="263">
        <f>FV24+'User Input - Correlations'!BX24</f>
        <v>0</v>
      </c>
      <c r="BY24" s="263">
        <f>FW24+'User Input - Correlations'!BY24</f>
        <v>0</v>
      </c>
      <c r="BZ24" s="263">
        <f>FX24+'User Input - Correlations'!BZ24</f>
        <v>0</v>
      </c>
      <c r="CA24" s="263">
        <f>FY24+'User Input - Correlations'!CA24</f>
        <v>0</v>
      </c>
      <c r="CB24" s="263">
        <f>FZ24+'User Input - Correlations'!CB24</f>
        <v>0</v>
      </c>
      <c r="CC24" s="263">
        <f>GA24+'User Input - Correlations'!CC24</f>
        <v>0</v>
      </c>
      <c r="CD24" s="263">
        <f>GB24+'User Input - Correlations'!CD24</f>
        <v>0</v>
      </c>
      <c r="CE24" s="263">
        <f>GC24+'User Input - Correlations'!CE24</f>
        <v>0</v>
      </c>
      <c r="CF24" s="263">
        <f>GD24+'User Input - Correlations'!CF24</f>
        <v>0</v>
      </c>
      <c r="CG24" s="263">
        <f>GE24+'User Input - Correlations'!CG24</f>
        <v>0</v>
      </c>
      <c r="CH24" s="263">
        <f>GF24+'User Input - Correlations'!CH24</f>
        <v>0</v>
      </c>
      <c r="CI24" s="263">
        <f>GG24+'User Input - Correlations'!CI24</f>
        <v>0</v>
      </c>
      <c r="CJ24" s="263">
        <f>GH24+'User Input - Correlations'!CJ24</f>
        <v>0</v>
      </c>
      <c r="CK24" s="263">
        <f>GI24+'User Input - Correlations'!CK24</f>
        <v>0</v>
      </c>
      <c r="CL24" s="263">
        <f>GJ24+'User Input - Correlations'!CL24</f>
        <v>0</v>
      </c>
      <c r="CM24" s="263">
        <f>GK24+'User Input - Correlations'!CM24</f>
        <v>0</v>
      </c>
      <c r="CN24" s="263">
        <f>GL24+'User Input - Correlations'!CN24</f>
        <v>0</v>
      </c>
      <c r="CO24" s="263">
        <f>GM24+'User Input - Correlations'!CO24</f>
        <v>0</v>
      </c>
      <c r="CP24" s="264">
        <f>GN24+'User Input - Correlations'!CP24</f>
        <v>0</v>
      </c>
      <c r="CQ24" s="281">
        <f ca="1">MDETERM(OFFSET($C$11,0,0,ROWS($CQ$11:$CQ24),ROWS($CQ$11:$CQ24)))</f>
        <v>1</v>
      </c>
      <c r="DA24" s="263">
        <v>0</v>
      </c>
      <c r="DB24" s="263">
        <v>0</v>
      </c>
      <c r="DC24" s="263">
        <v>0</v>
      </c>
      <c r="DD24" s="263">
        <v>0</v>
      </c>
      <c r="DE24" s="263">
        <v>0</v>
      </c>
      <c r="DF24" s="263">
        <v>0</v>
      </c>
      <c r="DG24" s="263">
        <v>0</v>
      </c>
      <c r="DH24" s="263">
        <v>0</v>
      </c>
      <c r="DI24" s="263">
        <v>0</v>
      </c>
      <c r="DJ24" s="263">
        <v>0</v>
      </c>
      <c r="DK24" s="263">
        <v>0</v>
      </c>
      <c r="DL24" s="263">
        <v>0</v>
      </c>
      <c r="DM24" s="263">
        <v>0</v>
      </c>
      <c r="DN24" s="263">
        <v>1</v>
      </c>
      <c r="DO24" s="263">
        <v>0</v>
      </c>
      <c r="DP24" s="263">
        <v>0</v>
      </c>
      <c r="DQ24" s="263">
        <v>0</v>
      </c>
      <c r="DR24" s="263">
        <v>0</v>
      </c>
      <c r="DS24" s="263">
        <v>0</v>
      </c>
      <c r="DT24" s="263">
        <v>0</v>
      </c>
      <c r="DU24" s="263">
        <v>0</v>
      </c>
      <c r="DV24" s="263">
        <v>0</v>
      </c>
      <c r="DW24" s="263">
        <v>0</v>
      </c>
      <c r="DX24" s="263">
        <v>0</v>
      </c>
      <c r="DY24" s="263">
        <v>0</v>
      </c>
      <c r="DZ24" s="263">
        <v>0</v>
      </c>
      <c r="EA24" s="263">
        <v>0</v>
      </c>
      <c r="EB24" s="263">
        <v>0</v>
      </c>
      <c r="EC24" s="263">
        <v>0</v>
      </c>
      <c r="ED24" s="263">
        <v>0</v>
      </c>
      <c r="EE24" s="263">
        <v>0</v>
      </c>
      <c r="EF24" s="263">
        <v>0</v>
      </c>
      <c r="EG24" s="263">
        <v>0</v>
      </c>
      <c r="EH24" s="263">
        <v>0</v>
      </c>
      <c r="EI24" s="263">
        <v>0</v>
      </c>
      <c r="EJ24" s="263">
        <v>0</v>
      </c>
      <c r="EK24" s="263">
        <v>0</v>
      </c>
      <c r="EL24" s="263">
        <v>0</v>
      </c>
      <c r="EM24" s="263">
        <v>0</v>
      </c>
      <c r="EN24" s="263">
        <v>0</v>
      </c>
      <c r="EO24" s="263">
        <v>0</v>
      </c>
      <c r="EP24" s="263">
        <v>0</v>
      </c>
      <c r="EQ24" s="263">
        <v>0</v>
      </c>
      <c r="ER24" s="263">
        <v>0</v>
      </c>
      <c r="ES24" s="263">
        <v>0</v>
      </c>
      <c r="ET24" s="263">
        <v>0</v>
      </c>
      <c r="EU24" s="263">
        <v>0</v>
      </c>
      <c r="EV24" s="263">
        <v>0</v>
      </c>
      <c r="EW24" s="263">
        <v>0</v>
      </c>
      <c r="EX24" s="263">
        <v>0</v>
      </c>
      <c r="EY24" s="263">
        <v>0</v>
      </c>
      <c r="EZ24" s="263">
        <v>0</v>
      </c>
      <c r="FA24" s="263">
        <v>0</v>
      </c>
      <c r="FB24" s="263">
        <v>0</v>
      </c>
      <c r="FC24" s="263">
        <v>0</v>
      </c>
      <c r="FD24" s="263">
        <v>0</v>
      </c>
      <c r="FE24" s="263">
        <v>0</v>
      </c>
      <c r="FF24" s="263">
        <v>0</v>
      </c>
      <c r="FG24" s="263">
        <v>0</v>
      </c>
      <c r="FH24" s="263">
        <v>0</v>
      </c>
      <c r="FI24" s="263">
        <v>0</v>
      </c>
      <c r="FJ24" s="263">
        <v>0</v>
      </c>
      <c r="FK24" s="263">
        <v>0</v>
      </c>
      <c r="FL24" s="263">
        <v>0</v>
      </c>
      <c r="FM24" s="263">
        <v>0</v>
      </c>
      <c r="FN24" s="263">
        <v>0</v>
      </c>
      <c r="FO24" s="263">
        <v>0</v>
      </c>
      <c r="FP24" s="263">
        <v>0</v>
      </c>
      <c r="FQ24" s="263">
        <v>0</v>
      </c>
      <c r="FR24" s="263">
        <v>0</v>
      </c>
      <c r="FS24" s="263">
        <v>0</v>
      </c>
      <c r="FT24" s="263">
        <v>0</v>
      </c>
      <c r="FU24" s="263">
        <v>0</v>
      </c>
      <c r="FV24" s="263">
        <v>0</v>
      </c>
      <c r="FW24" s="263">
        <v>0</v>
      </c>
      <c r="FX24" s="263">
        <v>0</v>
      </c>
      <c r="FY24" s="263">
        <v>0</v>
      </c>
      <c r="FZ24" s="263">
        <v>0</v>
      </c>
      <c r="GA24" s="263">
        <v>0</v>
      </c>
      <c r="GB24" s="263">
        <v>0</v>
      </c>
      <c r="GC24" s="263">
        <v>0</v>
      </c>
      <c r="GD24" s="263">
        <v>0</v>
      </c>
      <c r="GE24" s="263">
        <v>0</v>
      </c>
      <c r="GF24" s="263">
        <v>0</v>
      </c>
      <c r="GG24" s="263">
        <v>0</v>
      </c>
      <c r="GH24" s="263">
        <v>0</v>
      </c>
      <c r="GI24" s="263">
        <v>0</v>
      </c>
      <c r="GJ24" s="263">
        <v>0</v>
      </c>
      <c r="GK24" s="263">
        <v>0</v>
      </c>
      <c r="GL24" s="263">
        <v>0</v>
      </c>
      <c r="GM24" s="263">
        <v>0</v>
      </c>
      <c r="GN24" s="263">
        <v>0</v>
      </c>
    </row>
    <row r="25" ht="12.75" customHeight="1">
      <c r="A25" s="284" t="s">
        <v>181</v>
      </c>
      <c r="B25" s="284" t="s">
        <v>174</v>
      </c>
      <c r="C25" s="263">
        <f>DA25+'User Input - Correlations'!C25</f>
        <v>0</v>
      </c>
      <c r="D25" s="263">
        <f>DB25+'User Input - Correlations'!D25</f>
        <v>0</v>
      </c>
      <c r="E25" s="263">
        <f>DC25+'User Input - Correlations'!E25</f>
        <v>0</v>
      </c>
      <c r="F25" s="263">
        <f>DD25+'User Input - Correlations'!F25</f>
        <v>0</v>
      </c>
      <c r="G25" s="263">
        <f>DE25+'User Input - Correlations'!G25</f>
        <v>0</v>
      </c>
      <c r="H25" s="263">
        <f>DF25+'User Input - Correlations'!H25</f>
        <v>0</v>
      </c>
      <c r="I25" s="263">
        <f>DG25+'User Input - Correlations'!I25</f>
        <v>0</v>
      </c>
      <c r="J25" s="263">
        <f>DH25+'User Input - Correlations'!J25</f>
        <v>0</v>
      </c>
      <c r="K25" s="263">
        <f>DI25+'User Input - Correlations'!K25</f>
        <v>0</v>
      </c>
      <c r="L25" s="263">
        <f>DJ25+'User Input - Correlations'!L25</f>
        <v>0</v>
      </c>
      <c r="M25" s="263">
        <f>DK25+'User Input - Correlations'!M25</f>
        <v>0</v>
      </c>
      <c r="N25" s="263">
        <f>DL25+'User Input - Correlations'!N25</f>
        <v>0</v>
      </c>
      <c r="O25" s="263">
        <f>DM25+'User Input - Correlations'!O25</f>
        <v>0</v>
      </c>
      <c r="P25" s="263">
        <f>DN25+'User Input - Correlations'!P25</f>
        <v>0</v>
      </c>
      <c r="Q25" s="263">
        <v>1</v>
      </c>
      <c r="R25" s="263">
        <f>DP25+'User Input - Correlations'!R25</f>
        <v>0</v>
      </c>
      <c r="S25" s="263">
        <f>DQ25+'User Input - Correlations'!S25</f>
        <v>0</v>
      </c>
      <c r="T25" s="263">
        <f>DR25+'User Input - Correlations'!T25</f>
        <v>0</v>
      </c>
      <c r="U25" s="263">
        <f>DS25+'User Input - Correlations'!U25</f>
        <v>0</v>
      </c>
      <c r="V25" s="263">
        <f>DT25+'User Input - Correlations'!V25</f>
        <v>0</v>
      </c>
      <c r="W25" s="263">
        <f>DU25+'User Input - Correlations'!W25</f>
        <v>0</v>
      </c>
      <c r="X25" s="263">
        <f>DV25+'User Input - Correlations'!X25</f>
        <v>0</v>
      </c>
      <c r="Y25" s="263">
        <f>DW25+'User Input - Correlations'!Y25</f>
        <v>0</v>
      </c>
      <c r="Z25" s="263">
        <f>DX25+'User Input - Correlations'!Z25</f>
        <v>0</v>
      </c>
      <c r="AA25" s="263">
        <f>DY25+'User Input - Correlations'!AA25</f>
        <v>0</v>
      </c>
      <c r="AB25" s="263">
        <f>DZ25+'User Input - Correlations'!AB25</f>
        <v>0</v>
      </c>
      <c r="AC25" s="263">
        <f>EA25+'User Input - Correlations'!AC25</f>
        <v>0</v>
      </c>
      <c r="AD25" s="263">
        <f>EB25+'User Input - Correlations'!AD25</f>
        <v>0</v>
      </c>
      <c r="AE25" s="263">
        <f>EC25+'User Input - Correlations'!AE25</f>
        <v>0</v>
      </c>
      <c r="AF25" s="263">
        <f>ED25+'User Input - Correlations'!AF25</f>
        <v>0</v>
      </c>
      <c r="AG25" s="263">
        <f>EE25+'User Input - Correlations'!AG25</f>
        <v>0</v>
      </c>
      <c r="AH25" s="263">
        <f>EF25+'User Input - Correlations'!AH25</f>
        <v>0</v>
      </c>
      <c r="AI25" s="263">
        <f>EG25+'User Input - Correlations'!AI25</f>
        <v>0</v>
      </c>
      <c r="AJ25" s="263">
        <f>EH25+'User Input - Correlations'!AJ25</f>
        <v>0</v>
      </c>
      <c r="AK25" s="263">
        <f>EI25+'User Input - Correlations'!AK25</f>
        <v>0</v>
      </c>
      <c r="AL25" s="263">
        <f>EJ25+'User Input - Correlations'!AL25</f>
        <v>0</v>
      </c>
      <c r="AM25" s="263">
        <f>EK25+'User Input - Correlations'!AM25</f>
        <v>0</v>
      </c>
      <c r="AN25" s="263">
        <f>EL25+'User Input - Correlations'!AN25</f>
        <v>0</v>
      </c>
      <c r="AO25" s="263">
        <f>EM25+'User Input - Correlations'!AO25</f>
        <v>0</v>
      </c>
      <c r="AP25" s="263">
        <f>EN25+'User Input - Correlations'!AP25</f>
        <v>0</v>
      </c>
      <c r="AQ25" s="263">
        <f>EO25+'User Input - Correlations'!AQ25</f>
        <v>0</v>
      </c>
      <c r="AR25" s="263">
        <f>EP25+'User Input - Correlations'!AR25</f>
        <v>0</v>
      </c>
      <c r="AS25" s="263">
        <f>EQ25+'User Input - Correlations'!AS25</f>
        <v>0</v>
      </c>
      <c r="AT25" s="263">
        <f>ER25+'User Input - Correlations'!AT25</f>
        <v>0</v>
      </c>
      <c r="AU25" s="263">
        <f>ES25+'User Input - Correlations'!AU25</f>
        <v>0</v>
      </c>
      <c r="AV25" s="263">
        <f>ET25+'User Input - Correlations'!AV25</f>
        <v>0</v>
      </c>
      <c r="AW25" s="263">
        <f>EU25+'User Input - Correlations'!AW25</f>
        <v>0</v>
      </c>
      <c r="AX25" s="263">
        <f>EV25+'User Input - Correlations'!AX25</f>
        <v>0</v>
      </c>
      <c r="AY25" s="263">
        <f>EW25+'User Input - Correlations'!AY25</f>
        <v>0</v>
      </c>
      <c r="AZ25" s="263">
        <f>EX25+'User Input - Correlations'!AZ25</f>
        <v>0</v>
      </c>
      <c r="BA25" s="263">
        <f>EY25+'User Input - Correlations'!BA25</f>
        <v>0</v>
      </c>
      <c r="BB25" s="263">
        <f>EZ25+'User Input - Correlations'!BB25</f>
        <v>0</v>
      </c>
      <c r="BC25" s="263">
        <f>FA25+'User Input - Correlations'!BC25</f>
        <v>0</v>
      </c>
      <c r="BD25" s="263">
        <f>FB25+'User Input - Correlations'!BD25</f>
        <v>0</v>
      </c>
      <c r="BE25" s="263">
        <f>FC25+'User Input - Correlations'!BE25</f>
        <v>0</v>
      </c>
      <c r="BF25" s="263">
        <f>FD25+'User Input - Correlations'!BF25</f>
        <v>0</v>
      </c>
      <c r="BG25" s="263">
        <f>FE25+'User Input - Correlations'!BG25</f>
        <v>0</v>
      </c>
      <c r="BH25" s="263">
        <f>FF25+'User Input - Correlations'!BH25</f>
        <v>0</v>
      </c>
      <c r="BI25" s="263">
        <f>FG25+'User Input - Correlations'!BI25</f>
        <v>0</v>
      </c>
      <c r="BJ25" s="263">
        <f>FH25+'User Input - Correlations'!BJ25</f>
        <v>0</v>
      </c>
      <c r="BK25" s="263">
        <f>FI25+'User Input - Correlations'!BK25</f>
        <v>0</v>
      </c>
      <c r="BL25" s="263">
        <f>FJ25+'User Input - Correlations'!BL25</f>
        <v>0</v>
      </c>
      <c r="BM25" s="263">
        <f>FK25+'User Input - Correlations'!BM25</f>
        <v>0</v>
      </c>
      <c r="BN25" s="263">
        <f>FL25+'User Input - Correlations'!BN25</f>
        <v>0</v>
      </c>
      <c r="BO25" s="263">
        <f>FM25+'User Input - Correlations'!BO25</f>
        <v>0</v>
      </c>
      <c r="BP25" s="263">
        <f>FN25+'User Input - Correlations'!BP25</f>
        <v>0</v>
      </c>
      <c r="BQ25" s="263">
        <f>FO25+'User Input - Correlations'!BQ25</f>
        <v>0</v>
      </c>
      <c r="BR25" s="263">
        <f>FP25+'User Input - Correlations'!BR25</f>
        <v>0</v>
      </c>
      <c r="BS25" s="263">
        <f>FQ25+'User Input - Correlations'!BS25</f>
        <v>0</v>
      </c>
      <c r="BT25" s="263">
        <f>FR25+'User Input - Correlations'!BT25</f>
        <v>0</v>
      </c>
      <c r="BU25" s="263">
        <f>FS25+'User Input - Correlations'!BU25</f>
        <v>0</v>
      </c>
      <c r="BV25" s="263">
        <f>FT25+'User Input - Correlations'!BV25</f>
        <v>0</v>
      </c>
      <c r="BW25" s="263">
        <f>FU25+'User Input - Correlations'!BW25</f>
        <v>0</v>
      </c>
      <c r="BX25" s="263">
        <f>FV25+'User Input - Correlations'!BX25</f>
        <v>0</v>
      </c>
      <c r="BY25" s="263">
        <f>FW25+'User Input - Correlations'!BY25</f>
        <v>0</v>
      </c>
      <c r="BZ25" s="263">
        <f>FX25+'User Input - Correlations'!BZ25</f>
        <v>0</v>
      </c>
      <c r="CA25" s="263">
        <f>FY25+'User Input - Correlations'!CA25</f>
        <v>0</v>
      </c>
      <c r="CB25" s="263">
        <f>FZ25+'User Input - Correlations'!CB25</f>
        <v>0</v>
      </c>
      <c r="CC25" s="263">
        <f>GA25+'User Input - Correlations'!CC25</f>
        <v>0</v>
      </c>
      <c r="CD25" s="263">
        <f>GB25+'User Input - Correlations'!CD25</f>
        <v>0</v>
      </c>
      <c r="CE25" s="263">
        <f>GC25+'User Input - Correlations'!CE25</f>
        <v>0</v>
      </c>
      <c r="CF25" s="263">
        <f>GD25+'User Input - Correlations'!CF25</f>
        <v>0</v>
      </c>
      <c r="CG25" s="263">
        <f>GE25+'User Input - Correlations'!CG25</f>
        <v>0</v>
      </c>
      <c r="CH25" s="263">
        <f>GF25+'User Input - Correlations'!CH25</f>
        <v>0</v>
      </c>
      <c r="CI25" s="263">
        <f>GG25+'User Input - Correlations'!CI25</f>
        <v>0</v>
      </c>
      <c r="CJ25" s="263">
        <f>GH25+'User Input - Correlations'!CJ25</f>
        <v>0</v>
      </c>
      <c r="CK25" s="263">
        <f>GI25+'User Input - Correlations'!CK25</f>
        <v>0</v>
      </c>
      <c r="CL25" s="263">
        <f>GJ25+'User Input - Correlations'!CL25</f>
        <v>0</v>
      </c>
      <c r="CM25" s="263">
        <f>GK25+'User Input - Correlations'!CM25</f>
        <v>0</v>
      </c>
      <c r="CN25" s="263">
        <f>GL25+'User Input - Correlations'!CN25</f>
        <v>0</v>
      </c>
      <c r="CO25" s="263">
        <f>GM25+'User Input - Correlations'!CO25</f>
        <v>0</v>
      </c>
      <c r="CP25" s="264">
        <f>GN25+'User Input - Correlations'!CP25</f>
        <v>0</v>
      </c>
      <c r="CQ25" s="281">
        <f ca="1">MDETERM(OFFSET($C$11,0,0,ROWS($CQ$11:$CQ25),ROWS($CQ$11:$CQ25)))</f>
        <v>1</v>
      </c>
      <c r="DA25" s="263">
        <v>0</v>
      </c>
      <c r="DB25" s="263">
        <v>0</v>
      </c>
      <c r="DC25" s="263">
        <v>0</v>
      </c>
      <c r="DD25" s="263">
        <v>0</v>
      </c>
      <c r="DE25" s="263">
        <v>0</v>
      </c>
      <c r="DF25" s="263">
        <v>0</v>
      </c>
      <c r="DG25" s="263">
        <v>0</v>
      </c>
      <c r="DH25" s="263">
        <v>0</v>
      </c>
      <c r="DI25" s="263">
        <v>0</v>
      </c>
      <c r="DJ25" s="263">
        <v>0</v>
      </c>
      <c r="DK25" s="263">
        <v>0</v>
      </c>
      <c r="DL25" s="263">
        <v>0</v>
      </c>
      <c r="DM25" s="263">
        <v>0</v>
      </c>
      <c r="DN25" s="263">
        <v>0</v>
      </c>
      <c r="DO25" s="263">
        <v>1</v>
      </c>
      <c r="DP25" s="263">
        <v>0</v>
      </c>
      <c r="DQ25" s="263">
        <v>0</v>
      </c>
      <c r="DR25" s="263">
        <v>0</v>
      </c>
      <c r="DS25" s="263">
        <v>0</v>
      </c>
      <c r="DT25" s="263">
        <v>0</v>
      </c>
      <c r="DU25" s="263">
        <v>0</v>
      </c>
      <c r="DV25" s="263">
        <v>0</v>
      </c>
      <c r="DW25" s="263">
        <v>0</v>
      </c>
      <c r="DX25" s="263">
        <v>0</v>
      </c>
      <c r="DY25" s="263">
        <v>0</v>
      </c>
      <c r="DZ25" s="263">
        <v>0</v>
      </c>
      <c r="EA25" s="263">
        <v>0</v>
      </c>
      <c r="EB25" s="263">
        <v>0</v>
      </c>
      <c r="EC25" s="263">
        <v>0</v>
      </c>
      <c r="ED25" s="263">
        <v>0</v>
      </c>
      <c r="EE25" s="263">
        <v>0</v>
      </c>
      <c r="EF25" s="263">
        <v>0</v>
      </c>
      <c r="EG25" s="263">
        <v>0</v>
      </c>
      <c r="EH25" s="263">
        <v>0</v>
      </c>
      <c r="EI25" s="263">
        <v>0</v>
      </c>
      <c r="EJ25" s="263">
        <v>0</v>
      </c>
      <c r="EK25" s="263">
        <v>0</v>
      </c>
      <c r="EL25" s="263">
        <v>0</v>
      </c>
      <c r="EM25" s="263">
        <v>0</v>
      </c>
      <c r="EN25" s="263">
        <v>0</v>
      </c>
      <c r="EO25" s="263">
        <v>0</v>
      </c>
      <c r="EP25" s="263">
        <v>0</v>
      </c>
      <c r="EQ25" s="263">
        <v>0</v>
      </c>
      <c r="ER25" s="263">
        <v>0</v>
      </c>
      <c r="ES25" s="263">
        <v>0</v>
      </c>
      <c r="ET25" s="263">
        <v>0</v>
      </c>
      <c r="EU25" s="263">
        <v>0</v>
      </c>
      <c r="EV25" s="263">
        <v>0</v>
      </c>
      <c r="EW25" s="263">
        <v>0</v>
      </c>
      <c r="EX25" s="263">
        <v>0</v>
      </c>
      <c r="EY25" s="263">
        <v>0</v>
      </c>
      <c r="EZ25" s="263">
        <v>0</v>
      </c>
      <c r="FA25" s="263">
        <v>0</v>
      </c>
      <c r="FB25" s="263">
        <v>0</v>
      </c>
      <c r="FC25" s="263">
        <v>0</v>
      </c>
      <c r="FD25" s="263">
        <v>0</v>
      </c>
      <c r="FE25" s="263">
        <v>0</v>
      </c>
      <c r="FF25" s="263">
        <v>0</v>
      </c>
      <c r="FG25" s="263">
        <v>0</v>
      </c>
      <c r="FH25" s="263">
        <v>0</v>
      </c>
      <c r="FI25" s="263">
        <v>0</v>
      </c>
      <c r="FJ25" s="263">
        <v>0</v>
      </c>
      <c r="FK25" s="263">
        <v>0</v>
      </c>
      <c r="FL25" s="263">
        <v>0</v>
      </c>
      <c r="FM25" s="263">
        <v>0</v>
      </c>
      <c r="FN25" s="263">
        <v>0</v>
      </c>
      <c r="FO25" s="263">
        <v>0</v>
      </c>
      <c r="FP25" s="263">
        <v>0</v>
      </c>
      <c r="FQ25" s="263">
        <v>0</v>
      </c>
      <c r="FR25" s="263">
        <v>0</v>
      </c>
      <c r="FS25" s="263">
        <v>0</v>
      </c>
      <c r="FT25" s="263">
        <v>0</v>
      </c>
      <c r="FU25" s="263">
        <v>0</v>
      </c>
      <c r="FV25" s="263">
        <v>0</v>
      </c>
      <c r="FW25" s="263">
        <v>0</v>
      </c>
      <c r="FX25" s="263">
        <v>0</v>
      </c>
      <c r="FY25" s="263">
        <v>0</v>
      </c>
      <c r="FZ25" s="263">
        <v>0</v>
      </c>
      <c r="GA25" s="263">
        <v>0</v>
      </c>
      <c r="GB25" s="263">
        <v>0</v>
      </c>
      <c r="GC25" s="263">
        <v>0</v>
      </c>
      <c r="GD25" s="263">
        <v>0</v>
      </c>
      <c r="GE25" s="263">
        <v>0</v>
      </c>
      <c r="GF25" s="263">
        <v>0</v>
      </c>
      <c r="GG25" s="263">
        <v>0</v>
      </c>
      <c r="GH25" s="263">
        <v>0</v>
      </c>
      <c r="GI25" s="263">
        <v>0</v>
      </c>
      <c r="GJ25" s="263">
        <v>0</v>
      </c>
      <c r="GK25" s="263">
        <v>0</v>
      </c>
      <c r="GL25" s="263">
        <v>0</v>
      </c>
      <c r="GM25" s="263">
        <v>0</v>
      </c>
      <c r="GN25" s="263">
        <v>0</v>
      </c>
    </row>
    <row r="26" ht="12.75" customHeight="1">
      <c r="A26" s="284" t="s">
        <v>182</v>
      </c>
      <c r="B26" s="284" t="s">
        <v>174</v>
      </c>
      <c r="C26" s="263">
        <f>DA26+'User Input - Correlations'!C26</f>
        <v>0</v>
      </c>
      <c r="D26" s="263">
        <f>DB26+'User Input - Correlations'!D26</f>
        <v>0</v>
      </c>
      <c r="E26" s="263">
        <f>DC26+'User Input - Correlations'!E26</f>
        <v>0</v>
      </c>
      <c r="F26" s="263">
        <f>DD26+'User Input - Correlations'!F26</f>
        <v>0</v>
      </c>
      <c r="G26" s="263">
        <f>DE26+'User Input - Correlations'!G26</f>
        <v>0</v>
      </c>
      <c r="H26" s="263">
        <f>DF26+'User Input - Correlations'!H26</f>
        <v>0</v>
      </c>
      <c r="I26" s="263">
        <f>DG26+'User Input - Correlations'!I26</f>
        <v>0</v>
      </c>
      <c r="J26" s="263">
        <f>DH26+'User Input - Correlations'!J26</f>
        <v>0</v>
      </c>
      <c r="K26" s="263">
        <f>DI26+'User Input - Correlations'!K26</f>
        <v>0</v>
      </c>
      <c r="L26" s="263">
        <f>DJ26+'User Input - Correlations'!L26</f>
        <v>0</v>
      </c>
      <c r="M26" s="263">
        <f>DK26+'User Input - Correlations'!M26</f>
        <v>0</v>
      </c>
      <c r="N26" s="263">
        <f>DL26+'User Input - Correlations'!N26</f>
        <v>0</v>
      </c>
      <c r="O26" s="263">
        <f>DM26+'User Input - Correlations'!O26</f>
        <v>0</v>
      </c>
      <c r="P26" s="263">
        <f>DN26+'User Input - Correlations'!P26</f>
        <v>0</v>
      </c>
      <c r="Q26" s="263">
        <f>DO26+'User Input - Correlations'!Q26</f>
        <v>0</v>
      </c>
      <c r="R26" s="263">
        <v>1</v>
      </c>
      <c r="S26" s="263">
        <f>DQ26+'User Input - Correlations'!S26</f>
        <v>0</v>
      </c>
      <c r="T26" s="263">
        <f>DR26+'User Input - Correlations'!T26</f>
        <v>0</v>
      </c>
      <c r="U26" s="263">
        <f>DS26+'User Input - Correlations'!U26</f>
        <v>0</v>
      </c>
      <c r="V26" s="263">
        <f>DT26+'User Input - Correlations'!V26</f>
        <v>0</v>
      </c>
      <c r="W26" s="263">
        <f>DU26+'User Input - Correlations'!W26</f>
        <v>0</v>
      </c>
      <c r="X26" s="263">
        <f>DV26+'User Input - Correlations'!X26</f>
        <v>0</v>
      </c>
      <c r="Y26" s="263">
        <f>DW26+'User Input - Correlations'!Y26</f>
        <v>0</v>
      </c>
      <c r="Z26" s="263">
        <f>DX26+'User Input - Correlations'!Z26</f>
        <v>0</v>
      </c>
      <c r="AA26" s="263">
        <f>DY26+'User Input - Correlations'!AA26</f>
        <v>0</v>
      </c>
      <c r="AB26" s="263">
        <f>DZ26+'User Input - Correlations'!AB26</f>
        <v>0</v>
      </c>
      <c r="AC26" s="263">
        <f>EA26+'User Input - Correlations'!AC26</f>
        <v>0</v>
      </c>
      <c r="AD26" s="263">
        <f>EB26+'User Input - Correlations'!AD26</f>
        <v>0</v>
      </c>
      <c r="AE26" s="263">
        <f>EC26+'User Input - Correlations'!AE26</f>
        <v>0</v>
      </c>
      <c r="AF26" s="263">
        <f>ED26+'User Input - Correlations'!AF26</f>
        <v>0</v>
      </c>
      <c r="AG26" s="263">
        <f>EE26+'User Input - Correlations'!AG26</f>
        <v>0</v>
      </c>
      <c r="AH26" s="263">
        <f>EF26+'User Input - Correlations'!AH26</f>
        <v>0</v>
      </c>
      <c r="AI26" s="263">
        <f>EG26+'User Input - Correlations'!AI26</f>
        <v>0</v>
      </c>
      <c r="AJ26" s="263">
        <f>EH26+'User Input - Correlations'!AJ26</f>
        <v>0</v>
      </c>
      <c r="AK26" s="263">
        <f>EI26+'User Input - Correlations'!AK26</f>
        <v>0</v>
      </c>
      <c r="AL26" s="263">
        <f>EJ26+'User Input - Correlations'!AL26</f>
        <v>0</v>
      </c>
      <c r="AM26" s="263">
        <f>EK26+'User Input - Correlations'!AM26</f>
        <v>0</v>
      </c>
      <c r="AN26" s="263">
        <f>EL26+'User Input - Correlations'!AN26</f>
        <v>0</v>
      </c>
      <c r="AO26" s="263">
        <f>EM26+'User Input - Correlations'!AO26</f>
        <v>0</v>
      </c>
      <c r="AP26" s="263">
        <f>EN26+'User Input - Correlations'!AP26</f>
        <v>0</v>
      </c>
      <c r="AQ26" s="263">
        <f>EO26+'User Input - Correlations'!AQ26</f>
        <v>0</v>
      </c>
      <c r="AR26" s="263">
        <f>EP26+'User Input - Correlations'!AR26</f>
        <v>0</v>
      </c>
      <c r="AS26" s="263">
        <f>EQ26+'User Input - Correlations'!AS26</f>
        <v>0</v>
      </c>
      <c r="AT26" s="263">
        <f>ER26+'User Input - Correlations'!AT26</f>
        <v>0</v>
      </c>
      <c r="AU26" s="263">
        <f>ES26+'User Input - Correlations'!AU26</f>
        <v>0</v>
      </c>
      <c r="AV26" s="263">
        <f>ET26+'User Input - Correlations'!AV26</f>
        <v>0</v>
      </c>
      <c r="AW26" s="263">
        <f>EU26+'User Input - Correlations'!AW26</f>
        <v>0</v>
      </c>
      <c r="AX26" s="263">
        <f>EV26+'User Input - Correlations'!AX26</f>
        <v>0</v>
      </c>
      <c r="AY26" s="263">
        <f>EW26+'User Input - Correlations'!AY26</f>
        <v>0</v>
      </c>
      <c r="AZ26" s="263">
        <f>EX26+'User Input - Correlations'!AZ26</f>
        <v>0</v>
      </c>
      <c r="BA26" s="263">
        <f>EY26+'User Input - Correlations'!BA26</f>
        <v>0</v>
      </c>
      <c r="BB26" s="263">
        <f>EZ26+'User Input - Correlations'!BB26</f>
        <v>0</v>
      </c>
      <c r="BC26" s="263">
        <f>FA26+'User Input - Correlations'!BC26</f>
        <v>0</v>
      </c>
      <c r="BD26" s="263">
        <f>FB26+'User Input - Correlations'!BD26</f>
        <v>0</v>
      </c>
      <c r="BE26" s="263">
        <f>FC26+'User Input - Correlations'!BE26</f>
        <v>0</v>
      </c>
      <c r="BF26" s="263">
        <f>FD26+'User Input - Correlations'!BF26</f>
        <v>0</v>
      </c>
      <c r="BG26" s="263">
        <f>FE26+'User Input - Correlations'!BG26</f>
        <v>0</v>
      </c>
      <c r="BH26" s="263">
        <f>FF26+'User Input - Correlations'!BH26</f>
        <v>0</v>
      </c>
      <c r="BI26" s="263">
        <f>FG26+'User Input - Correlations'!BI26</f>
        <v>0</v>
      </c>
      <c r="BJ26" s="263">
        <f>FH26+'User Input - Correlations'!BJ26</f>
        <v>0</v>
      </c>
      <c r="BK26" s="263">
        <f>FI26+'User Input - Correlations'!BK26</f>
        <v>0</v>
      </c>
      <c r="BL26" s="263">
        <f>FJ26+'User Input - Correlations'!BL26</f>
        <v>0</v>
      </c>
      <c r="BM26" s="263">
        <f>FK26+'User Input - Correlations'!BM26</f>
        <v>0</v>
      </c>
      <c r="BN26" s="263">
        <f>FL26+'User Input - Correlations'!BN26</f>
        <v>0</v>
      </c>
      <c r="BO26" s="263">
        <f>FM26+'User Input - Correlations'!BO26</f>
        <v>0</v>
      </c>
      <c r="BP26" s="263">
        <f>FN26+'User Input - Correlations'!BP26</f>
        <v>0</v>
      </c>
      <c r="BQ26" s="263">
        <f>FO26+'User Input - Correlations'!BQ26</f>
        <v>0</v>
      </c>
      <c r="BR26" s="263">
        <f>FP26+'User Input - Correlations'!BR26</f>
        <v>0</v>
      </c>
      <c r="BS26" s="263">
        <f>FQ26+'User Input - Correlations'!BS26</f>
        <v>0</v>
      </c>
      <c r="BT26" s="263">
        <f>FR26+'User Input - Correlations'!BT26</f>
        <v>0</v>
      </c>
      <c r="BU26" s="263">
        <f>FS26+'User Input - Correlations'!BU26</f>
        <v>0</v>
      </c>
      <c r="BV26" s="263">
        <f>FT26+'User Input - Correlations'!BV26</f>
        <v>0</v>
      </c>
      <c r="BW26" s="263">
        <f>FU26+'User Input - Correlations'!BW26</f>
        <v>0</v>
      </c>
      <c r="BX26" s="263">
        <f>FV26+'User Input - Correlations'!BX26</f>
        <v>0</v>
      </c>
      <c r="BY26" s="263">
        <f>FW26+'User Input - Correlations'!BY26</f>
        <v>0</v>
      </c>
      <c r="BZ26" s="263">
        <f>FX26+'User Input - Correlations'!BZ26</f>
        <v>0</v>
      </c>
      <c r="CA26" s="263">
        <f>FY26+'User Input - Correlations'!CA26</f>
        <v>0</v>
      </c>
      <c r="CB26" s="263">
        <f>FZ26+'User Input - Correlations'!CB26</f>
        <v>0</v>
      </c>
      <c r="CC26" s="263">
        <f>GA26+'User Input - Correlations'!CC26</f>
        <v>0</v>
      </c>
      <c r="CD26" s="263">
        <f>GB26+'User Input - Correlations'!CD26</f>
        <v>0</v>
      </c>
      <c r="CE26" s="263">
        <f>GC26+'User Input - Correlations'!CE26</f>
        <v>0</v>
      </c>
      <c r="CF26" s="263">
        <f>GD26+'User Input - Correlations'!CF26</f>
        <v>0</v>
      </c>
      <c r="CG26" s="263">
        <f>GE26+'User Input - Correlations'!CG26</f>
        <v>0</v>
      </c>
      <c r="CH26" s="263">
        <f>GF26+'User Input - Correlations'!CH26</f>
        <v>0</v>
      </c>
      <c r="CI26" s="263">
        <f>GG26+'User Input - Correlations'!CI26</f>
        <v>0</v>
      </c>
      <c r="CJ26" s="263">
        <f>GH26+'User Input - Correlations'!CJ26</f>
        <v>0</v>
      </c>
      <c r="CK26" s="263">
        <f>GI26+'User Input - Correlations'!CK26</f>
        <v>0</v>
      </c>
      <c r="CL26" s="263">
        <f>GJ26+'User Input - Correlations'!CL26</f>
        <v>0</v>
      </c>
      <c r="CM26" s="263">
        <f>GK26+'User Input - Correlations'!CM26</f>
        <v>0</v>
      </c>
      <c r="CN26" s="263">
        <f>GL26+'User Input - Correlations'!CN26</f>
        <v>0</v>
      </c>
      <c r="CO26" s="263">
        <f>GM26+'User Input - Correlations'!CO26</f>
        <v>0</v>
      </c>
      <c r="CP26" s="264">
        <f>GN26+'User Input - Correlations'!CP26</f>
        <v>0</v>
      </c>
      <c r="CQ26" s="281">
        <f ca="1">MDETERM(OFFSET($C$11,0,0,ROWS($CQ$11:$CQ26),ROWS($CQ$11:$CQ26)))</f>
        <v>1</v>
      </c>
      <c r="DA26" s="263">
        <v>0</v>
      </c>
      <c r="DB26" s="263">
        <v>0</v>
      </c>
      <c r="DC26" s="263">
        <v>0</v>
      </c>
      <c r="DD26" s="263">
        <v>0</v>
      </c>
      <c r="DE26" s="263">
        <v>0</v>
      </c>
      <c r="DF26" s="263">
        <v>0</v>
      </c>
      <c r="DG26" s="263">
        <v>0</v>
      </c>
      <c r="DH26" s="263">
        <v>0</v>
      </c>
      <c r="DI26" s="263">
        <v>0</v>
      </c>
      <c r="DJ26" s="263">
        <v>0</v>
      </c>
      <c r="DK26" s="263">
        <v>0</v>
      </c>
      <c r="DL26" s="263">
        <v>0</v>
      </c>
      <c r="DM26" s="263">
        <v>0</v>
      </c>
      <c r="DN26" s="263">
        <v>0</v>
      </c>
      <c r="DO26" s="263">
        <v>0</v>
      </c>
      <c r="DP26" s="263">
        <v>1</v>
      </c>
      <c r="DQ26" s="263">
        <v>0</v>
      </c>
      <c r="DR26" s="263">
        <v>0</v>
      </c>
      <c r="DS26" s="263">
        <v>0</v>
      </c>
      <c r="DT26" s="263">
        <v>0</v>
      </c>
      <c r="DU26" s="263">
        <v>0</v>
      </c>
      <c r="DV26" s="263">
        <v>0</v>
      </c>
      <c r="DW26" s="263">
        <v>0</v>
      </c>
      <c r="DX26" s="263">
        <v>0</v>
      </c>
      <c r="DY26" s="263">
        <v>0</v>
      </c>
      <c r="DZ26" s="263">
        <v>0</v>
      </c>
      <c r="EA26" s="263">
        <v>0</v>
      </c>
      <c r="EB26" s="263">
        <v>0</v>
      </c>
      <c r="EC26" s="263">
        <v>0</v>
      </c>
      <c r="ED26" s="263">
        <v>0</v>
      </c>
      <c r="EE26" s="263">
        <v>0</v>
      </c>
      <c r="EF26" s="263">
        <v>0</v>
      </c>
      <c r="EG26" s="263">
        <v>0</v>
      </c>
      <c r="EH26" s="263">
        <v>0</v>
      </c>
      <c r="EI26" s="263">
        <v>0</v>
      </c>
      <c r="EJ26" s="263">
        <v>0</v>
      </c>
      <c r="EK26" s="263">
        <v>0</v>
      </c>
      <c r="EL26" s="263">
        <v>0</v>
      </c>
      <c r="EM26" s="263">
        <v>0</v>
      </c>
      <c r="EN26" s="263">
        <v>0</v>
      </c>
      <c r="EO26" s="263">
        <v>0</v>
      </c>
      <c r="EP26" s="263">
        <v>0</v>
      </c>
      <c r="EQ26" s="263">
        <v>0</v>
      </c>
      <c r="ER26" s="263">
        <v>0</v>
      </c>
      <c r="ES26" s="263">
        <v>0</v>
      </c>
      <c r="ET26" s="263">
        <v>0</v>
      </c>
      <c r="EU26" s="263">
        <v>0</v>
      </c>
      <c r="EV26" s="263">
        <v>0</v>
      </c>
      <c r="EW26" s="263">
        <v>0</v>
      </c>
      <c r="EX26" s="263">
        <v>0</v>
      </c>
      <c r="EY26" s="263">
        <v>0</v>
      </c>
      <c r="EZ26" s="263">
        <v>0</v>
      </c>
      <c r="FA26" s="263">
        <v>0</v>
      </c>
      <c r="FB26" s="263">
        <v>0</v>
      </c>
      <c r="FC26" s="263">
        <v>0</v>
      </c>
      <c r="FD26" s="263">
        <v>0</v>
      </c>
      <c r="FE26" s="263">
        <v>0</v>
      </c>
      <c r="FF26" s="263">
        <v>0</v>
      </c>
      <c r="FG26" s="263">
        <v>0</v>
      </c>
      <c r="FH26" s="263">
        <v>0</v>
      </c>
      <c r="FI26" s="263">
        <v>0</v>
      </c>
      <c r="FJ26" s="263">
        <v>0</v>
      </c>
      <c r="FK26" s="263">
        <v>0</v>
      </c>
      <c r="FL26" s="263">
        <v>0</v>
      </c>
      <c r="FM26" s="263">
        <v>0</v>
      </c>
      <c r="FN26" s="263">
        <v>0</v>
      </c>
      <c r="FO26" s="263">
        <v>0</v>
      </c>
      <c r="FP26" s="263">
        <v>0</v>
      </c>
      <c r="FQ26" s="263">
        <v>0</v>
      </c>
      <c r="FR26" s="263">
        <v>0</v>
      </c>
      <c r="FS26" s="263">
        <v>0</v>
      </c>
      <c r="FT26" s="263">
        <v>0</v>
      </c>
      <c r="FU26" s="263">
        <v>0</v>
      </c>
      <c r="FV26" s="263">
        <v>0</v>
      </c>
      <c r="FW26" s="263">
        <v>0</v>
      </c>
      <c r="FX26" s="263">
        <v>0</v>
      </c>
      <c r="FY26" s="263">
        <v>0</v>
      </c>
      <c r="FZ26" s="263">
        <v>0</v>
      </c>
      <c r="GA26" s="263">
        <v>0</v>
      </c>
      <c r="GB26" s="263">
        <v>0</v>
      </c>
      <c r="GC26" s="263">
        <v>0</v>
      </c>
      <c r="GD26" s="263">
        <v>0</v>
      </c>
      <c r="GE26" s="263">
        <v>0</v>
      </c>
      <c r="GF26" s="263">
        <v>0</v>
      </c>
      <c r="GG26" s="263">
        <v>0</v>
      </c>
      <c r="GH26" s="263">
        <v>0</v>
      </c>
      <c r="GI26" s="263">
        <v>0</v>
      </c>
      <c r="GJ26" s="263">
        <v>0</v>
      </c>
      <c r="GK26" s="263">
        <v>0</v>
      </c>
      <c r="GL26" s="263">
        <v>0</v>
      </c>
      <c r="GM26" s="263">
        <v>0</v>
      </c>
      <c r="GN26" s="263">
        <v>0</v>
      </c>
    </row>
    <row r="27" ht="12.75" customHeight="1">
      <c r="A27" s="284" t="s">
        <v>184</v>
      </c>
      <c r="B27" s="284" t="s">
        <v>174</v>
      </c>
      <c r="C27" s="263">
        <f>DA27+'User Input - Correlations'!C27</f>
        <v>0</v>
      </c>
      <c r="D27" s="263">
        <f>DB27+'User Input - Correlations'!D27</f>
        <v>0</v>
      </c>
      <c r="E27" s="263">
        <f>DC27+'User Input - Correlations'!E27</f>
        <v>0</v>
      </c>
      <c r="F27" s="263">
        <f>DD27+'User Input - Correlations'!F27</f>
        <v>0</v>
      </c>
      <c r="G27" s="263">
        <f>DE27+'User Input - Correlations'!G27</f>
        <v>0</v>
      </c>
      <c r="H27" s="263">
        <f>DF27+'User Input - Correlations'!H27</f>
        <v>0</v>
      </c>
      <c r="I27" s="263">
        <f>DG27+'User Input - Correlations'!I27</f>
        <v>0</v>
      </c>
      <c r="J27" s="263">
        <f>DH27+'User Input - Correlations'!J27</f>
        <v>0</v>
      </c>
      <c r="K27" s="263">
        <f>DI27+'User Input - Correlations'!K27</f>
        <v>0</v>
      </c>
      <c r="L27" s="263">
        <f>DJ27+'User Input - Correlations'!L27</f>
        <v>0</v>
      </c>
      <c r="M27" s="263">
        <f>DK27+'User Input - Correlations'!M27</f>
        <v>0</v>
      </c>
      <c r="N27" s="263">
        <f>DL27+'User Input - Correlations'!N27</f>
        <v>0</v>
      </c>
      <c r="O27" s="263">
        <f>DM27+'User Input - Correlations'!O27</f>
        <v>0</v>
      </c>
      <c r="P27" s="263">
        <f>DN27+'User Input - Correlations'!P27</f>
        <v>0</v>
      </c>
      <c r="Q27" s="263">
        <f>DO27+'User Input - Correlations'!Q27</f>
        <v>0</v>
      </c>
      <c r="R27" s="263">
        <f>DP27+'User Input - Correlations'!R27</f>
        <v>0</v>
      </c>
      <c r="S27" s="263">
        <v>1</v>
      </c>
      <c r="T27" s="263">
        <f>DR27+'User Input - Correlations'!T27</f>
        <v>0</v>
      </c>
      <c r="U27" s="263">
        <f>DS27+'User Input - Correlations'!U27</f>
        <v>0</v>
      </c>
      <c r="V27" s="263">
        <f>DT27+'User Input - Correlations'!V27</f>
        <v>0</v>
      </c>
      <c r="W27" s="263">
        <f>DU27+'User Input - Correlations'!W27</f>
        <v>0</v>
      </c>
      <c r="X27" s="263">
        <f>DV27+'User Input - Correlations'!X27</f>
        <v>0</v>
      </c>
      <c r="Y27" s="263">
        <f>DW27+'User Input - Correlations'!Y27</f>
        <v>0</v>
      </c>
      <c r="Z27" s="263">
        <f>DX27+'User Input - Correlations'!Z27</f>
        <v>0</v>
      </c>
      <c r="AA27" s="263">
        <f>DY27+'User Input - Correlations'!AA27</f>
        <v>0</v>
      </c>
      <c r="AB27" s="263">
        <f>DZ27+'User Input - Correlations'!AB27</f>
        <v>0</v>
      </c>
      <c r="AC27" s="263">
        <f>EA27+'User Input - Correlations'!AC27</f>
        <v>0</v>
      </c>
      <c r="AD27" s="263">
        <f>EB27+'User Input - Correlations'!AD27</f>
        <v>0</v>
      </c>
      <c r="AE27" s="263">
        <f>EC27+'User Input - Correlations'!AE27</f>
        <v>0</v>
      </c>
      <c r="AF27" s="263">
        <f>ED27+'User Input - Correlations'!AF27</f>
        <v>0</v>
      </c>
      <c r="AG27" s="263">
        <f>EE27+'User Input - Correlations'!AG27</f>
        <v>0</v>
      </c>
      <c r="AH27" s="263">
        <f>EF27+'User Input - Correlations'!AH27</f>
        <v>0</v>
      </c>
      <c r="AI27" s="263">
        <f>EG27+'User Input - Correlations'!AI27</f>
        <v>0</v>
      </c>
      <c r="AJ27" s="263">
        <f>EH27+'User Input - Correlations'!AJ27</f>
        <v>0</v>
      </c>
      <c r="AK27" s="263">
        <f>EI27+'User Input - Correlations'!AK27</f>
        <v>0</v>
      </c>
      <c r="AL27" s="263">
        <f>EJ27+'User Input - Correlations'!AL27</f>
        <v>0</v>
      </c>
      <c r="AM27" s="263">
        <f>EK27+'User Input - Correlations'!AM27</f>
        <v>0</v>
      </c>
      <c r="AN27" s="263">
        <f>EL27+'User Input - Correlations'!AN27</f>
        <v>0</v>
      </c>
      <c r="AO27" s="263">
        <f>EM27+'User Input - Correlations'!AO27</f>
        <v>0</v>
      </c>
      <c r="AP27" s="263">
        <f>EN27+'User Input - Correlations'!AP27</f>
        <v>0</v>
      </c>
      <c r="AQ27" s="263">
        <f>EO27+'User Input - Correlations'!AQ27</f>
        <v>0</v>
      </c>
      <c r="AR27" s="263">
        <f>EP27+'User Input - Correlations'!AR27</f>
        <v>0</v>
      </c>
      <c r="AS27" s="263">
        <f>EQ27+'User Input - Correlations'!AS27</f>
        <v>0</v>
      </c>
      <c r="AT27" s="263">
        <f>ER27+'User Input - Correlations'!AT27</f>
        <v>0</v>
      </c>
      <c r="AU27" s="263">
        <f>ES27+'User Input - Correlations'!AU27</f>
        <v>0</v>
      </c>
      <c r="AV27" s="263">
        <f>ET27+'User Input - Correlations'!AV27</f>
        <v>0</v>
      </c>
      <c r="AW27" s="263">
        <f>EU27+'User Input - Correlations'!AW27</f>
        <v>0</v>
      </c>
      <c r="AX27" s="263">
        <f>EV27+'User Input - Correlations'!AX27</f>
        <v>0</v>
      </c>
      <c r="AY27" s="263">
        <f>EW27+'User Input - Correlations'!AY27</f>
        <v>0</v>
      </c>
      <c r="AZ27" s="263">
        <f>EX27+'User Input - Correlations'!AZ27</f>
        <v>0</v>
      </c>
      <c r="BA27" s="263">
        <f>EY27+'User Input - Correlations'!BA27</f>
        <v>0</v>
      </c>
      <c r="BB27" s="263">
        <f>EZ27+'User Input - Correlations'!BB27</f>
        <v>0</v>
      </c>
      <c r="BC27" s="263">
        <f>FA27+'User Input - Correlations'!BC27</f>
        <v>0</v>
      </c>
      <c r="BD27" s="263">
        <f>FB27+'User Input - Correlations'!BD27</f>
        <v>0</v>
      </c>
      <c r="BE27" s="263">
        <f>FC27+'User Input - Correlations'!BE27</f>
        <v>0</v>
      </c>
      <c r="BF27" s="263">
        <f>FD27+'User Input - Correlations'!BF27</f>
        <v>0</v>
      </c>
      <c r="BG27" s="263">
        <f>FE27+'User Input - Correlations'!BG27</f>
        <v>0</v>
      </c>
      <c r="BH27" s="263">
        <f>FF27+'User Input - Correlations'!BH27</f>
        <v>0</v>
      </c>
      <c r="BI27" s="263">
        <f>FG27+'User Input - Correlations'!BI27</f>
        <v>0</v>
      </c>
      <c r="BJ27" s="263">
        <f>FH27+'User Input - Correlations'!BJ27</f>
        <v>0</v>
      </c>
      <c r="BK27" s="263">
        <f>FI27+'User Input - Correlations'!BK27</f>
        <v>0</v>
      </c>
      <c r="BL27" s="263">
        <f>FJ27+'User Input - Correlations'!BL27</f>
        <v>0</v>
      </c>
      <c r="BM27" s="263">
        <f>FK27+'User Input - Correlations'!BM27</f>
        <v>0</v>
      </c>
      <c r="BN27" s="263">
        <f>FL27+'User Input - Correlations'!BN27</f>
        <v>0</v>
      </c>
      <c r="BO27" s="263">
        <f>FM27+'User Input - Correlations'!BO27</f>
        <v>0</v>
      </c>
      <c r="BP27" s="263">
        <f>FN27+'User Input - Correlations'!BP27</f>
        <v>0</v>
      </c>
      <c r="BQ27" s="263">
        <f>FO27+'User Input - Correlations'!BQ27</f>
        <v>0</v>
      </c>
      <c r="BR27" s="263">
        <f>FP27+'User Input - Correlations'!BR27</f>
        <v>0</v>
      </c>
      <c r="BS27" s="263">
        <f>FQ27+'User Input - Correlations'!BS27</f>
        <v>0</v>
      </c>
      <c r="BT27" s="263">
        <f>FR27+'User Input - Correlations'!BT27</f>
        <v>0</v>
      </c>
      <c r="BU27" s="263">
        <f>FS27+'User Input - Correlations'!BU27</f>
        <v>0</v>
      </c>
      <c r="BV27" s="263">
        <f>FT27+'User Input - Correlations'!BV27</f>
        <v>0</v>
      </c>
      <c r="BW27" s="263">
        <f>FU27+'User Input - Correlations'!BW27</f>
        <v>0</v>
      </c>
      <c r="BX27" s="263">
        <f>FV27+'User Input - Correlations'!BX27</f>
        <v>0</v>
      </c>
      <c r="BY27" s="263">
        <f>FW27+'User Input - Correlations'!BY27</f>
        <v>0</v>
      </c>
      <c r="BZ27" s="263">
        <f>FX27+'User Input - Correlations'!BZ27</f>
        <v>0</v>
      </c>
      <c r="CA27" s="263">
        <f>FY27+'User Input - Correlations'!CA27</f>
        <v>0</v>
      </c>
      <c r="CB27" s="263">
        <f>FZ27+'User Input - Correlations'!CB27</f>
        <v>0</v>
      </c>
      <c r="CC27" s="263">
        <f>GA27+'User Input - Correlations'!CC27</f>
        <v>0</v>
      </c>
      <c r="CD27" s="263">
        <f>GB27+'User Input - Correlations'!CD27</f>
        <v>0</v>
      </c>
      <c r="CE27" s="263">
        <f>GC27+'User Input - Correlations'!CE27</f>
        <v>0</v>
      </c>
      <c r="CF27" s="263">
        <f>GD27+'User Input - Correlations'!CF27</f>
        <v>0</v>
      </c>
      <c r="CG27" s="263">
        <f>GE27+'User Input - Correlations'!CG27</f>
        <v>0</v>
      </c>
      <c r="CH27" s="263">
        <f>GF27+'User Input - Correlations'!CH27</f>
        <v>0</v>
      </c>
      <c r="CI27" s="263">
        <f>GG27+'User Input - Correlations'!CI27</f>
        <v>0</v>
      </c>
      <c r="CJ27" s="263">
        <f>GH27+'User Input - Correlations'!CJ27</f>
        <v>0</v>
      </c>
      <c r="CK27" s="263">
        <f>GI27+'User Input - Correlations'!CK27</f>
        <v>0</v>
      </c>
      <c r="CL27" s="263">
        <f>GJ27+'User Input - Correlations'!CL27</f>
        <v>0</v>
      </c>
      <c r="CM27" s="263">
        <f>GK27+'User Input - Correlations'!CM27</f>
        <v>0</v>
      </c>
      <c r="CN27" s="263">
        <f>GL27+'User Input - Correlations'!CN27</f>
        <v>0</v>
      </c>
      <c r="CO27" s="263">
        <f>GM27+'User Input - Correlations'!CO27</f>
        <v>0</v>
      </c>
      <c r="CP27" s="264">
        <f>GN27+'User Input - Correlations'!CP27</f>
        <v>0</v>
      </c>
      <c r="CQ27" s="281">
        <f ca="1">MDETERM(OFFSET($C$11,0,0,ROWS($CQ$11:$CQ27),ROWS($CQ$11:$CQ27)))</f>
        <v>1</v>
      </c>
      <c r="DA27" s="263">
        <v>0</v>
      </c>
      <c r="DB27" s="263">
        <v>0</v>
      </c>
      <c r="DC27" s="263">
        <v>0</v>
      </c>
      <c r="DD27" s="263">
        <v>0</v>
      </c>
      <c r="DE27" s="263">
        <v>0</v>
      </c>
      <c r="DF27" s="263">
        <v>0</v>
      </c>
      <c r="DG27" s="263">
        <v>0</v>
      </c>
      <c r="DH27" s="263">
        <v>0</v>
      </c>
      <c r="DI27" s="263">
        <v>0</v>
      </c>
      <c r="DJ27" s="263">
        <v>0</v>
      </c>
      <c r="DK27" s="263">
        <v>0</v>
      </c>
      <c r="DL27" s="263">
        <v>0</v>
      </c>
      <c r="DM27" s="263">
        <v>0</v>
      </c>
      <c r="DN27" s="263">
        <v>0</v>
      </c>
      <c r="DO27" s="263">
        <v>0</v>
      </c>
      <c r="DP27" s="263">
        <v>0</v>
      </c>
      <c r="DQ27" s="263">
        <v>1</v>
      </c>
      <c r="DR27" s="263">
        <v>0</v>
      </c>
      <c r="DS27" s="263">
        <v>0</v>
      </c>
      <c r="DT27" s="263">
        <v>0</v>
      </c>
      <c r="DU27" s="263">
        <v>0</v>
      </c>
      <c r="DV27" s="263">
        <v>0</v>
      </c>
      <c r="DW27" s="263">
        <v>0</v>
      </c>
      <c r="DX27" s="263">
        <v>0</v>
      </c>
      <c r="DY27" s="263">
        <v>0</v>
      </c>
      <c r="DZ27" s="263">
        <v>0</v>
      </c>
      <c r="EA27" s="263">
        <v>0</v>
      </c>
      <c r="EB27" s="263">
        <v>0</v>
      </c>
      <c r="EC27" s="263">
        <v>0</v>
      </c>
      <c r="ED27" s="263">
        <v>0</v>
      </c>
      <c r="EE27" s="263">
        <v>0</v>
      </c>
      <c r="EF27" s="263">
        <v>0</v>
      </c>
      <c r="EG27" s="263">
        <v>0</v>
      </c>
      <c r="EH27" s="263">
        <v>0</v>
      </c>
      <c r="EI27" s="263">
        <v>0</v>
      </c>
      <c r="EJ27" s="263">
        <v>0</v>
      </c>
      <c r="EK27" s="263">
        <v>0</v>
      </c>
      <c r="EL27" s="263">
        <v>0</v>
      </c>
      <c r="EM27" s="263">
        <v>0</v>
      </c>
      <c r="EN27" s="263">
        <v>0</v>
      </c>
      <c r="EO27" s="263">
        <v>0</v>
      </c>
      <c r="EP27" s="263">
        <v>0</v>
      </c>
      <c r="EQ27" s="263">
        <v>0</v>
      </c>
      <c r="ER27" s="263">
        <v>0</v>
      </c>
      <c r="ES27" s="263">
        <v>0</v>
      </c>
      <c r="ET27" s="263">
        <v>0</v>
      </c>
      <c r="EU27" s="263">
        <v>0</v>
      </c>
      <c r="EV27" s="263">
        <v>0</v>
      </c>
      <c r="EW27" s="263">
        <v>0</v>
      </c>
      <c r="EX27" s="263">
        <v>0</v>
      </c>
      <c r="EY27" s="263">
        <v>0</v>
      </c>
      <c r="EZ27" s="263">
        <v>0</v>
      </c>
      <c r="FA27" s="263">
        <v>0</v>
      </c>
      <c r="FB27" s="263">
        <v>0</v>
      </c>
      <c r="FC27" s="263">
        <v>0</v>
      </c>
      <c r="FD27" s="263">
        <v>0</v>
      </c>
      <c r="FE27" s="263">
        <v>0</v>
      </c>
      <c r="FF27" s="263">
        <v>0</v>
      </c>
      <c r="FG27" s="263">
        <v>0</v>
      </c>
      <c r="FH27" s="263">
        <v>0</v>
      </c>
      <c r="FI27" s="263">
        <v>0</v>
      </c>
      <c r="FJ27" s="263">
        <v>0</v>
      </c>
      <c r="FK27" s="263">
        <v>0</v>
      </c>
      <c r="FL27" s="263">
        <v>0</v>
      </c>
      <c r="FM27" s="263">
        <v>0</v>
      </c>
      <c r="FN27" s="263">
        <v>0</v>
      </c>
      <c r="FO27" s="263">
        <v>0</v>
      </c>
      <c r="FP27" s="263">
        <v>0</v>
      </c>
      <c r="FQ27" s="263">
        <v>0</v>
      </c>
      <c r="FR27" s="263">
        <v>0</v>
      </c>
      <c r="FS27" s="263">
        <v>0</v>
      </c>
      <c r="FT27" s="263">
        <v>0</v>
      </c>
      <c r="FU27" s="263">
        <v>0</v>
      </c>
      <c r="FV27" s="263">
        <v>0</v>
      </c>
      <c r="FW27" s="263">
        <v>0</v>
      </c>
      <c r="FX27" s="263">
        <v>0</v>
      </c>
      <c r="FY27" s="263">
        <v>0</v>
      </c>
      <c r="FZ27" s="263">
        <v>0</v>
      </c>
      <c r="GA27" s="263">
        <v>0</v>
      </c>
      <c r="GB27" s="263">
        <v>0</v>
      </c>
      <c r="GC27" s="263">
        <v>0</v>
      </c>
      <c r="GD27" s="263">
        <v>0</v>
      </c>
      <c r="GE27" s="263">
        <v>0</v>
      </c>
      <c r="GF27" s="263">
        <v>0</v>
      </c>
      <c r="GG27" s="263">
        <v>0</v>
      </c>
      <c r="GH27" s="263">
        <v>0</v>
      </c>
      <c r="GI27" s="263">
        <v>0</v>
      </c>
      <c r="GJ27" s="263">
        <v>0</v>
      </c>
      <c r="GK27" s="263">
        <v>0</v>
      </c>
      <c r="GL27" s="263">
        <v>0</v>
      </c>
      <c r="GM27" s="263">
        <v>0</v>
      </c>
      <c r="GN27" s="263">
        <v>0</v>
      </c>
    </row>
    <row r="28" ht="12.75" customHeight="1">
      <c r="A28" s="284" t="s">
        <v>183</v>
      </c>
      <c r="B28" s="284" t="s">
        <v>174</v>
      </c>
      <c r="C28" s="263">
        <f>DA28+'User Input - Correlations'!C28</f>
        <v>0</v>
      </c>
      <c r="D28" s="263">
        <f>DB28+'User Input - Correlations'!D28</f>
        <v>0</v>
      </c>
      <c r="E28" s="263">
        <f>DC28+'User Input - Correlations'!E28</f>
        <v>0</v>
      </c>
      <c r="F28" s="263">
        <f>DD28+'User Input - Correlations'!F28</f>
        <v>0</v>
      </c>
      <c r="G28" s="263">
        <f>DE28+'User Input - Correlations'!G28</f>
        <v>0</v>
      </c>
      <c r="H28" s="263">
        <f>DF28+'User Input - Correlations'!H28</f>
        <v>0</v>
      </c>
      <c r="I28" s="263">
        <f>DG28+'User Input - Correlations'!I28</f>
        <v>0</v>
      </c>
      <c r="J28" s="263">
        <f>DH28+'User Input - Correlations'!J28</f>
        <v>0</v>
      </c>
      <c r="K28" s="263">
        <f>DI28+'User Input - Correlations'!K28</f>
        <v>0</v>
      </c>
      <c r="L28" s="263">
        <f>DJ28+'User Input - Correlations'!L28</f>
        <v>0</v>
      </c>
      <c r="M28" s="263">
        <f>DK28+'User Input - Correlations'!M28</f>
        <v>0</v>
      </c>
      <c r="N28" s="263">
        <f>DL28+'User Input - Correlations'!N28</f>
        <v>0</v>
      </c>
      <c r="O28" s="263">
        <f>DM28+'User Input - Correlations'!O28</f>
        <v>0</v>
      </c>
      <c r="P28" s="263">
        <f>DN28+'User Input - Correlations'!P28</f>
        <v>0</v>
      </c>
      <c r="Q28" s="263">
        <f>DO28+'User Input - Correlations'!Q28</f>
        <v>0</v>
      </c>
      <c r="R28" s="263">
        <f>DP28+'User Input - Correlations'!R28</f>
        <v>0</v>
      </c>
      <c r="S28" s="263">
        <f>DQ28+'User Input - Correlations'!S28</f>
        <v>0</v>
      </c>
      <c r="T28" s="263">
        <v>1</v>
      </c>
      <c r="U28" s="263">
        <f>DS28+'User Input - Correlations'!U28</f>
        <v>0</v>
      </c>
      <c r="V28" s="263">
        <f>DT28+'User Input - Correlations'!V28</f>
        <v>0</v>
      </c>
      <c r="W28" s="263">
        <f>DU28+'User Input - Correlations'!W28</f>
        <v>0</v>
      </c>
      <c r="X28" s="263">
        <f>DV28+'User Input - Correlations'!X28</f>
        <v>0</v>
      </c>
      <c r="Y28" s="263">
        <f>DW28+'User Input - Correlations'!Y28</f>
        <v>0</v>
      </c>
      <c r="Z28" s="263">
        <f>DX28+'User Input - Correlations'!Z28</f>
        <v>0</v>
      </c>
      <c r="AA28" s="263">
        <f>DY28+'User Input - Correlations'!AA28</f>
        <v>0</v>
      </c>
      <c r="AB28" s="263">
        <f>DZ28+'User Input - Correlations'!AB28</f>
        <v>0</v>
      </c>
      <c r="AC28" s="263">
        <f>EA28+'User Input - Correlations'!AC28</f>
        <v>0</v>
      </c>
      <c r="AD28" s="263">
        <f>EB28+'User Input - Correlations'!AD28</f>
        <v>0</v>
      </c>
      <c r="AE28" s="263">
        <f>EC28+'User Input - Correlations'!AE28</f>
        <v>0</v>
      </c>
      <c r="AF28" s="263">
        <f>ED28+'User Input - Correlations'!AF28</f>
        <v>0</v>
      </c>
      <c r="AG28" s="263">
        <f>EE28+'User Input - Correlations'!AG28</f>
        <v>0</v>
      </c>
      <c r="AH28" s="263">
        <f>EF28+'User Input - Correlations'!AH28</f>
        <v>0</v>
      </c>
      <c r="AI28" s="263">
        <f>EG28+'User Input - Correlations'!AI28</f>
        <v>0</v>
      </c>
      <c r="AJ28" s="263">
        <f>EH28+'User Input - Correlations'!AJ28</f>
        <v>0</v>
      </c>
      <c r="AK28" s="263">
        <f>EI28+'User Input - Correlations'!AK28</f>
        <v>0</v>
      </c>
      <c r="AL28" s="263">
        <f>EJ28+'User Input - Correlations'!AL28</f>
        <v>0</v>
      </c>
      <c r="AM28" s="263">
        <f>EK28+'User Input - Correlations'!AM28</f>
        <v>0</v>
      </c>
      <c r="AN28" s="263">
        <f>EL28+'User Input - Correlations'!AN28</f>
        <v>0</v>
      </c>
      <c r="AO28" s="263">
        <f>EM28+'User Input - Correlations'!AO28</f>
        <v>0</v>
      </c>
      <c r="AP28" s="263">
        <f>EN28+'User Input - Correlations'!AP28</f>
        <v>0</v>
      </c>
      <c r="AQ28" s="263">
        <f>EO28+'User Input - Correlations'!AQ28</f>
        <v>0</v>
      </c>
      <c r="AR28" s="263">
        <f>EP28+'User Input - Correlations'!AR28</f>
        <v>0</v>
      </c>
      <c r="AS28" s="263">
        <f>EQ28+'User Input - Correlations'!AS28</f>
        <v>0</v>
      </c>
      <c r="AT28" s="263">
        <f>ER28+'User Input - Correlations'!AT28</f>
        <v>0</v>
      </c>
      <c r="AU28" s="263">
        <f>ES28+'User Input - Correlations'!AU28</f>
        <v>0</v>
      </c>
      <c r="AV28" s="263">
        <f>ET28+'User Input - Correlations'!AV28</f>
        <v>0</v>
      </c>
      <c r="AW28" s="263">
        <f>EU28+'User Input - Correlations'!AW28</f>
        <v>0</v>
      </c>
      <c r="AX28" s="263">
        <f>EV28+'User Input - Correlations'!AX28</f>
        <v>0</v>
      </c>
      <c r="AY28" s="263">
        <f>EW28+'User Input - Correlations'!AY28</f>
        <v>0</v>
      </c>
      <c r="AZ28" s="263">
        <f>EX28+'User Input - Correlations'!AZ28</f>
        <v>0</v>
      </c>
      <c r="BA28" s="263">
        <f>EY28+'User Input - Correlations'!BA28</f>
        <v>0</v>
      </c>
      <c r="BB28" s="263">
        <f>EZ28+'User Input - Correlations'!BB28</f>
        <v>0</v>
      </c>
      <c r="BC28" s="263">
        <f>FA28+'User Input - Correlations'!BC28</f>
        <v>0</v>
      </c>
      <c r="BD28" s="263">
        <f>FB28+'User Input - Correlations'!BD28</f>
        <v>0</v>
      </c>
      <c r="BE28" s="263">
        <f>FC28+'User Input - Correlations'!BE28</f>
        <v>0</v>
      </c>
      <c r="BF28" s="263">
        <f>FD28+'User Input - Correlations'!BF28</f>
        <v>0</v>
      </c>
      <c r="BG28" s="263">
        <f>FE28+'User Input - Correlations'!BG28</f>
        <v>0</v>
      </c>
      <c r="BH28" s="263">
        <f>FF28+'User Input - Correlations'!BH28</f>
        <v>0</v>
      </c>
      <c r="BI28" s="263">
        <f>FG28+'User Input - Correlations'!BI28</f>
        <v>0</v>
      </c>
      <c r="BJ28" s="263">
        <f>FH28+'User Input - Correlations'!BJ28</f>
        <v>0</v>
      </c>
      <c r="BK28" s="263">
        <f>FI28+'User Input - Correlations'!BK28</f>
        <v>0</v>
      </c>
      <c r="BL28" s="263">
        <f>FJ28+'User Input - Correlations'!BL28</f>
        <v>0</v>
      </c>
      <c r="BM28" s="263">
        <f>FK28+'User Input - Correlations'!BM28</f>
        <v>0</v>
      </c>
      <c r="BN28" s="263">
        <f>FL28+'User Input - Correlations'!BN28</f>
        <v>0</v>
      </c>
      <c r="BO28" s="263">
        <f>FM28+'User Input - Correlations'!BO28</f>
        <v>0</v>
      </c>
      <c r="BP28" s="263">
        <f>FN28+'User Input - Correlations'!BP28</f>
        <v>0</v>
      </c>
      <c r="BQ28" s="263">
        <f>FO28+'User Input - Correlations'!BQ28</f>
        <v>0</v>
      </c>
      <c r="BR28" s="263">
        <f>FP28+'User Input - Correlations'!BR28</f>
        <v>0</v>
      </c>
      <c r="BS28" s="263">
        <f>FQ28+'User Input - Correlations'!BS28</f>
        <v>0</v>
      </c>
      <c r="BT28" s="263">
        <f>FR28+'User Input - Correlations'!BT28</f>
        <v>0</v>
      </c>
      <c r="BU28" s="263">
        <f>FS28+'User Input - Correlations'!BU28</f>
        <v>0</v>
      </c>
      <c r="BV28" s="263">
        <f>FT28+'User Input - Correlations'!BV28</f>
        <v>0</v>
      </c>
      <c r="BW28" s="263">
        <f>FU28+'User Input - Correlations'!BW28</f>
        <v>0</v>
      </c>
      <c r="BX28" s="263">
        <f>FV28+'User Input - Correlations'!BX28</f>
        <v>0</v>
      </c>
      <c r="BY28" s="263">
        <f>FW28+'User Input - Correlations'!BY28</f>
        <v>0</v>
      </c>
      <c r="BZ28" s="263">
        <f>FX28+'User Input - Correlations'!BZ28</f>
        <v>0</v>
      </c>
      <c r="CA28" s="263">
        <f>FY28+'User Input - Correlations'!CA28</f>
        <v>0</v>
      </c>
      <c r="CB28" s="263">
        <f>FZ28+'User Input - Correlations'!CB28</f>
        <v>0</v>
      </c>
      <c r="CC28" s="263">
        <f>GA28+'User Input - Correlations'!CC28</f>
        <v>0</v>
      </c>
      <c r="CD28" s="263">
        <f>GB28+'User Input - Correlations'!CD28</f>
        <v>0</v>
      </c>
      <c r="CE28" s="263">
        <f>GC28+'User Input - Correlations'!CE28</f>
        <v>0</v>
      </c>
      <c r="CF28" s="263">
        <f>GD28+'User Input - Correlations'!CF28</f>
        <v>0</v>
      </c>
      <c r="CG28" s="263">
        <f>GE28+'User Input - Correlations'!CG28</f>
        <v>0</v>
      </c>
      <c r="CH28" s="263">
        <f>GF28+'User Input - Correlations'!CH28</f>
        <v>0</v>
      </c>
      <c r="CI28" s="263">
        <f>GG28+'User Input - Correlations'!CI28</f>
        <v>0</v>
      </c>
      <c r="CJ28" s="263">
        <f>GH28+'User Input - Correlations'!CJ28</f>
        <v>0</v>
      </c>
      <c r="CK28" s="263">
        <f>GI28+'User Input - Correlations'!CK28</f>
        <v>0</v>
      </c>
      <c r="CL28" s="263">
        <f>GJ28+'User Input - Correlations'!CL28</f>
        <v>0</v>
      </c>
      <c r="CM28" s="263">
        <f>GK28+'User Input - Correlations'!CM28</f>
        <v>0</v>
      </c>
      <c r="CN28" s="263">
        <f>GL28+'User Input - Correlations'!CN28</f>
        <v>0</v>
      </c>
      <c r="CO28" s="263">
        <f>GM28+'User Input - Correlations'!CO28</f>
        <v>0</v>
      </c>
      <c r="CP28" s="264">
        <f>GN28+'User Input - Correlations'!CP28</f>
        <v>0</v>
      </c>
      <c r="CQ28" s="281">
        <f ca="1">MDETERM(OFFSET($C$11,0,0,ROWS($CQ$11:$CQ28),ROWS($CQ$11:$CQ28)))</f>
        <v>1</v>
      </c>
      <c r="DA28" s="263">
        <v>0</v>
      </c>
      <c r="DB28" s="263">
        <v>0</v>
      </c>
      <c r="DC28" s="263">
        <v>0</v>
      </c>
      <c r="DD28" s="263">
        <v>0</v>
      </c>
      <c r="DE28" s="263">
        <v>0</v>
      </c>
      <c r="DF28" s="263">
        <v>0</v>
      </c>
      <c r="DG28" s="263">
        <v>0</v>
      </c>
      <c r="DH28" s="263">
        <v>0</v>
      </c>
      <c r="DI28" s="263">
        <v>0</v>
      </c>
      <c r="DJ28" s="263">
        <v>0</v>
      </c>
      <c r="DK28" s="263">
        <v>0</v>
      </c>
      <c r="DL28" s="263">
        <v>0</v>
      </c>
      <c r="DM28" s="263">
        <v>0</v>
      </c>
      <c r="DN28" s="263">
        <v>0</v>
      </c>
      <c r="DO28" s="263">
        <v>0</v>
      </c>
      <c r="DP28" s="263">
        <v>0</v>
      </c>
      <c r="DQ28" s="263">
        <v>0</v>
      </c>
      <c r="DR28" s="263">
        <v>1</v>
      </c>
      <c r="DS28" s="263">
        <v>0</v>
      </c>
      <c r="DT28" s="263">
        <v>0</v>
      </c>
      <c r="DU28" s="263">
        <v>0</v>
      </c>
      <c r="DV28" s="263">
        <v>0</v>
      </c>
      <c r="DW28" s="263">
        <v>0</v>
      </c>
      <c r="DX28" s="263">
        <v>0</v>
      </c>
      <c r="DY28" s="263">
        <v>0</v>
      </c>
      <c r="DZ28" s="263">
        <v>0</v>
      </c>
      <c r="EA28" s="263">
        <v>0</v>
      </c>
      <c r="EB28" s="263">
        <v>0</v>
      </c>
      <c r="EC28" s="263">
        <v>0</v>
      </c>
      <c r="ED28" s="263">
        <v>0</v>
      </c>
      <c r="EE28" s="263">
        <v>0</v>
      </c>
      <c r="EF28" s="263">
        <v>0</v>
      </c>
      <c r="EG28" s="263">
        <v>0</v>
      </c>
      <c r="EH28" s="263">
        <v>0</v>
      </c>
      <c r="EI28" s="263">
        <v>0</v>
      </c>
      <c r="EJ28" s="263">
        <v>0</v>
      </c>
      <c r="EK28" s="263">
        <v>0</v>
      </c>
      <c r="EL28" s="263">
        <v>0</v>
      </c>
      <c r="EM28" s="263">
        <v>0</v>
      </c>
      <c r="EN28" s="263">
        <v>0</v>
      </c>
      <c r="EO28" s="263">
        <v>0</v>
      </c>
      <c r="EP28" s="263">
        <v>0</v>
      </c>
      <c r="EQ28" s="263">
        <v>0</v>
      </c>
      <c r="ER28" s="263">
        <v>0</v>
      </c>
      <c r="ES28" s="263">
        <v>0</v>
      </c>
      <c r="ET28" s="263">
        <v>0</v>
      </c>
      <c r="EU28" s="263">
        <v>0</v>
      </c>
      <c r="EV28" s="263">
        <v>0</v>
      </c>
      <c r="EW28" s="263">
        <v>0</v>
      </c>
      <c r="EX28" s="263">
        <v>0</v>
      </c>
      <c r="EY28" s="263">
        <v>0</v>
      </c>
      <c r="EZ28" s="263">
        <v>0</v>
      </c>
      <c r="FA28" s="263">
        <v>0</v>
      </c>
      <c r="FB28" s="263">
        <v>0</v>
      </c>
      <c r="FC28" s="263">
        <v>0</v>
      </c>
      <c r="FD28" s="263">
        <v>0</v>
      </c>
      <c r="FE28" s="263">
        <v>0</v>
      </c>
      <c r="FF28" s="263">
        <v>0</v>
      </c>
      <c r="FG28" s="263">
        <v>0</v>
      </c>
      <c r="FH28" s="263">
        <v>0</v>
      </c>
      <c r="FI28" s="263">
        <v>0</v>
      </c>
      <c r="FJ28" s="263">
        <v>0</v>
      </c>
      <c r="FK28" s="263">
        <v>0</v>
      </c>
      <c r="FL28" s="263">
        <v>0</v>
      </c>
      <c r="FM28" s="263">
        <v>0</v>
      </c>
      <c r="FN28" s="263">
        <v>0</v>
      </c>
      <c r="FO28" s="263">
        <v>0</v>
      </c>
      <c r="FP28" s="263">
        <v>0</v>
      </c>
      <c r="FQ28" s="263">
        <v>0</v>
      </c>
      <c r="FR28" s="263">
        <v>0</v>
      </c>
      <c r="FS28" s="263">
        <v>0</v>
      </c>
      <c r="FT28" s="263">
        <v>0</v>
      </c>
      <c r="FU28" s="263">
        <v>0</v>
      </c>
      <c r="FV28" s="263">
        <v>0</v>
      </c>
      <c r="FW28" s="263">
        <v>0</v>
      </c>
      <c r="FX28" s="263">
        <v>0</v>
      </c>
      <c r="FY28" s="263">
        <v>0</v>
      </c>
      <c r="FZ28" s="263">
        <v>0</v>
      </c>
      <c r="GA28" s="263">
        <v>0</v>
      </c>
      <c r="GB28" s="263">
        <v>0</v>
      </c>
      <c r="GC28" s="263">
        <v>0</v>
      </c>
      <c r="GD28" s="263">
        <v>0</v>
      </c>
      <c r="GE28" s="263">
        <v>0</v>
      </c>
      <c r="GF28" s="263">
        <v>0</v>
      </c>
      <c r="GG28" s="263">
        <v>0</v>
      </c>
      <c r="GH28" s="263">
        <v>0</v>
      </c>
      <c r="GI28" s="263">
        <v>0</v>
      </c>
      <c r="GJ28" s="263">
        <v>0</v>
      </c>
      <c r="GK28" s="263">
        <v>0</v>
      </c>
      <c r="GL28" s="263">
        <v>0</v>
      </c>
      <c r="GM28" s="263">
        <v>0</v>
      </c>
      <c r="GN28" s="263">
        <v>0</v>
      </c>
    </row>
    <row r="29" ht="12.75" customHeight="1">
      <c r="A29" s="284" t="s">
        <v>192</v>
      </c>
      <c r="B29" s="284" t="s">
        <v>174</v>
      </c>
      <c r="C29" s="263">
        <f>DA29+'User Input - Correlations'!C29</f>
        <v>0</v>
      </c>
      <c r="D29" s="263">
        <f>DB29+'User Input - Correlations'!D29</f>
        <v>0</v>
      </c>
      <c r="E29" s="263">
        <f>DC29+'User Input - Correlations'!E29</f>
        <v>0</v>
      </c>
      <c r="F29" s="263">
        <f>DD29+'User Input - Correlations'!F29</f>
        <v>0</v>
      </c>
      <c r="G29" s="263">
        <f>DE29+'User Input - Correlations'!G29</f>
        <v>0</v>
      </c>
      <c r="H29" s="263">
        <f>DF29+'User Input - Correlations'!H29</f>
        <v>0</v>
      </c>
      <c r="I29" s="263">
        <f>DG29+'User Input - Correlations'!I29</f>
        <v>0</v>
      </c>
      <c r="J29" s="263">
        <f>DH29+'User Input - Correlations'!J29</f>
        <v>0</v>
      </c>
      <c r="K29" s="263">
        <f>DI29+'User Input - Correlations'!K29</f>
        <v>0</v>
      </c>
      <c r="L29" s="263">
        <f>DJ29+'User Input - Correlations'!L29</f>
        <v>0</v>
      </c>
      <c r="M29" s="263">
        <f>DK29+'User Input - Correlations'!M29</f>
        <v>0</v>
      </c>
      <c r="N29" s="263">
        <f>DL29+'User Input - Correlations'!N29</f>
        <v>0</v>
      </c>
      <c r="O29" s="263">
        <f>DM29+'User Input - Correlations'!O29</f>
        <v>0</v>
      </c>
      <c r="P29" s="263">
        <f>DN29+'User Input - Correlations'!P29</f>
        <v>0</v>
      </c>
      <c r="Q29" s="263">
        <f>DO29+'User Input - Correlations'!Q29</f>
        <v>0</v>
      </c>
      <c r="R29" s="263">
        <f>DP29+'User Input - Correlations'!R29</f>
        <v>0</v>
      </c>
      <c r="S29" s="263">
        <f>DQ29+'User Input - Correlations'!S29</f>
        <v>0</v>
      </c>
      <c r="T29" s="263">
        <f>DR29+'User Input - Correlations'!T29</f>
        <v>0</v>
      </c>
      <c r="U29" s="263">
        <v>1</v>
      </c>
      <c r="V29" s="263">
        <f>DT29+'User Input - Correlations'!V29</f>
        <v>0</v>
      </c>
      <c r="W29" s="263">
        <f>DU29+'User Input - Correlations'!W29</f>
        <v>0</v>
      </c>
      <c r="X29" s="263">
        <f>DV29+'User Input - Correlations'!X29</f>
        <v>0</v>
      </c>
      <c r="Y29" s="263">
        <f>DW29+'User Input - Correlations'!Y29</f>
        <v>0</v>
      </c>
      <c r="Z29" s="263">
        <f>DX29+'User Input - Correlations'!Z29</f>
        <v>0</v>
      </c>
      <c r="AA29" s="263">
        <f>DY29+'User Input - Correlations'!AA29</f>
        <v>0</v>
      </c>
      <c r="AB29" s="263">
        <f>DZ29+'User Input - Correlations'!AB29</f>
        <v>0</v>
      </c>
      <c r="AC29" s="263">
        <f>EA29+'User Input - Correlations'!AC29</f>
        <v>0</v>
      </c>
      <c r="AD29" s="263">
        <f>EB29+'User Input - Correlations'!AD29</f>
        <v>0</v>
      </c>
      <c r="AE29" s="263">
        <f>EC29+'User Input - Correlations'!AE29</f>
        <v>0</v>
      </c>
      <c r="AF29" s="263">
        <f>ED29+'User Input - Correlations'!AF29</f>
        <v>0</v>
      </c>
      <c r="AG29" s="263">
        <f>EE29+'User Input - Correlations'!AG29</f>
        <v>0</v>
      </c>
      <c r="AH29" s="263">
        <f>EF29+'User Input - Correlations'!AH29</f>
        <v>0</v>
      </c>
      <c r="AI29" s="263">
        <f>EG29+'User Input - Correlations'!AI29</f>
        <v>0</v>
      </c>
      <c r="AJ29" s="263">
        <f>EH29+'User Input - Correlations'!AJ29</f>
        <v>0</v>
      </c>
      <c r="AK29" s="263">
        <f>EI29+'User Input - Correlations'!AK29</f>
        <v>0</v>
      </c>
      <c r="AL29" s="263">
        <f>EJ29+'User Input - Correlations'!AL29</f>
        <v>0</v>
      </c>
      <c r="AM29" s="263">
        <f>EK29+'User Input - Correlations'!AM29</f>
        <v>0</v>
      </c>
      <c r="AN29" s="263">
        <f>EL29+'User Input - Correlations'!AN29</f>
        <v>0</v>
      </c>
      <c r="AO29" s="263">
        <f>EM29+'User Input - Correlations'!AO29</f>
        <v>0</v>
      </c>
      <c r="AP29" s="263">
        <f>EN29+'User Input - Correlations'!AP29</f>
        <v>0</v>
      </c>
      <c r="AQ29" s="263">
        <f>EO29+'User Input - Correlations'!AQ29</f>
        <v>0</v>
      </c>
      <c r="AR29" s="263">
        <f>EP29+'User Input - Correlations'!AR29</f>
        <v>0</v>
      </c>
      <c r="AS29" s="263">
        <f>EQ29+'User Input - Correlations'!AS29</f>
        <v>0</v>
      </c>
      <c r="AT29" s="263">
        <f>ER29+'User Input - Correlations'!AT29</f>
        <v>0</v>
      </c>
      <c r="AU29" s="263">
        <f>ES29+'User Input - Correlations'!AU29</f>
        <v>0</v>
      </c>
      <c r="AV29" s="263">
        <f>ET29+'User Input - Correlations'!AV29</f>
        <v>0</v>
      </c>
      <c r="AW29" s="263">
        <f>EU29+'User Input - Correlations'!AW29</f>
        <v>0</v>
      </c>
      <c r="AX29" s="263">
        <f>EV29+'User Input - Correlations'!AX29</f>
        <v>0</v>
      </c>
      <c r="AY29" s="263">
        <f>EW29+'User Input - Correlations'!AY29</f>
        <v>0</v>
      </c>
      <c r="AZ29" s="263">
        <f>EX29+'User Input - Correlations'!AZ29</f>
        <v>0</v>
      </c>
      <c r="BA29" s="263">
        <f>EY29+'User Input - Correlations'!BA29</f>
        <v>0</v>
      </c>
      <c r="BB29" s="263">
        <f>EZ29+'User Input - Correlations'!BB29</f>
        <v>0</v>
      </c>
      <c r="BC29" s="263">
        <f>FA29+'User Input - Correlations'!BC29</f>
        <v>0</v>
      </c>
      <c r="BD29" s="263">
        <f>FB29+'User Input - Correlations'!BD29</f>
        <v>0</v>
      </c>
      <c r="BE29" s="263">
        <f>FC29+'User Input - Correlations'!BE29</f>
        <v>0</v>
      </c>
      <c r="BF29" s="263">
        <f>FD29+'User Input - Correlations'!BF29</f>
        <v>0</v>
      </c>
      <c r="BG29" s="263">
        <f>FE29+'User Input - Correlations'!BG29</f>
        <v>0</v>
      </c>
      <c r="BH29" s="263">
        <f>FF29+'User Input - Correlations'!BH29</f>
        <v>0</v>
      </c>
      <c r="BI29" s="263">
        <f>FG29+'User Input - Correlations'!BI29</f>
        <v>0</v>
      </c>
      <c r="BJ29" s="263">
        <f>FH29+'User Input - Correlations'!BJ29</f>
        <v>0</v>
      </c>
      <c r="BK29" s="263">
        <f>FI29+'User Input - Correlations'!BK29</f>
        <v>0</v>
      </c>
      <c r="BL29" s="263">
        <f>FJ29+'User Input - Correlations'!BL29</f>
        <v>0</v>
      </c>
      <c r="BM29" s="263">
        <f>FK29+'User Input - Correlations'!BM29</f>
        <v>0</v>
      </c>
      <c r="BN29" s="263">
        <f>FL29+'User Input - Correlations'!BN29</f>
        <v>0</v>
      </c>
      <c r="BO29" s="263">
        <f>FM29+'User Input - Correlations'!BO29</f>
        <v>0</v>
      </c>
      <c r="BP29" s="263">
        <f>FN29+'User Input - Correlations'!BP29</f>
        <v>0</v>
      </c>
      <c r="BQ29" s="263">
        <f>FO29+'User Input - Correlations'!BQ29</f>
        <v>0</v>
      </c>
      <c r="BR29" s="263">
        <f>FP29+'User Input - Correlations'!BR29</f>
        <v>0</v>
      </c>
      <c r="BS29" s="263">
        <f>FQ29+'User Input - Correlations'!BS29</f>
        <v>0</v>
      </c>
      <c r="BT29" s="263">
        <f>FR29+'User Input - Correlations'!BT29</f>
        <v>0</v>
      </c>
      <c r="BU29" s="263">
        <f>FS29+'User Input - Correlations'!BU29</f>
        <v>0</v>
      </c>
      <c r="BV29" s="263">
        <f>FT29+'User Input - Correlations'!BV29</f>
        <v>0</v>
      </c>
      <c r="BW29" s="263">
        <f>FU29+'User Input - Correlations'!BW29</f>
        <v>0</v>
      </c>
      <c r="BX29" s="263">
        <f>FV29+'User Input - Correlations'!BX29</f>
        <v>0</v>
      </c>
      <c r="BY29" s="263">
        <f>FW29+'User Input - Correlations'!BY29</f>
        <v>0</v>
      </c>
      <c r="BZ29" s="263">
        <f>FX29+'User Input - Correlations'!BZ29</f>
        <v>0</v>
      </c>
      <c r="CA29" s="263">
        <f>FY29+'User Input - Correlations'!CA29</f>
        <v>0</v>
      </c>
      <c r="CB29" s="263">
        <f>FZ29+'User Input - Correlations'!CB29</f>
        <v>0</v>
      </c>
      <c r="CC29" s="263">
        <f>GA29+'User Input - Correlations'!CC29</f>
        <v>0</v>
      </c>
      <c r="CD29" s="263">
        <f>GB29+'User Input - Correlations'!CD29</f>
        <v>0</v>
      </c>
      <c r="CE29" s="263">
        <f>GC29+'User Input - Correlations'!CE29</f>
        <v>0</v>
      </c>
      <c r="CF29" s="263">
        <f>GD29+'User Input - Correlations'!CF29</f>
        <v>0</v>
      </c>
      <c r="CG29" s="263">
        <f>GE29+'User Input - Correlations'!CG29</f>
        <v>0</v>
      </c>
      <c r="CH29" s="263">
        <f>GF29+'User Input - Correlations'!CH29</f>
        <v>0</v>
      </c>
      <c r="CI29" s="263">
        <f>GG29+'User Input - Correlations'!CI29</f>
        <v>0</v>
      </c>
      <c r="CJ29" s="263">
        <f>GH29+'User Input - Correlations'!CJ29</f>
        <v>0</v>
      </c>
      <c r="CK29" s="263">
        <f>GI29+'User Input - Correlations'!CK29</f>
        <v>0</v>
      </c>
      <c r="CL29" s="263">
        <f>GJ29+'User Input - Correlations'!CL29</f>
        <v>0</v>
      </c>
      <c r="CM29" s="263">
        <f>GK29+'User Input - Correlations'!CM29</f>
        <v>0</v>
      </c>
      <c r="CN29" s="263">
        <f>GL29+'User Input - Correlations'!CN29</f>
        <v>0</v>
      </c>
      <c r="CO29" s="263">
        <f>GM29+'User Input - Correlations'!CO29</f>
        <v>0</v>
      </c>
      <c r="CP29" s="264">
        <f>GN29+'User Input - Correlations'!CP29</f>
        <v>0</v>
      </c>
      <c r="CQ29" s="281">
        <f ca="1">MDETERM(OFFSET($C$11,0,0,ROWS($CQ$11:$CQ29),ROWS($CQ$11:$CQ29)))</f>
        <v>1</v>
      </c>
      <c r="DA29" s="263">
        <v>0</v>
      </c>
      <c r="DB29" s="263">
        <v>0</v>
      </c>
      <c r="DC29" s="263">
        <v>0</v>
      </c>
      <c r="DD29" s="263">
        <v>0</v>
      </c>
      <c r="DE29" s="263">
        <v>0</v>
      </c>
      <c r="DF29" s="263">
        <v>0</v>
      </c>
      <c r="DG29" s="263">
        <v>0</v>
      </c>
      <c r="DH29" s="263">
        <v>0</v>
      </c>
      <c r="DI29" s="263">
        <v>0</v>
      </c>
      <c r="DJ29" s="263">
        <v>0</v>
      </c>
      <c r="DK29" s="263">
        <v>0</v>
      </c>
      <c r="DL29" s="263">
        <v>0</v>
      </c>
      <c r="DM29" s="263">
        <v>0</v>
      </c>
      <c r="DN29" s="263">
        <v>0</v>
      </c>
      <c r="DO29" s="263">
        <v>0</v>
      </c>
      <c r="DP29" s="263">
        <v>0</v>
      </c>
      <c r="DQ29" s="263">
        <v>0</v>
      </c>
      <c r="DR29" s="263">
        <v>0</v>
      </c>
      <c r="DS29" s="263">
        <v>1</v>
      </c>
      <c r="DT29" s="263">
        <v>0</v>
      </c>
      <c r="DU29" s="263">
        <v>0</v>
      </c>
      <c r="DV29" s="263">
        <v>0</v>
      </c>
      <c r="DW29" s="263">
        <v>0</v>
      </c>
      <c r="DX29" s="263">
        <v>0</v>
      </c>
      <c r="DY29" s="263">
        <v>0</v>
      </c>
      <c r="DZ29" s="263">
        <v>0</v>
      </c>
      <c r="EA29" s="263">
        <v>0</v>
      </c>
      <c r="EB29" s="263">
        <v>0</v>
      </c>
      <c r="EC29" s="263">
        <v>0</v>
      </c>
      <c r="ED29" s="263">
        <v>0</v>
      </c>
      <c r="EE29" s="263">
        <v>0</v>
      </c>
      <c r="EF29" s="263">
        <v>0</v>
      </c>
      <c r="EG29" s="263">
        <v>0</v>
      </c>
      <c r="EH29" s="263">
        <v>0</v>
      </c>
      <c r="EI29" s="263">
        <v>0</v>
      </c>
      <c r="EJ29" s="263">
        <v>0</v>
      </c>
      <c r="EK29" s="263">
        <v>0</v>
      </c>
      <c r="EL29" s="263">
        <v>0</v>
      </c>
      <c r="EM29" s="263">
        <v>0</v>
      </c>
      <c r="EN29" s="263">
        <v>0</v>
      </c>
      <c r="EO29" s="263">
        <v>0</v>
      </c>
      <c r="EP29" s="263">
        <v>0</v>
      </c>
      <c r="EQ29" s="263">
        <v>0</v>
      </c>
      <c r="ER29" s="263">
        <v>0</v>
      </c>
      <c r="ES29" s="263">
        <v>0</v>
      </c>
      <c r="ET29" s="263">
        <v>0</v>
      </c>
      <c r="EU29" s="263">
        <v>0</v>
      </c>
      <c r="EV29" s="263">
        <v>0</v>
      </c>
      <c r="EW29" s="263">
        <v>0</v>
      </c>
      <c r="EX29" s="263">
        <v>0</v>
      </c>
      <c r="EY29" s="263">
        <v>0</v>
      </c>
      <c r="EZ29" s="263">
        <v>0</v>
      </c>
      <c r="FA29" s="263">
        <v>0</v>
      </c>
      <c r="FB29" s="263">
        <v>0</v>
      </c>
      <c r="FC29" s="263">
        <v>0</v>
      </c>
      <c r="FD29" s="263">
        <v>0</v>
      </c>
      <c r="FE29" s="263">
        <v>0</v>
      </c>
      <c r="FF29" s="263">
        <v>0</v>
      </c>
      <c r="FG29" s="263">
        <v>0</v>
      </c>
      <c r="FH29" s="263">
        <v>0</v>
      </c>
      <c r="FI29" s="263">
        <v>0</v>
      </c>
      <c r="FJ29" s="263">
        <v>0</v>
      </c>
      <c r="FK29" s="263">
        <v>0</v>
      </c>
      <c r="FL29" s="263">
        <v>0</v>
      </c>
      <c r="FM29" s="263">
        <v>0</v>
      </c>
      <c r="FN29" s="263">
        <v>0</v>
      </c>
      <c r="FO29" s="263">
        <v>0</v>
      </c>
      <c r="FP29" s="263">
        <v>0</v>
      </c>
      <c r="FQ29" s="263">
        <v>0</v>
      </c>
      <c r="FR29" s="263">
        <v>0</v>
      </c>
      <c r="FS29" s="263">
        <v>0</v>
      </c>
      <c r="FT29" s="263">
        <v>0</v>
      </c>
      <c r="FU29" s="263">
        <v>0</v>
      </c>
      <c r="FV29" s="263">
        <v>0</v>
      </c>
      <c r="FW29" s="263">
        <v>0</v>
      </c>
      <c r="FX29" s="263">
        <v>0</v>
      </c>
      <c r="FY29" s="263">
        <v>0</v>
      </c>
      <c r="FZ29" s="263">
        <v>0</v>
      </c>
      <c r="GA29" s="263">
        <v>0</v>
      </c>
      <c r="GB29" s="263">
        <v>0</v>
      </c>
      <c r="GC29" s="263">
        <v>0</v>
      </c>
      <c r="GD29" s="263">
        <v>0</v>
      </c>
      <c r="GE29" s="263">
        <v>0</v>
      </c>
      <c r="GF29" s="263">
        <v>0</v>
      </c>
      <c r="GG29" s="263">
        <v>0</v>
      </c>
      <c r="GH29" s="263">
        <v>0</v>
      </c>
      <c r="GI29" s="263">
        <v>0</v>
      </c>
      <c r="GJ29" s="263">
        <v>0</v>
      </c>
      <c r="GK29" s="263">
        <v>0</v>
      </c>
      <c r="GL29" s="263">
        <v>0</v>
      </c>
      <c r="GM29" s="263">
        <v>0</v>
      </c>
      <c r="GN29" s="263">
        <v>0</v>
      </c>
    </row>
    <row r="30" ht="12.75" customHeight="1">
      <c r="A30" s="284" t="s">
        <v>193</v>
      </c>
      <c r="B30" s="284" t="s">
        <v>174</v>
      </c>
      <c r="C30" s="263">
        <f>DA30+'User Input - Correlations'!C30</f>
        <v>0</v>
      </c>
      <c r="D30" s="263">
        <f>DB30+'User Input - Correlations'!D30</f>
        <v>0</v>
      </c>
      <c r="E30" s="263">
        <f>DC30+'User Input - Correlations'!E30</f>
        <v>0</v>
      </c>
      <c r="F30" s="263">
        <f>DD30+'User Input - Correlations'!F30</f>
        <v>0</v>
      </c>
      <c r="G30" s="263">
        <f>DE30+'User Input - Correlations'!G30</f>
        <v>0</v>
      </c>
      <c r="H30" s="263">
        <f>DF30+'User Input - Correlations'!H30</f>
        <v>0</v>
      </c>
      <c r="I30" s="263">
        <f>DG30+'User Input - Correlations'!I30</f>
        <v>0</v>
      </c>
      <c r="J30" s="263">
        <f>DH30+'User Input - Correlations'!J30</f>
        <v>0</v>
      </c>
      <c r="K30" s="263">
        <f>DI30+'User Input - Correlations'!K30</f>
        <v>0</v>
      </c>
      <c r="L30" s="263">
        <f>DJ30+'User Input - Correlations'!L30</f>
        <v>0</v>
      </c>
      <c r="M30" s="263">
        <f>DK30+'User Input - Correlations'!M30</f>
        <v>0</v>
      </c>
      <c r="N30" s="263">
        <f>DL30+'User Input - Correlations'!N30</f>
        <v>0</v>
      </c>
      <c r="O30" s="263">
        <f>DM30+'User Input - Correlations'!O30</f>
        <v>0</v>
      </c>
      <c r="P30" s="263">
        <f>DN30+'User Input - Correlations'!P30</f>
        <v>0</v>
      </c>
      <c r="Q30" s="263">
        <f>DO30+'User Input - Correlations'!Q30</f>
        <v>0</v>
      </c>
      <c r="R30" s="263">
        <f>DP30+'User Input - Correlations'!R30</f>
        <v>0</v>
      </c>
      <c r="S30" s="263">
        <f>DQ30+'User Input - Correlations'!S30</f>
        <v>0</v>
      </c>
      <c r="T30" s="263">
        <f>DR30+'User Input - Correlations'!T30</f>
        <v>0</v>
      </c>
      <c r="U30" s="263">
        <f>DS30+'User Input - Correlations'!U30</f>
        <v>0</v>
      </c>
      <c r="V30" s="263">
        <v>1</v>
      </c>
      <c r="W30" s="263">
        <f>DU30+'User Input - Correlations'!W30</f>
        <v>0</v>
      </c>
      <c r="X30" s="263">
        <f>DV30+'User Input - Correlations'!X30</f>
        <v>0</v>
      </c>
      <c r="Y30" s="263">
        <f>DW30+'User Input - Correlations'!Y30</f>
        <v>0</v>
      </c>
      <c r="Z30" s="263">
        <f>DX30+'User Input - Correlations'!Z30</f>
        <v>0</v>
      </c>
      <c r="AA30" s="263">
        <f>DY30+'User Input - Correlations'!AA30</f>
        <v>0</v>
      </c>
      <c r="AB30" s="263">
        <f>DZ30+'User Input - Correlations'!AB30</f>
        <v>0</v>
      </c>
      <c r="AC30" s="263">
        <f>EA30+'User Input - Correlations'!AC30</f>
        <v>0</v>
      </c>
      <c r="AD30" s="263">
        <f>EB30+'User Input - Correlations'!AD30</f>
        <v>0</v>
      </c>
      <c r="AE30" s="263">
        <f>EC30+'User Input - Correlations'!AE30</f>
        <v>0</v>
      </c>
      <c r="AF30" s="263">
        <f>ED30+'User Input - Correlations'!AF30</f>
        <v>0</v>
      </c>
      <c r="AG30" s="263">
        <f>EE30+'User Input - Correlations'!AG30</f>
        <v>0</v>
      </c>
      <c r="AH30" s="263">
        <f>EF30+'User Input - Correlations'!AH30</f>
        <v>0</v>
      </c>
      <c r="AI30" s="263">
        <f>EG30+'User Input - Correlations'!AI30</f>
        <v>0</v>
      </c>
      <c r="AJ30" s="263">
        <f>EH30+'User Input - Correlations'!AJ30</f>
        <v>0</v>
      </c>
      <c r="AK30" s="263">
        <f>EI30+'User Input - Correlations'!AK30</f>
        <v>0</v>
      </c>
      <c r="AL30" s="263">
        <f>EJ30+'User Input - Correlations'!AL30</f>
        <v>0</v>
      </c>
      <c r="AM30" s="263">
        <f>EK30+'User Input - Correlations'!AM30</f>
        <v>0</v>
      </c>
      <c r="AN30" s="263">
        <f>EL30+'User Input - Correlations'!AN30</f>
        <v>0</v>
      </c>
      <c r="AO30" s="263">
        <f>EM30+'User Input - Correlations'!AO30</f>
        <v>0</v>
      </c>
      <c r="AP30" s="263">
        <f>EN30+'User Input - Correlations'!AP30</f>
        <v>0</v>
      </c>
      <c r="AQ30" s="263">
        <f>EO30+'User Input - Correlations'!AQ30</f>
        <v>0</v>
      </c>
      <c r="AR30" s="263">
        <f>EP30+'User Input - Correlations'!AR30</f>
        <v>0</v>
      </c>
      <c r="AS30" s="263">
        <f>EQ30+'User Input - Correlations'!AS30</f>
        <v>0</v>
      </c>
      <c r="AT30" s="263">
        <f>ER30+'User Input - Correlations'!AT30</f>
        <v>0</v>
      </c>
      <c r="AU30" s="263">
        <f>ES30+'User Input - Correlations'!AU30</f>
        <v>0</v>
      </c>
      <c r="AV30" s="263">
        <f>ET30+'User Input - Correlations'!AV30</f>
        <v>0</v>
      </c>
      <c r="AW30" s="263">
        <f>EU30+'User Input - Correlations'!AW30</f>
        <v>0</v>
      </c>
      <c r="AX30" s="263">
        <f>EV30+'User Input - Correlations'!AX30</f>
        <v>0</v>
      </c>
      <c r="AY30" s="263">
        <f>EW30+'User Input - Correlations'!AY30</f>
        <v>0</v>
      </c>
      <c r="AZ30" s="263">
        <f>EX30+'User Input - Correlations'!AZ30</f>
        <v>0</v>
      </c>
      <c r="BA30" s="263">
        <f>EY30+'User Input - Correlations'!BA30</f>
        <v>0</v>
      </c>
      <c r="BB30" s="263">
        <f>EZ30+'User Input - Correlations'!BB30</f>
        <v>0</v>
      </c>
      <c r="BC30" s="263">
        <f>FA30+'User Input - Correlations'!BC30</f>
        <v>0</v>
      </c>
      <c r="BD30" s="263">
        <f>FB30+'User Input - Correlations'!BD30</f>
        <v>0</v>
      </c>
      <c r="BE30" s="263">
        <f>FC30+'User Input - Correlations'!BE30</f>
        <v>0</v>
      </c>
      <c r="BF30" s="263">
        <f>FD30+'User Input - Correlations'!BF30</f>
        <v>0</v>
      </c>
      <c r="BG30" s="263">
        <f>FE30+'User Input - Correlations'!BG30</f>
        <v>0</v>
      </c>
      <c r="BH30" s="263">
        <f>FF30+'User Input - Correlations'!BH30</f>
        <v>0</v>
      </c>
      <c r="BI30" s="263">
        <f>FG30+'User Input - Correlations'!BI30</f>
        <v>0</v>
      </c>
      <c r="BJ30" s="263">
        <f>FH30+'User Input - Correlations'!BJ30</f>
        <v>0</v>
      </c>
      <c r="BK30" s="263">
        <f>FI30+'User Input - Correlations'!BK30</f>
        <v>0</v>
      </c>
      <c r="BL30" s="263">
        <f>FJ30+'User Input - Correlations'!BL30</f>
        <v>0</v>
      </c>
      <c r="BM30" s="263">
        <f>FK30+'User Input - Correlations'!BM30</f>
        <v>0</v>
      </c>
      <c r="BN30" s="263">
        <f>FL30+'User Input - Correlations'!BN30</f>
        <v>0</v>
      </c>
      <c r="BO30" s="263">
        <f>FM30+'User Input - Correlations'!BO30</f>
        <v>0</v>
      </c>
      <c r="BP30" s="263">
        <f>FN30+'User Input - Correlations'!BP30</f>
        <v>0</v>
      </c>
      <c r="BQ30" s="263">
        <f>FO30+'User Input - Correlations'!BQ30</f>
        <v>0</v>
      </c>
      <c r="BR30" s="263">
        <f>FP30+'User Input - Correlations'!BR30</f>
        <v>0</v>
      </c>
      <c r="BS30" s="263">
        <f>FQ30+'User Input - Correlations'!BS30</f>
        <v>0</v>
      </c>
      <c r="BT30" s="263">
        <f>FR30+'User Input - Correlations'!BT30</f>
        <v>0</v>
      </c>
      <c r="BU30" s="263">
        <f>FS30+'User Input - Correlations'!BU30</f>
        <v>0</v>
      </c>
      <c r="BV30" s="263">
        <f>FT30+'User Input - Correlations'!BV30</f>
        <v>0</v>
      </c>
      <c r="BW30" s="263">
        <f>FU30+'User Input - Correlations'!BW30</f>
        <v>0</v>
      </c>
      <c r="BX30" s="263">
        <f>FV30+'User Input - Correlations'!BX30</f>
        <v>0</v>
      </c>
      <c r="BY30" s="263">
        <f>FW30+'User Input - Correlations'!BY30</f>
        <v>0</v>
      </c>
      <c r="BZ30" s="263">
        <f>FX30+'User Input - Correlations'!BZ30</f>
        <v>0</v>
      </c>
      <c r="CA30" s="263">
        <f>FY30+'User Input - Correlations'!CA30</f>
        <v>0</v>
      </c>
      <c r="CB30" s="263">
        <f>FZ30+'User Input - Correlations'!CB30</f>
        <v>0</v>
      </c>
      <c r="CC30" s="263">
        <f>GA30+'User Input - Correlations'!CC30</f>
        <v>0</v>
      </c>
      <c r="CD30" s="263">
        <f>GB30+'User Input - Correlations'!CD30</f>
        <v>0</v>
      </c>
      <c r="CE30" s="263">
        <f>GC30+'User Input - Correlations'!CE30</f>
        <v>0</v>
      </c>
      <c r="CF30" s="263">
        <f>GD30+'User Input - Correlations'!CF30</f>
        <v>0</v>
      </c>
      <c r="CG30" s="263">
        <f>GE30+'User Input - Correlations'!CG30</f>
        <v>0</v>
      </c>
      <c r="CH30" s="263">
        <f>GF30+'User Input - Correlations'!CH30</f>
        <v>0</v>
      </c>
      <c r="CI30" s="263">
        <f>GG30+'User Input - Correlations'!CI30</f>
        <v>0</v>
      </c>
      <c r="CJ30" s="263">
        <f>GH30+'User Input - Correlations'!CJ30</f>
        <v>0</v>
      </c>
      <c r="CK30" s="263">
        <f>GI30+'User Input - Correlations'!CK30</f>
        <v>0</v>
      </c>
      <c r="CL30" s="263">
        <f>GJ30+'User Input - Correlations'!CL30</f>
        <v>0</v>
      </c>
      <c r="CM30" s="263">
        <f>GK30+'User Input - Correlations'!CM30</f>
        <v>0</v>
      </c>
      <c r="CN30" s="263">
        <f>GL30+'User Input - Correlations'!CN30</f>
        <v>0</v>
      </c>
      <c r="CO30" s="263">
        <f>GM30+'User Input - Correlations'!CO30</f>
        <v>0</v>
      </c>
      <c r="CP30" s="264">
        <f>GN30+'User Input - Correlations'!CP30</f>
        <v>0</v>
      </c>
      <c r="CQ30" s="281">
        <f ca="1">MDETERM(OFFSET($C$11,0,0,ROWS($CQ$11:$CQ30),ROWS($CQ$11:$CQ30)))</f>
        <v>1</v>
      </c>
      <c r="DA30" s="263">
        <v>0</v>
      </c>
      <c r="DB30" s="263">
        <v>0</v>
      </c>
      <c r="DC30" s="263">
        <v>0</v>
      </c>
      <c r="DD30" s="263">
        <v>0</v>
      </c>
      <c r="DE30" s="263">
        <v>0</v>
      </c>
      <c r="DF30" s="263">
        <v>0</v>
      </c>
      <c r="DG30" s="263">
        <v>0</v>
      </c>
      <c r="DH30" s="263">
        <v>0</v>
      </c>
      <c r="DI30" s="263">
        <v>0</v>
      </c>
      <c r="DJ30" s="263">
        <v>0</v>
      </c>
      <c r="DK30" s="263">
        <v>0</v>
      </c>
      <c r="DL30" s="263">
        <v>0</v>
      </c>
      <c r="DM30" s="263">
        <v>0</v>
      </c>
      <c r="DN30" s="263">
        <v>0</v>
      </c>
      <c r="DO30" s="263">
        <v>0</v>
      </c>
      <c r="DP30" s="263">
        <v>0</v>
      </c>
      <c r="DQ30" s="263">
        <v>0</v>
      </c>
      <c r="DR30" s="263">
        <v>0</v>
      </c>
      <c r="DS30" s="263">
        <v>0</v>
      </c>
      <c r="DT30" s="263">
        <v>1</v>
      </c>
      <c r="DU30" s="263">
        <v>0</v>
      </c>
      <c r="DV30" s="263">
        <v>0</v>
      </c>
      <c r="DW30" s="263">
        <v>0</v>
      </c>
      <c r="DX30" s="263">
        <v>0</v>
      </c>
      <c r="DY30" s="263">
        <v>0</v>
      </c>
      <c r="DZ30" s="263">
        <v>0</v>
      </c>
      <c r="EA30" s="263">
        <v>0</v>
      </c>
      <c r="EB30" s="263">
        <v>0</v>
      </c>
      <c r="EC30" s="263">
        <v>0</v>
      </c>
      <c r="ED30" s="263">
        <v>0</v>
      </c>
      <c r="EE30" s="263">
        <v>0</v>
      </c>
      <c r="EF30" s="263">
        <v>0</v>
      </c>
      <c r="EG30" s="263">
        <v>0</v>
      </c>
      <c r="EH30" s="263">
        <v>0</v>
      </c>
      <c r="EI30" s="263">
        <v>0</v>
      </c>
      <c r="EJ30" s="263">
        <v>0</v>
      </c>
      <c r="EK30" s="263">
        <v>0</v>
      </c>
      <c r="EL30" s="263">
        <v>0</v>
      </c>
      <c r="EM30" s="263">
        <v>0</v>
      </c>
      <c r="EN30" s="263">
        <v>0</v>
      </c>
      <c r="EO30" s="263">
        <v>0</v>
      </c>
      <c r="EP30" s="263">
        <v>0</v>
      </c>
      <c r="EQ30" s="263">
        <v>0</v>
      </c>
      <c r="ER30" s="263">
        <v>0</v>
      </c>
      <c r="ES30" s="263">
        <v>0</v>
      </c>
      <c r="ET30" s="263">
        <v>0</v>
      </c>
      <c r="EU30" s="263">
        <v>0</v>
      </c>
      <c r="EV30" s="263">
        <v>0</v>
      </c>
      <c r="EW30" s="263">
        <v>0</v>
      </c>
      <c r="EX30" s="263">
        <v>0</v>
      </c>
      <c r="EY30" s="263">
        <v>0</v>
      </c>
      <c r="EZ30" s="263">
        <v>0</v>
      </c>
      <c r="FA30" s="263">
        <v>0</v>
      </c>
      <c r="FB30" s="263">
        <v>0</v>
      </c>
      <c r="FC30" s="263">
        <v>0</v>
      </c>
      <c r="FD30" s="263">
        <v>0</v>
      </c>
      <c r="FE30" s="263">
        <v>0</v>
      </c>
      <c r="FF30" s="263">
        <v>0</v>
      </c>
      <c r="FG30" s="263">
        <v>0</v>
      </c>
      <c r="FH30" s="263">
        <v>0</v>
      </c>
      <c r="FI30" s="263">
        <v>0</v>
      </c>
      <c r="FJ30" s="263">
        <v>0</v>
      </c>
      <c r="FK30" s="263">
        <v>0</v>
      </c>
      <c r="FL30" s="263">
        <v>0</v>
      </c>
      <c r="FM30" s="263">
        <v>0</v>
      </c>
      <c r="FN30" s="263">
        <v>0</v>
      </c>
      <c r="FO30" s="263">
        <v>0</v>
      </c>
      <c r="FP30" s="263">
        <v>0</v>
      </c>
      <c r="FQ30" s="263">
        <v>0</v>
      </c>
      <c r="FR30" s="263">
        <v>0</v>
      </c>
      <c r="FS30" s="263">
        <v>0</v>
      </c>
      <c r="FT30" s="263">
        <v>0</v>
      </c>
      <c r="FU30" s="263">
        <v>0</v>
      </c>
      <c r="FV30" s="263">
        <v>0</v>
      </c>
      <c r="FW30" s="263">
        <v>0</v>
      </c>
      <c r="FX30" s="263">
        <v>0</v>
      </c>
      <c r="FY30" s="263">
        <v>0</v>
      </c>
      <c r="FZ30" s="263">
        <v>0</v>
      </c>
      <c r="GA30" s="263">
        <v>0</v>
      </c>
      <c r="GB30" s="263">
        <v>0</v>
      </c>
      <c r="GC30" s="263">
        <v>0</v>
      </c>
      <c r="GD30" s="263">
        <v>0</v>
      </c>
      <c r="GE30" s="263">
        <v>0</v>
      </c>
      <c r="GF30" s="263">
        <v>0</v>
      </c>
      <c r="GG30" s="263">
        <v>0</v>
      </c>
      <c r="GH30" s="263">
        <v>0</v>
      </c>
      <c r="GI30" s="263">
        <v>0</v>
      </c>
      <c r="GJ30" s="263">
        <v>0</v>
      </c>
      <c r="GK30" s="263">
        <v>0</v>
      </c>
      <c r="GL30" s="263">
        <v>0</v>
      </c>
      <c r="GM30" s="263">
        <v>0</v>
      </c>
      <c r="GN30" s="263">
        <v>0</v>
      </c>
    </row>
    <row r="31" ht="12.75" customHeight="1">
      <c r="A31" s="284" t="s">
        <v>194</v>
      </c>
      <c r="B31" s="284" t="s">
        <v>174</v>
      </c>
      <c r="C31" s="263">
        <f>DA31+'User Input - Correlations'!C31</f>
        <v>0</v>
      </c>
      <c r="D31" s="263">
        <f>DB31+'User Input - Correlations'!D31</f>
        <v>0</v>
      </c>
      <c r="E31" s="263">
        <f>DC31+'User Input - Correlations'!E31</f>
        <v>0</v>
      </c>
      <c r="F31" s="263">
        <f>DD31+'User Input - Correlations'!F31</f>
        <v>0</v>
      </c>
      <c r="G31" s="263">
        <f>DE31+'User Input - Correlations'!G31</f>
        <v>0</v>
      </c>
      <c r="H31" s="263">
        <f>DF31+'User Input - Correlations'!H31</f>
        <v>0</v>
      </c>
      <c r="I31" s="263">
        <f>DG31+'User Input - Correlations'!I31</f>
        <v>0</v>
      </c>
      <c r="J31" s="263">
        <f>DH31+'User Input - Correlations'!J31</f>
        <v>0</v>
      </c>
      <c r="K31" s="263">
        <f>DI31+'User Input - Correlations'!K31</f>
        <v>0</v>
      </c>
      <c r="L31" s="263">
        <f>DJ31+'User Input - Correlations'!L31</f>
        <v>0</v>
      </c>
      <c r="M31" s="263">
        <f>DK31+'User Input - Correlations'!M31</f>
        <v>0</v>
      </c>
      <c r="N31" s="263">
        <f>DL31+'User Input - Correlations'!N31</f>
        <v>0</v>
      </c>
      <c r="O31" s="263">
        <f>DM31+'User Input - Correlations'!O31</f>
        <v>0</v>
      </c>
      <c r="P31" s="263">
        <f>DN31+'User Input - Correlations'!P31</f>
        <v>0</v>
      </c>
      <c r="Q31" s="263">
        <f>DO31+'User Input - Correlations'!Q31</f>
        <v>0</v>
      </c>
      <c r="R31" s="263">
        <f>DP31+'User Input - Correlations'!R31</f>
        <v>0</v>
      </c>
      <c r="S31" s="263">
        <f>DQ31+'User Input - Correlations'!S31</f>
        <v>0</v>
      </c>
      <c r="T31" s="263">
        <f>DR31+'User Input - Correlations'!T31</f>
        <v>0</v>
      </c>
      <c r="U31" s="263">
        <f>DS31+'User Input - Correlations'!U31</f>
        <v>0</v>
      </c>
      <c r="V31" s="263">
        <f>DT31+'User Input - Correlations'!V31</f>
        <v>0</v>
      </c>
      <c r="W31" s="263">
        <v>1</v>
      </c>
      <c r="X31" s="263">
        <f>DV31+'User Input - Correlations'!X31</f>
        <v>0</v>
      </c>
      <c r="Y31" s="263">
        <f>DW31+'User Input - Correlations'!Y31</f>
        <v>0</v>
      </c>
      <c r="Z31" s="263">
        <f>DX31+'User Input - Correlations'!Z31</f>
        <v>0</v>
      </c>
      <c r="AA31" s="263">
        <f>DY31+'User Input - Correlations'!AA31</f>
        <v>0</v>
      </c>
      <c r="AB31" s="263">
        <f>DZ31+'User Input - Correlations'!AB31</f>
        <v>0</v>
      </c>
      <c r="AC31" s="263">
        <f>EA31+'User Input - Correlations'!AC31</f>
        <v>0</v>
      </c>
      <c r="AD31" s="263">
        <f>EB31+'User Input - Correlations'!AD31</f>
        <v>0</v>
      </c>
      <c r="AE31" s="263">
        <f>EC31+'User Input - Correlations'!AE31</f>
        <v>0</v>
      </c>
      <c r="AF31" s="263">
        <f>ED31+'User Input - Correlations'!AF31</f>
        <v>0</v>
      </c>
      <c r="AG31" s="263">
        <f>EE31+'User Input - Correlations'!AG31</f>
        <v>0</v>
      </c>
      <c r="AH31" s="263">
        <f>EF31+'User Input - Correlations'!AH31</f>
        <v>0</v>
      </c>
      <c r="AI31" s="263">
        <f>EG31+'User Input - Correlations'!AI31</f>
        <v>0</v>
      </c>
      <c r="AJ31" s="263">
        <f>EH31+'User Input - Correlations'!AJ31</f>
        <v>0</v>
      </c>
      <c r="AK31" s="263">
        <f>EI31+'User Input - Correlations'!AK31</f>
        <v>0</v>
      </c>
      <c r="AL31" s="263">
        <f>EJ31+'User Input - Correlations'!AL31</f>
        <v>0</v>
      </c>
      <c r="AM31" s="263">
        <f>EK31+'User Input - Correlations'!AM31</f>
        <v>0</v>
      </c>
      <c r="AN31" s="263">
        <f>EL31+'User Input - Correlations'!AN31</f>
        <v>0</v>
      </c>
      <c r="AO31" s="263">
        <f>EM31+'User Input - Correlations'!AO31</f>
        <v>0</v>
      </c>
      <c r="AP31" s="263">
        <f>EN31+'User Input - Correlations'!AP31</f>
        <v>0</v>
      </c>
      <c r="AQ31" s="263">
        <f>EO31+'User Input - Correlations'!AQ31</f>
        <v>0</v>
      </c>
      <c r="AR31" s="263">
        <f>EP31+'User Input - Correlations'!AR31</f>
        <v>0</v>
      </c>
      <c r="AS31" s="263">
        <f>EQ31+'User Input - Correlations'!AS31</f>
        <v>0</v>
      </c>
      <c r="AT31" s="263">
        <f>ER31+'User Input - Correlations'!AT31</f>
        <v>0</v>
      </c>
      <c r="AU31" s="263">
        <f>ES31+'User Input - Correlations'!AU31</f>
        <v>0</v>
      </c>
      <c r="AV31" s="263">
        <f>ET31+'User Input - Correlations'!AV31</f>
        <v>0</v>
      </c>
      <c r="AW31" s="263">
        <f>EU31+'User Input - Correlations'!AW31</f>
        <v>0</v>
      </c>
      <c r="AX31" s="263">
        <f>EV31+'User Input - Correlations'!AX31</f>
        <v>0</v>
      </c>
      <c r="AY31" s="263">
        <f>EW31+'User Input - Correlations'!AY31</f>
        <v>0</v>
      </c>
      <c r="AZ31" s="263">
        <f>EX31+'User Input - Correlations'!AZ31</f>
        <v>0</v>
      </c>
      <c r="BA31" s="263">
        <f>EY31+'User Input - Correlations'!BA31</f>
        <v>0</v>
      </c>
      <c r="BB31" s="263">
        <f>EZ31+'User Input - Correlations'!BB31</f>
        <v>0</v>
      </c>
      <c r="BC31" s="263">
        <f>FA31+'User Input - Correlations'!BC31</f>
        <v>0</v>
      </c>
      <c r="BD31" s="263">
        <f>FB31+'User Input - Correlations'!BD31</f>
        <v>0</v>
      </c>
      <c r="BE31" s="263">
        <f>FC31+'User Input - Correlations'!BE31</f>
        <v>0</v>
      </c>
      <c r="BF31" s="263">
        <f>FD31+'User Input - Correlations'!BF31</f>
        <v>0</v>
      </c>
      <c r="BG31" s="263">
        <f>FE31+'User Input - Correlations'!BG31</f>
        <v>0</v>
      </c>
      <c r="BH31" s="263">
        <f>FF31+'User Input - Correlations'!BH31</f>
        <v>0</v>
      </c>
      <c r="BI31" s="263">
        <f>FG31+'User Input - Correlations'!BI31</f>
        <v>0</v>
      </c>
      <c r="BJ31" s="263">
        <f>FH31+'User Input - Correlations'!BJ31</f>
        <v>0</v>
      </c>
      <c r="BK31" s="263">
        <f>FI31+'User Input - Correlations'!BK31</f>
        <v>0</v>
      </c>
      <c r="BL31" s="263">
        <f>FJ31+'User Input - Correlations'!BL31</f>
        <v>0</v>
      </c>
      <c r="BM31" s="263">
        <f>FK31+'User Input - Correlations'!BM31</f>
        <v>0</v>
      </c>
      <c r="BN31" s="263">
        <f>FL31+'User Input - Correlations'!BN31</f>
        <v>0</v>
      </c>
      <c r="BO31" s="263">
        <f>FM31+'User Input - Correlations'!BO31</f>
        <v>0</v>
      </c>
      <c r="BP31" s="263">
        <f>FN31+'User Input - Correlations'!BP31</f>
        <v>0</v>
      </c>
      <c r="BQ31" s="263">
        <f>FO31+'User Input - Correlations'!BQ31</f>
        <v>0</v>
      </c>
      <c r="BR31" s="263">
        <f>FP31+'User Input - Correlations'!BR31</f>
        <v>0</v>
      </c>
      <c r="BS31" s="263">
        <f>FQ31+'User Input - Correlations'!BS31</f>
        <v>0</v>
      </c>
      <c r="BT31" s="263">
        <f>FR31+'User Input - Correlations'!BT31</f>
        <v>0</v>
      </c>
      <c r="BU31" s="263">
        <f>FS31+'User Input - Correlations'!BU31</f>
        <v>0</v>
      </c>
      <c r="BV31" s="263">
        <f>FT31+'User Input - Correlations'!BV31</f>
        <v>0</v>
      </c>
      <c r="BW31" s="263">
        <f>FU31+'User Input - Correlations'!BW31</f>
        <v>0</v>
      </c>
      <c r="BX31" s="263">
        <f>FV31+'User Input - Correlations'!BX31</f>
        <v>0</v>
      </c>
      <c r="BY31" s="263">
        <f>FW31+'User Input - Correlations'!BY31</f>
        <v>0</v>
      </c>
      <c r="BZ31" s="263">
        <f>FX31+'User Input - Correlations'!BZ31</f>
        <v>0</v>
      </c>
      <c r="CA31" s="263">
        <f>FY31+'User Input - Correlations'!CA31</f>
        <v>0</v>
      </c>
      <c r="CB31" s="263">
        <f>FZ31+'User Input - Correlations'!CB31</f>
        <v>0</v>
      </c>
      <c r="CC31" s="263">
        <f>GA31+'User Input - Correlations'!CC31</f>
        <v>0</v>
      </c>
      <c r="CD31" s="263">
        <f>GB31+'User Input - Correlations'!CD31</f>
        <v>0</v>
      </c>
      <c r="CE31" s="263">
        <f>GC31+'User Input - Correlations'!CE31</f>
        <v>0</v>
      </c>
      <c r="CF31" s="263">
        <f>GD31+'User Input - Correlations'!CF31</f>
        <v>0</v>
      </c>
      <c r="CG31" s="263">
        <f>GE31+'User Input - Correlations'!CG31</f>
        <v>0</v>
      </c>
      <c r="CH31" s="263">
        <f>GF31+'User Input - Correlations'!CH31</f>
        <v>0</v>
      </c>
      <c r="CI31" s="263">
        <f>GG31+'User Input - Correlations'!CI31</f>
        <v>0</v>
      </c>
      <c r="CJ31" s="263">
        <f>GH31+'User Input - Correlations'!CJ31</f>
        <v>0</v>
      </c>
      <c r="CK31" s="263">
        <f>GI31+'User Input - Correlations'!CK31</f>
        <v>0</v>
      </c>
      <c r="CL31" s="263">
        <f>GJ31+'User Input - Correlations'!CL31</f>
        <v>0</v>
      </c>
      <c r="CM31" s="263">
        <f>GK31+'User Input - Correlations'!CM31</f>
        <v>0</v>
      </c>
      <c r="CN31" s="263">
        <f>GL31+'User Input - Correlations'!CN31</f>
        <v>0</v>
      </c>
      <c r="CO31" s="263">
        <f>GM31+'User Input - Correlations'!CO31</f>
        <v>0</v>
      </c>
      <c r="CP31" s="264">
        <f>GN31+'User Input - Correlations'!CP31</f>
        <v>0</v>
      </c>
      <c r="CQ31" s="281">
        <f ca="1">MDETERM(OFFSET($C$11,0,0,ROWS($CQ$11:$CQ31),ROWS($CQ$11:$CQ31)))</f>
        <v>1</v>
      </c>
      <c r="DA31" s="263">
        <v>0</v>
      </c>
      <c r="DB31" s="263">
        <v>0</v>
      </c>
      <c r="DC31" s="263">
        <v>0</v>
      </c>
      <c r="DD31" s="263">
        <v>0</v>
      </c>
      <c r="DE31" s="263">
        <v>0</v>
      </c>
      <c r="DF31" s="263">
        <v>0</v>
      </c>
      <c r="DG31" s="263">
        <v>0</v>
      </c>
      <c r="DH31" s="263">
        <v>0</v>
      </c>
      <c r="DI31" s="263">
        <v>0</v>
      </c>
      <c r="DJ31" s="263">
        <v>0</v>
      </c>
      <c r="DK31" s="263">
        <v>0</v>
      </c>
      <c r="DL31" s="263">
        <v>0</v>
      </c>
      <c r="DM31" s="263">
        <v>0</v>
      </c>
      <c r="DN31" s="263">
        <v>0</v>
      </c>
      <c r="DO31" s="263">
        <v>0</v>
      </c>
      <c r="DP31" s="263">
        <v>0</v>
      </c>
      <c r="DQ31" s="263">
        <v>0</v>
      </c>
      <c r="DR31" s="263">
        <v>0</v>
      </c>
      <c r="DS31" s="263">
        <v>0</v>
      </c>
      <c r="DT31" s="263">
        <v>0</v>
      </c>
      <c r="DU31" s="263">
        <v>1</v>
      </c>
      <c r="DV31" s="263">
        <v>0</v>
      </c>
      <c r="DW31" s="263">
        <v>0</v>
      </c>
      <c r="DX31" s="263">
        <v>0</v>
      </c>
      <c r="DY31" s="263">
        <v>0</v>
      </c>
      <c r="DZ31" s="263">
        <v>0</v>
      </c>
      <c r="EA31" s="263">
        <v>0</v>
      </c>
      <c r="EB31" s="263">
        <v>0</v>
      </c>
      <c r="EC31" s="263">
        <v>0</v>
      </c>
      <c r="ED31" s="263">
        <v>0</v>
      </c>
      <c r="EE31" s="263">
        <v>0</v>
      </c>
      <c r="EF31" s="263">
        <v>0</v>
      </c>
      <c r="EG31" s="263">
        <v>0</v>
      </c>
      <c r="EH31" s="263">
        <v>0</v>
      </c>
      <c r="EI31" s="263">
        <v>0</v>
      </c>
      <c r="EJ31" s="263">
        <v>0</v>
      </c>
      <c r="EK31" s="263">
        <v>0</v>
      </c>
      <c r="EL31" s="263">
        <v>0</v>
      </c>
      <c r="EM31" s="263">
        <v>0</v>
      </c>
      <c r="EN31" s="263">
        <v>0</v>
      </c>
      <c r="EO31" s="263">
        <v>0</v>
      </c>
      <c r="EP31" s="263">
        <v>0</v>
      </c>
      <c r="EQ31" s="263">
        <v>0</v>
      </c>
      <c r="ER31" s="263">
        <v>0</v>
      </c>
      <c r="ES31" s="263">
        <v>0</v>
      </c>
      <c r="ET31" s="263">
        <v>0</v>
      </c>
      <c r="EU31" s="263">
        <v>0</v>
      </c>
      <c r="EV31" s="263">
        <v>0</v>
      </c>
      <c r="EW31" s="263">
        <v>0</v>
      </c>
      <c r="EX31" s="263">
        <v>0</v>
      </c>
      <c r="EY31" s="263">
        <v>0</v>
      </c>
      <c r="EZ31" s="263">
        <v>0</v>
      </c>
      <c r="FA31" s="263">
        <v>0</v>
      </c>
      <c r="FB31" s="263">
        <v>0</v>
      </c>
      <c r="FC31" s="263">
        <v>0</v>
      </c>
      <c r="FD31" s="263">
        <v>0</v>
      </c>
      <c r="FE31" s="263">
        <v>0</v>
      </c>
      <c r="FF31" s="263">
        <v>0</v>
      </c>
      <c r="FG31" s="263">
        <v>0</v>
      </c>
      <c r="FH31" s="263">
        <v>0</v>
      </c>
      <c r="FI31" s="263">
        <v>0</v>
      </c>
      <c r="FJ31" s="263">
        <v>0</v>
      </c>
      <c r="FK31" s="263">
        <v>0</v>
      </c>
      <c r="FL31" s="263">
        <v>0</v>
      </c>
      <c r="FM31" s="263">
        <v>0</v>
      </c>
      <c r="FN31" s="263">
        <v>0</v>
      </c>
      <c r="FO31" s="263">
        <v>0</v>
      </c>
      <c r="FP31" s="263">
        <v>0</v>
      </c>
      <c r="FQ31" s="263">
        <v>0</v>
      </c>
      <c r="FR31" s="263">
        <v>0</v>
      </c>
      <c r="FS31" s="263">
        <v>0</v>
      </c>
      <c r="FT31" s="263">
        <v>0</v>
      </c>
      <c r="FU31" s="263">
        <v>0</v>
      </c>
      <c r="FV31" s="263">
        <v>0</v>
      </c>
      <c r="FW31" s="263">
        <v>0</v>
      </c>
      <c r="FX31" s="263">
        <v>0</v>
      </c>
      <c r="FY31" s="263">
        <v>0</v>
      </c>
      <c r="FZ31" s="263">
        <v>0</v>
      </c>
      <c r="GA31" s="263">
        <v>0</v>
      </c>
      <c r="GB31" s="263">
        <v>0</v>
      </c>
      <c r="GC31" s="263">
        <v>0</v>
      </c>
      <c r="GD31" s="263">
        <v>0</v>
      </c>
      <c r="GE31" s="263">
        <v>0</v>
      </c>
      <c r="GF31" s="263">
        <v>0</v>
      </c>
      <c r="GG31" s="263">
        <v>0</v>
      </c>
      <c r="GH31" s="263">
        <v>0</v>
      </c>
      <c r="GI31" s="263">
        <v>0</v>
      </c>
      <c r="GJ31" s="263">
        <v>0</v>
      </c>
      <c r="GK31" s="263">
        <v>0</v>
      </c>
      <c r="GL31" s="263">
        <v>0</v>
      </c>
      <c r="GM31" s="263">
        <v>0</v>
      </c>
      <c r="GN31" s="263">
        <v>0</v>
      </c>
    </row>
    <row r="32" ht="12.75" customHeight="1">
      <c r="A32" s="284" t="s">
        <v>84</v>
      </c>
      <c r="B32" s="284" t="s">
        <v>174</v>
      </c>
      <c r="C32" s="263">
        <f>DA32+'User Input - Correlations'!C32</f>
        <v>0</v>
      </c>
      <c r="D32" s="263">
        <f>DB32+'User Input - Correlations'!D32</f>
        <v>0</v>
      </c>
      <c r="E32" s="263">
        <f>DC32+'User Input - Correlations'!E32</f>
        <v>0</v>
      </c>
      <c r="F32" s="263">
        <f>DD32+'User Input - Correlations'!F32</f>
        <v>0</v>
      </c>
      <c r="G32" s="263">
        <f>DE32+'User Input - Correlations'!G32</f>
        <v>0</v>
      </c>
      <c r="H32" s="263">
        <f>DF32+'User Input - Correlations'!H32</f>
        <v>0</v>
      </c>
      <c r="I32" s="263">
        <f>DG32+'User Input - Correlations'!I32</f>
        <v>0</v>
      </c>
      <c r="J32" s="263">
        <f>DH32+'User Input - Correlations'!J32</f>
        <v>0</v>
      </c>
      <c r="K32" s="263">
        <f>DI32+'User Input - Correlations'!K32</f>
        <v>0</v>
      </c>
      <c r="L32" s="263">
        <f>DJ32+'User Input - Correlations'!L32</f>
        <v>0</v>
      </c>
      <c r="M32" s="263">
        <f>DK32+'User Input - Correlations'!M32</f>
        <v>0</v>
      </c>
      <c r="N32" s="263">
        <f>DL32+'User Input - Correlations'!N32</f>
        <v>0</v>
      </c>
      <c r="O32" s="263">
        <f>DM32+'User Input - Correlations'!O32</f>
        <v>0</v>
      </c>
      <c r="P32" s="263">
        <f>DN32+'User Input - Correlations'!P32</f>
        <v>0</v>
      </c>
      <c r="Q32" s="263">
        <f>DO32+'User Input - Correlations'!Q32</f>
        <v>0</v>
      </c>
      <c r="R32" s="263">
        <f>DP32+'User Input - Correlations'!R32</f>
        <v>0</v>
      </c>
      <c r="S32" s="263">
        <f>DQ32+'User Input - Correlations'!S32</f>
        <v>0</v>
      </c>
      <c r="T32" s="263">
        <f>DR32+'User Input - Correlations'!T32</f>
        <v>0</v>
      </c>
      <c r="U32" s="263">
        <f>DS32+'User Input - Correlations'!U32</f>
        <v>0</v>
      </c>
      <c r="V32" s="263">
        <f>DT32+'User Input - Correlations'!V32</f>
        <v>0</v>
      </c>
      <c r="W32" s="263">
        <f>DU32+'User Input - Correlations'!W32</f>
        <v>0</v>
      </c>
      <c r="X32" s="263">
        <v>1</v>
      </c>
      <c r="Y32" s="263">
        <f>DW32+'User Input - Correlations'!Y32</f>
        <v>0</v>
      </c>
      <c r="Z32" s="263">
        <f>DX32+'User Input - Correlations'!Z32</f>
        <v>0</v>
      </c>
      <c r="AA32" s="263">
        <f>DY32+'User Input - Correlations'!AA32</f>
        <v>0</v>
      </c>
      <c r="AB32" s="263">
        <f>DZ32+'User Input - Correlations'!AB32</f>
        <v>0</v>
      </c>
      <c r="AC32" s="263">
        <f>EA32+'User Input - Correlations'!AC32</f>
        <v>0</v>
      </c>
      <c r="AD32" s="263">
        <f>EB32+'User Input - Correlations'!AD32</f>
        <v>0</v>
      </c>
      <c r="AE32" s="263">
        <f>EC32+'User Input - Correlations'!AE32</f>
        <v>0</v>
      </c>
      <c r="AF32" s="263">
        <f>ED32+'User Input - Correlations'!AF32</f>
        <v>0</v>
      </c>
      <c r="AG32" s="263">
        <f>EE32+'User Input - Correlations'!AG32</f>
        <v>0</v>
      </c>
      <c r="AH32" s="263">
        <f>EF32+'User Input - Correlations'!AH32</f>
        <v>0</v>
      </c>
      <c r="AI32" s="263">
        <f>EG32+'User Input - Correlations'!AI32</f>
        <v>0</v>
      </c>
      <c r="AJ32" s="263">
        <f>EH32+'User Input - Correlations'!AJ32</f>
        <v>0</v>
      </c>
      <c r="AK32" s="263">
        <f>EI32+'User Input - Correlations'!AK32</f>
        <v>0</v>
      </c>
      <c r="AL32" s="263">
        <f>EJ32+'User Input - Correlations'!AL32</f>
        <v>0</v>
      </c>
      <c r="AM32" s="263">
        <f>EK32+'User Input - Correlations'!AM32</f>
        <v>0</v>
      </c>
      <c r="AN32" s="263">
        <f>EL32+'User Input - Correlations'!AN32</f>
        <v>0</v>
      </c>
      <c r="AO32" s="263">
        <f>EM32+'User Input - Correlations'!AO32</f>
        <v>0</v>
      </c>
      <c r="AP32" s="263">
        <f>EN32+'User Input - Correlations'!AP32</f>
        <v>0</v>
      </c>
      <c r="AQ32" s="263">
        <f>EO32+'User Input - Correlations'!AQ32</f>
        <v>0</v>
      </c>
      <c r="AR32" s="263">
        <f>EP32+'User Input - Correlations'!AR32</f>
        <v>0</v>
      </c>
      <c r="AS32" s="263">
        <f>EQ32+'User Input - Correlations'!AS32</f>
        <v>0</v>
      </c>
      <c r="AT32" s="263">
        <f>ER32+'User Input - Correlations'!AT32</f>
        <v>0</v>
      </c>
      <c r="AU32" s="263">
        <f>ES32+'User Input - Correlations'!AU32</f>
        <v>0</v>
      </c>
      <c r="AV32" s="263">
        <f>ET32+'User Input - Correlations'!AV32</f>
        <v>0</v>
      </c>
      <c r="AW32" s="263">
        <f>EU32+'User Input - Correlations'!AW32</f>
        <v>0</v>
      </c>
      <c r="AX32" s="263">
        <f>EV32+'User Input - Correlations'!AX32</f>
        <v>0</v>
      </c>
      <c r="AY32" s="263">
        <f>EW32+'User Input - Correlations'!AY32</f>
        <v>0</v>
      </c>
      <c r="AZ32" s="263">
        <f>EX32+'User Input - Correlations'!AZ32</f>
        <v>0</v>
      </c>
      <c r="BA32" s="263">
        <f>EY32+'User Input - Correlations'!BA32</f>
        <v>0</v>
      </c>
      <c r="BB32" s="263">
        <f>EZ32+'User Input - Correlations'!BB32</f>
        <v>0</v>
      </c>
      <c r="BC32" s="263">
        <f>FA32+'User Input - Correlations'!BC32</f>
        <v>0</v>
      </c>
      <c r="BD32" s="263">
        <f>FB32+'User Input - Correlations'!BD32</f>
        <v>0</v>
      </c>
      <c r="BE32" s="263">
        <f>FC32+'User Input - Correlations'!BE32</f>
        <v>0</v>
      </c>
      <c r="BF32" s="263">
        <f>FD32+'User Input - Correlations'!BF32</f>
        <v>0</v>
      </c>
      <c r="BG32" s="263">
        <f>FE32+'User Input - Correlations'!BG32</f>
        <v>0</v>
      </c>
      <c r="BH32" s="263">
        <f>FF32+'User Input - Correlations'!BH32</f>
        <v>0</v>
      </c>
      <c r="BI32" s="263">
        <f>FG32+'User Input - Correlations'!BI32</f>
        <v>0</v>
      </c>
      <c r="BJ32" s="263">
        <f>FH32+'User Input - Correlations'!BJ32</f>
        <v>0</v>
      </c>
      <c r="BK32" s="263">
        <f>FI32+'User Input - Correlations'!BK32</f>
        <v>0</v>
      </c>
      <c r="BL32" s="263">
        <f>FJ32+'User Input - Correlations'!BL32</f>
        <v>0</v>
      </c>
      <c r="BM32" s="263">
        <f>FK32+'User Input - Correlations'!BM32</f>
        <v>0</v>
      </c>
      <c r="BN32" s="263">
        <f>FL32+'User Input - Correlations'!BN32</f>
        <v>0</v>
      </c>
      <c r="BO32" s="263">
        <f>FM32+'User Input - Correlations'!BO32</f>
        <v>0</v>
      </c>
      <c r="BP32" s="263">
        <f>FN32+'User Input - Correlations'!BP32</f>
        <v>0</v>
      </c>
      <c r="BQ32" s="263">
        <f>FO32+'User Input - Correlations'!BQ32</f>
        <v>0</v>
      </c>
      <c r="BR32" s="263">
        <f>FP32+'User Input - Correlations'!BR32</f>
        <v>0</v>
      </c>
      <c r="BS32" s="263">
        <f>FQ32+'User Input - Correlations'!BS32</f>
        <v>0</v>
      </c>
      <c r="BT32" s="263">
        <f>FR32+'User Input - Correlations'!BT32</f>
        <v>0</v>
      </c>
      <c r="BU32" s="263">
        <f>FS32+'User Input - Correlations'!BU32</f>
        <v>0</v>
      </c>
      <c r="BV32" s="263">
        <f>FT32+'User Input - Correlations'!BV32</f>
        <v>0</v>
      </c>
      <c r="BW32" s="263">
        <f>FU32+'User Input - Correlations'!BW32</f>
        <v>0</v>
      </c>
      <c r="BX32" s="263">
        <f>FV32+'User Input - Correlations'!BX32</f>
        <v>0</v>
      </c>
      <c r="BY32" s="263">
        <f>FW32+'User Input - Correlations'!BY32</f>
        <v>0</v>
      </c>
      <c r="BZ32" s="263">
        <f>FX32+'User Input - Correlations'!BZ32</f>
        <v>0</v>
      </c>
      <c r="CA32" s="263">
        <f>FY32+'User Input - Correlations'!CA32</f>
        <v>0</v>
      </c>
      <c r="CB32" s="263">
        <f>FZ32+'User Input - Correlations'!CB32</f>
        <v>0</v>
      </c>
      <c r="CC32" s="263">
        <f>GA32+'User Input - Correlations'!CC32</f>
        <v>0</v>
      </c>
      <c r="CD32" s="263">
        <f>GB32+'User Input - Correlations'!CD32</f>
        <v>0</v>
      </c>
      <c r="CE32" s="263">
        <f>GC32+'User Input - Correlations'!CE32</f>
        <v>0</v>
      </c>
      <c r="CF32" s="263">
        <f>GD32+'User Input - Correlations'!CF32</f>
        <v>0</v>
      </c>
      <c r="CG32" s="263">
        <f>GE32+'User Input - Correlations'!CG32</f>
        <v>0</v>
      </c>
      <c r="CH32" s="263">
        <f>GF32+'User Input - Correlations'!CH32</f>
        <v>0</v>
      </c>
      <c r="CI32" s="263">
        <f>GG32+'User Input - Correlations'!CI32</f>
        <v>0</v>
      </c>
      <c r="CJ32" s="263">
        <f>GH32+'User Input - Correlations'!CJ32</f>
        <v>0</v>
      </c>
      <c r="CK32" s="263">
        <f>GI32+'User Input - Correlations'!CK32</f>
        <v>0</v>
      </c>
      <c r="CL32" s="263">
        <f>GJ32+'User Input - Correlations'!CL32</f>
        <v>0</v>
      </c>
      <c r="CM32" s="263">
        <f>GK32+'User Input - Correlations'!CM32</f>
        <v>0</v>
      </c>
      <c r="CN32" s="263">
        <f>GL32+'User Input - Correlations'!CN32</f>
        <v>0</v>
      </c>
      <c r="CO32" s="263">
        <f>GM32+'User Input - Correlations'!CO32</f>
        <v>0</v>
      </c>
      <c r="CP32" s="264">
        <f>GN32+'User Input - Correlations'!CP32</f>
        <v>0</v>
      </c>
      <c r="CQ32" s="281">
        <f ca="1">MDETERM(OFFSET($C$11,0,0,ROWS($CQ$11:$CQ32),ROWS($CQ$11:$CQ32)))</f>
        <v>1</v>
      </c>
      <c r="DA32" s="263">
        <v>0</v>
      </c>
      <c r="DB32" s="263">
        <v>0</v>
      </c>
      <c r="DC32" s="263">
        <v>0</v>
      </c>
      <c r="DD32" s="263">
        <v>0</v>
      </c>
      <c r="DE32" s="263">
        <v>0</v>
      </c>
      <c r="DF32" s="263">
        <v>0</v>
      </c>
      <c r="DG32" s="263">
        <v>0</v>
      </c>
      <c r="DH32" s="263">
        <v>0</v>
      </c>
      <c r="DI32" s="263">
        <v>0</v>
      </c>
      <c r="DJ32" s="263">
        <v>0</v>
      </c>
      <c r="DK32" s="263">
        <v>0</v>
      </c>
      <c r="DL32" s="263">
        <v>0</v>
      </c>
      <c r="DM32" s="263">
        <v>0</v>
      </c>
      <c r="DN32" s="263">
        <v>0</v>
      </c>
      <c r="DO32" s="263">
        <v>0</v>
      </c>
      <c r="DP32" s="263">
        <v>0</v>
      </c>
      <c r="DQ32" s="263">
        <v>0</v>
      </c>
      <c r="DR32" s="263">
        <v>0</v>
      </c>
      <c r="DS32" s="263">
        <v>0</v>
      </c>
      <c r="DT32" s="263">
        <v>0</v>
      </c>
      <c r="DU32" s="263">
        <v>0</v>
      </c>
      <c r="DV32" s="263">
        <v>1</v>
      </c>
      <c r="DW32" s="263">
        <v>0</v>
      </c>
      <c r="DX32" s="263">
        <v>0</v>
      </c>
      <c r="DY32" s="263">
        <v>0</v>
      </c>
      <c r="DZ32" s="263">
        <v>0</v>
      </c>
      <c r="EA32" s="263">
        <v>0</v>
      </c>
      <c r="EB32" s="263">
        <v>0</v>
      </c>
      <c r="EC32" s="263">
        <v>0</v>
      </c>
      <c r="ED32" s="263">
        <v>0</v>
      </c>
      <c r="EE32" s="263">
        <v>0</v>
      </c>
      <c r="EF32" s="263">
        <v>0</v>
      </c>
      <c r="EG32" s="263">
        <v>0</v>
      </c>
      <c r="EH32" s="263">
        <v>0</v>
      </c>
      <c r="EI32" s="263">
        <v>0</v>
      </c>
      <c r="EJ32" s="263">
        <v>0</v>
      </c>
      <c r="EK32" s="263">
        <v>0</v>
      </c>
      <c r="EL32" s="263">
        <v>0</v>
      </c>
      <c r="EM32" s="263">
        <v>0</v>
      </c>
      <c r="EN32" s="263">
        <v>0</v>
      </c>
      <c r="EO32" s="263">
        <v>0</v>
      </c>
      <c r="EP32" s="263">
        <v>0</v>
      </c>
      <c r="EQ32" s="263">
        <v>0</v>
      </c>
      <c r="ER32" s="263">
        <v>0</v>
      </c>
      <c r="ES32" s="263">
        <v>0</v>
      </c>
      <c r="ET32" s="263">
        <v>0</v>
      </c>
      <c r="EU32" s="263">
        <v>0</v>
      </c>
      <c r="EV32" s="263">
        <v>0</v>
      </c>
      <c r="EW32" s="263">
        <v>0</v>
      </c>
      <c r="EX32" s="263">
        <v>0</v>
      </c>
      <c r="EY32" s="263">
        <v>0</v>
      </c>
      <c r="EZ32" s="263">
        <v>0</v>
      </c>
      <c r="FA32" s="263">
        <v>0</v>
      </c>
      <c r="FB32" s="263">
        <v>0</v>
      </c>
      <c r="FC32" s="263">
        <v>0</v>
      </c>
      <c r="FD32" s="263">
        <v>0</v>
      </c>
      <c r="FE32" s="263">
        <v>0</v>
      </c>
      <c r="FF32" s="263">
        <v>0</v>
      </c>
      <c r="FG32" s="263">
        <v>0</v>
      </c>
      <c r="FH32" s="263">
        <v>0</v>
      </c>
      <c r="FI32" s="263">
        <v>0</v>
      </c>
      <c r="FJ32" s="263">
        <v>0</v>
      </c>
      <c r="FK32" s="263">
        <v>0</v>
      </c>
      <c r="FL32" s="263">
        <v>0</v>
      </c>
      <c r="FM32" s="263">
        <v>0</v>
      </c>
      <c r="FN32" s="263">
        <v>0</v>
      </c>
      <c r="FO32" s="263">
        <v>0</v>
      </c>
      <c r="FP32" s="263">
        <v>0</v>
      </c>
      <c r="FQ32" s="263">
        <v>0</v>
      </c>
      <c r="FR32" s="263">
        <v>0</v>
      </c>
      <c r="FS32" s="263">
        <v>0</v>
      </c>
      <c r="FT32" s="263">
        <v>0</v>
      </c>
      <c r="FU32" s="263">
        <v>0</v>
      </c>
      <c r="FV32" s="263">
        <v>0</v>
      </c>
      <c r="FW32" s="263">
        <v>0</v>
      </c>
      <c r="FX32" s="263">
        <v>0</v>
      </c>
      <c r="FY32" s="263">
        <v>0</v>
      </c>
      <c r="FZ32" s="263">
        <v>0</v>
      </c>
      <c r="GA32" s="263">
        <v>0</v>
      </c>
      <c r="GB32" s="263">
        <v>0</v>
      </c>
      <c r="GC32" s="263">
        <v>0</v>
      </c>
      <c r="GD32" s="263">
        <v>0</v>
      </c>
      <c r="GE32" s="263">
        <v>0</v>
      </c>
      <c r="GF32" s="263">
        <v>0</v>
      </c>
      <c r="GG32" s="263">
        <v>0</v>
      </c>
      <c r="GH32" s="263">
        <v>0</v>
      </c>
      <c r="GI32" s="263">
        <v>0</v>
      </c>
      <c r="GJ32" s="263">
        <v>0</v>
      </c>
      <c r="GK32" s="263">
        <v>0</v>
      </c>
      <c r="GL32" s="263">
        <v>0</v>
      </c>
      <c r="GM32" s="263">
        <v>0</v>
      </c>
      <c r="GN32" s="263">
        <v>0</v>
      </c>
    </row>
    <row r="33" ht="12.75" customHeight="1">
      <c r="A33" s="285" t="s">
        <v>175</v>
      </c>
      <c r="B33" s="285" t="s">
        <v>185</v>
      </c>
      <c r="C33" s="263">
        <f>DA33+'User Input - Correlations'!C33</f>
        <v>0</v>
      </c>
      <c r="D33" s="263">
        <f>DB33+'User Input - Correlations'!D33</f>
        <v>0</v>
      </c>
      <c r="E33" s="263">
        <f>DC33+'User Input - Correlations'!E33</f>
        <v>0</v>
      </c>
      <c r="F33" s="263">
        <f>DD33+'User Input - Correlations'!F33</f>
        <v>0</v>
      </c>
      <c r="G33" s="263">
        <f>DE33+'User Input - Correlations'!G33</f>
        <v>0</v>
      </c>
      <c r="H33" s="263">
        <f>DF33+'User Input - Correlations'!H33</f>
        <v>0</v>
      </c>
      <c r="I33" s="263">
        <f>DG33+'User Input - Correlations'!I33</f>
        <v>0</v>
      </c>
      <c r="J33" s="263">
        <f>DH33+'User Input - Correlations'!J33</f>
        <v>0</v>
      </c>
      <c r="K33" s="263">
        <f>DI33+'User Input - Correlations'!K33</f>
        <v>0</v>
      </c>
      <c r="L33" s="263">
        <f>DJ33+'User Input - Correlations'!L33</f>
        <v>0</v>
      </c>
      <c r="M33" s="263">
        <f>DK33+'User Input - Correlations'!M33</f>
        <v>0</v>
      </c>
      <c r="N33" s="263">
        <f>DL33+'User Input - Correlations'!N33</f>
        <v>0</v>
      </c>
      <c r="O33" s="263">
        <f>DM33+'User Input - Correlations'!O33</f>
        <v>0</v>
      </c>
      <c r="P33" s="263">
        <f>DN33+'User Input - Correlations'!P33</f>
        <v>0</v>
      </c>
      <c r="Q33" s="263">
        <f>DO33+'User Input - Correlations'!Q33</f>
        <v>0</v>
      </c>
      <c r="R33" s="263">
        <f>DP33+'User Input - Correlations'!R33</f>
        <v>0</v>
      </c>
      <c r="S33" s="263">
        <f>DQ33+'User Input - Correlations'!S33</f>
        <v>0</v>
      </c>
      <c r="T33" s="263">
        <f>DR33+'User Input - Correlations'!T33</f>
        <v>0</v>
      </c>
      <c r="U33" s="263">
        <f>DS33+'User Input - Correlations'!U33</f>
        <v>0</v>
      </c>
      <c r="V33" s="263">
        <f>DT33+'User Input - Correlations'!V33</f>
        <v>0</v>
      </c>
      <c r="W33" s="263">
        <f>DU33+'User Input - Correlations'!W33</f>
        <v>0</v>
      </c>
      <c r="X33" s="263">
        <f>DV33+'User Input - Correlations'!X33</f>
        <v>0</v>
      </c>
      <c r="Y33" s="263">
        <v>1</v>
      </c>
      <c r="Z33" s="263">
        <f>DX33+'User Input - Correlations'!Z33</f>
        <v>0</v>
      </c>
      <c r="AA33" s="263">
        <f>DY33+'User Input - Correlations'!AA33</f>
        <v>0</v>
      </c>
      <c r="AB33" s="263">
        <f>DZ33+'User Input - Correlations'!AB33</f>
        <v>0</v>
      </c>
      <c r="AC33" s="263">
        <f>EA33+'User Input - Correlations'!AC33</f>
        <v>0</v>
      </c>
      <c r="AD33" s="263">
        <f>EB33+'User Input - Correlations'!AD33</f>
        <v>0</v>
      </c>
      <c r="AE33" s="263">
        <f>EC33+'User Input - Correlations'!AE33</f>
        <v>0</v>
      </c>
      <c r="AF33" s="263">
        <f>ED33+'User Input - Correlations'!AF33</f>
        <v>0</v>
      </c>
      <c r="AG33" s="263">
        <f>EE33+'User Input - Correlations'!AG33</f>
        <v>0</v>
      </c>
      <c r="AH33" s="263">
        <f>EF33+'User Input - Correlations'!AH33</f>
        <v>0</v>
      </c>
      <c r="AI33" s="263">
        <f>EG33+'User Input - Correlations'!AI33</f>
        <v>0</v>
      </c>
      <c r="AJ33" s="263">
        <f>EH33+'User Input - Correlations'!AJ33</f>
        <v>0</v>
      </c>
      <c r="AK33" s="263">
        <f>EI33+'User Input - Correlations'!AK33</f>
        <v>0</v>
      </c>
      <c r="AL33" s="263">
        <f>EJ33+'User Input - Correlations'!AL33</f>
        <v>0</v>
      </c>
      <c r="AM33" s="263">
        <f>EK33+'User Input - Correlations'!AM33</f>
        <v>0</v>
      </c>
      <c r="AN33" s="263">
        <f>EL33+'User Input - Correlations'!AN33</f>
        <v>0</v>
      </c>
      <c r="AO33" s="263">
        <f>EM33+'User Input - Correlations'!AO33</f>
        <v>0</v>
      </c>
      <c r="AP33" s="263">
        <f>EN33+'User Input - Correlations'!AP33</f>
        <v>0</v>
      </c>
      <c r="AQ33" s="263">
        <f>EO33+'User Input - Correlations'!AQ33</f>
        <v>0</v>
      </c>
      <c r="AR33" s="263">
        <f>EP33+'User Input - Correlations'!AR33</f>
        <v>0</v>
      </c>
      <c r="AS33" s="263">
        <f>EQ33+'User Input - Correlations'!AS33</f>
        <v>0</v>
      </c>
      <c r="AT33" s="263">
        <f>ER33+'User Input - Correlations'!AT33</f>
        <v>0</v>
      </c>
      <c r="AU33" s="263">
        <f>ES33+'User Input - Correlations'!AU33</f>
        <v>0</v>
      </c>
      <c r="AV33" s="263">
        <f>ET33+'User Input - Correlations'!AV33</f>
        <v>0</v>
      </c>
      <c r="AW33" s="263">
        <f>EU33+'User Input - Correlations'!AW33</f>
        <v>0</v>
      </c>
      <c r="AX33" s="263">
        <f>EV33+'User Input - Correlations'!AX33</f>
        <v>0</v>
      </c>
      <c r="AY33" s="263">
        <f>EW33+'User Input - Correlations'!AY33</f>
        <v>0</v>
      </c>
      <c r="AZ33" s="263">
        <f>EX33+'User Input - Correlations'!AZ33</f>
        <v>0</v>
      </c>
      <c r="BA33" s="263">
        <f>EY33+'User Input - Correlations'!BA33</f>
        <v>0</v>
      </c>
      <c r="BB33" s="263">
        <f>EZ33+'User Input - Correlations'!BB33</f>
        <v>0</v>
      </c>
      <c r="BC33" s="263">
        <f>FA33+'User Input - Correlations'!BC33</f>
        <v>0</v>
      </c>
      <c r="BD33" s="263">
        <f>FB33+'User Input - Correlations'!BD33</f>
        <v>0</v>
      </c>
      <c r="BE33" s="263">
        <f>FC33+'User Input - Correlations'!BE33</f>
        <v>0</v>
      </c>
      <c r="BF33" s="263">
        <f>FD33+'User Input - Correlations'!BF33</f>
        <v>0</v>
      </c>
      <c r="BG33" s="263">
        <f>FE33+'User Input - Correlations'!BG33</f>
        <v>0</v>
      </c>
      <c r="BH33" s="263">
        <f>FF33+'User Input - Correlations'!BH33</f>
        <v>0</v>
      </c>
      <c r="BI33" s="263">
        <f>FG33+'User Input - Correlations'!BI33</f>
        <v>0</v>
      </c>
      <c r="BJ33" s="263">
        <f>FH33+'User Input - Correlations'!BJ33</f>
        <v>0</v>
      </c>
      <c r="BK33" s="263">
        <f>FI33+'User Input - Correlations'!BK33</f>
        <v>0</v>
      </c>
      <c r="BL33" s="263">
        <f>FJ33+'User Input - Correlations'!BL33</f>
        <v>0</v>
      </c>
      <c r="BM33" s="263">
        <f>FK33+'User Input - Correlations'!BM33</f>
        <v>0</v>
      </c>
      <c r="BN33" s="263">
        <f>FL33+'User Input - Correlations'!BN33</f>
        <v>0</v>
      </c>
      <c r="BO33" s="263">
        <f>FM33+'User Input - Correlations'!BO33</f>
        <v>0</v>
      </c>
      <c r="BP33" s="263">
        <f>FN33+'User Input - Correlations'!BP33</f>
        <v>0</v>
      </c>
      <c r="BQ33" s="263">
        <f>FO33+'User Input - Correlations'!BQ33</f>
        <v>0</v>
      </c>
      <c r="BR33" s="263">
        <f>FP33+'User Input - Correlations'!BR33</f>
        <v>0</v>
      </c>
      <c r="BS33" s="263">
        <f>FQ33+'User Input - Correlations'!BS33</f>
        <v>0</v>
      </c>
      <c r="BT33" s="263">
        <f>FR33+'User Input - Correlations'!BT33</f>
        <v>0</v>
      </c>
      <c r="BU33" s="263">
        <f>FS33+'User Input - Correlations'!BU33</f>
        <v>0</v>
      </c>
      <c r="BV33" s="263">
        <f>FT33+'User Input - Correlations'!BV33</f>
        <v>0</v>
      </c>
      <c r="BW33" s="263">
        <f>FU33+'User Input - Correlations'!BW33</f>
        <v>0</v>
      </c>
      <c r="BX33" s="263">
        <f>FV33+'User Input - Correlations'!BX33</f>
        <v>0</v>
      </c>
      <c r="BY33" s="263">
        <f>FW33+'User Input - Correlations'!BY33</f>
        <v>0</v>
      </c>
      <c r="BZ33" s="263">
        <f>FX33+'User Input - Correlations'!BZ33</f>
        <v>0</v>
      </c>
      <c r="CA33" s="263">
        <f>FY33+'User Input - Correlations'!CA33</f>
        <v>0</v>
      </c>
      <c r="CB33" s="263">
        <f>FZ33+'User Input - Correlations'!CB33</f>
        <v>0</v>
      </c>
      <c r="CC33" s="263">
        <f>GA33+'User Input - Correlations'!CC33</f>
        <v>0</v>
      </c>
      <c r="CD33" s="263">
        <f>GB33+'User Input - Correlations'!CD33</f>
        <v>0</v>
      </c>
      <c r="CE33" s="263">
        <f>GC33+'User Input - Correlations'!CE33</f>
        <v>0</v>
      </c>
      <c r="CF33" s="263">
        <f>GD33+'User Input - Correlations'!CF33</f>
        <v>0</v>
      </c>
      <c r="CG33" s="263">
        <f>GE33+'User Input - Correlations'!CG33</f>
        <v>0</v>
      </c>
      <c r="CH33" s="263">
        <f>GF33+'User Input - Correlations'!CH33</f>
        <v>0</v>
      </c>
      <c r="CI33" s="263">
        <f>GG33+'User Input - Correlations'!CI33</f>
        <v>0</v>
      </c>
      <c r="CJ33" s="263">
        <f>GH33+'User Input - Correlations'!CJ33</f>
        <v>0</v>
      </c>
      <c r="CK33" s="263">
        <f>GI33+'User Input - Correlations'!CK33</f>
        <v>0</v>
      </c>
      <c r="CL33" s="263">
        <f>GJ33+'User Input - Correlations'!CL33</f>
        <v>0</v>
      </c>
      <c r="CM33" s="263">
        <f>GK33+'User Input - Correlations'!CM33</f>
        <v>0</v>
      </c>
      <c r="CN33" s="263">
        <f>GL33+'User Input - Correlations'!CN33</f>
        <v>0</v>
      </c>
      <c r="CO33" s="263">
        <f>GM33+'User Input - Correlations'!CO33</f>
        <v>0</v>
      </c>
      <c r="CP33" s="264">
        <f>GN33+'User Input - Correlations'!CP33</f>
        <v>0</v>
      </c>
      <c r="CQ33" s="281">
        <f ca="1">MDETERM(OFFSET($C$11,0,0,ROWS($CQ$11:$CQ33),ROWS($CQ$11:$CQ33)))</f>
        <v>1</v>
      </c>
      <c r="DA33" s="263">
        <v>0</v>
      </c>
      <c r="DB33" s="263">
        <v>0</v>
      </c>
      <c r="DC33" s="263">
        <v>0</v>
      </c>
      <c r="DD33" s="263">
        <v>0</v>
      </c>
      <c r="DE33" s="263">
        <v>0</v>
      </c>
      <c r="DF33" s="263">
        <v>0</v>
      </c>
      <c r="DG33" s="263">
        <v>0</v>
      </c>
      <c r="DH33" s="263">
        <v>0</v>
      </c>
      <c r="DI33" s="263">
        <v>0</v>
      </c>
      <c r="DJ33" s="263">
        <v>0</v>
      </c>
      <c r="DK33" s="263">
        <v>0</v>
      </c>
      <c r="DL33" s="263">
        <v>0</v>
      </c>
      <c r="DM33" s="263">
        <v>0</v>
      </c>
      <c r="DN33" s="263">
        <v>0</v>
      </c>
      <c r="DO33" s="263">
        <v>0</v>
      </c>
      <c r="DP33" s="263">
        <v>0</v>
      </c>
      <c r="DQ33" s="263">
        <v>0</v>
      </c>
      <c r="DR33" s="263">
        <v>0</v>
      </c>
      <c r="DS33" s="263">
        <v>0</v>
      </c>
      <c r="DT33" s="263">
        <v>0</v>
      </c>
      <c r="DU33" s="263">
        <v>0</v>
      </c>
      <c r="DV33" s="263">
        <v>0</v>
      </c>
      <c r="DW33" s="263">
        <v>1</v>
      </c>
      <c r="DX33" s="263">
        <v>0</v>
      </c>
      <c r="DY33" s="263">
        <v>0</v>
      </c>
      <c r="DZ33" s="263">
        <v>0</v>
      </c>
      <c r="EA33" s="263">
        <v>0</v>
      </c>
      <c r="EB33" s="263">
        <v>0</v>
      </c>
      <c r="EC33" s="263">
        <v>0</v>
      </c>
      <c r="ED33" s="263">
        <v>0</v>
      </c>
      <c r="EE33" s="263">
        <v>0</v>
      </c>
      <c r="EF33" s="263">
        <v>0</v>
      </c>
      <c r="EG33" s="263">
        <v>0</v>
      </c>
      <c r="EH33" s="263">
        <v>0</v>
      </c>
      <c r="EI33" s="263">
        <v>0</v>
      </c>
      <c r="EJ33" s="263">
        <v>0</v>
      </c>
      <c r="EK33" s="263">
        <v>0</v>
      </c>
      <c r="EL33" s="263">
        <v>0</v>
      </c>
      <c r="EM33" s="263">
        <v>0</v>
      </c>
      <c r="EN33" s="263">
        <v>0</v>
      </c>
      <c r="EO33" s="263">
        <v>0</v>
      </c>
      <c r="EP33" s="263">
        <v>0</v>
      </c>
      <c r="EQ33" s="263">
        <v>0</v>
      </c>
      <c r="ER33" s="263">
        <v>0</v>
      </c>
      <c r="ES33" s="263">
        <v>0</v>
      </c>
      <c r="ET33" s="263">
        <v>0</v>
      </c>
      <c r="EU33" s="263">
        <v>0</v>
      </c>
      <c r="EV33" s="263">
        <v>0</v>
      </c>
      <c r="EW33" s="263">
        <v>0</v>
      </c>
      <c r="EX33" s="263">
        <v>0</v>
      </c>
      <c r="EY33" s="263">
        <v>0</v>
      </c>
      <c r="EZ33" s="263">
        <v>0</v>
      </c>
      <c r="FA33" s="263">
        <v>0</v>
      </c>
      <c r="FB33" s="263">
        <v>0</v>
      </c>
      <c r="FC33" s="263">
        <v>0</v>
      </c>
      <c r="FD33" s="263">
        <v>0</v>
      </c>
      <c r="FE33" s="263">
        <v>0</v>
      </c>
      <c r="FF33" s="263">
        <v>0</v>
      </c>
      <c r="FG33" s="263">
        <v>0</v>
      </c>
      <c r="FH33" s="263">
        <v>0</v>
      </c>
      <c r="FI33" s="263">
        <v>0</v>
      </c>
      <c r="FJ33" s="263">
        <v>0</v>
      </c>
      <c r="FK33" s="263">
        <v>0</v>
      </c>
      <c r="FL33" s="263">
        <v>0</v>
      </c>
      <c r="FM33" s="263">
        <v>0</v>
      </c>
      <c r="FN33" s="263">
        <v>0</v>
      </c>
      <c r="FO33" s="263">
        <v>0</v>
      </c>
      <c r="FP33" s="263">
        <v>0</v>
      </c>
      <c r="FQ33" s="263">
        <v>0</v>
      </c>
      <c r="FR33" s="263">
        <v>0</v>
      </c>
      <c r="FS33" s="263">
        <v>0</v>
      </c>
      <c r="FT33" s="263">
        <v>0</v>
      </c>
      <c r="FU33" s="263">
        <v>0</v>
      </c>
      <c r="FV33" s="263">
        <v>0</v>
      </c>
      <c r="FW33" s="263">
        <v>0</v>
      </c>
      <c r="FX33" s="263">
        <v>0</v>
      </c>
      <c r="FY33" s="263">
        <v>0</v>
      </c>
      <c r="FZ33" s="263">
        <v>0</v>
      </c>
      <c r="GA33" s="263">
        <v>0</v>
      </c>
      <c r="GB33" s="263">
        <v>0</v>
      </c>
      <c r="GC33" s="263">
        <v>0</v>
      </c>
      <c r="GD33" s="263">
        <v>0</v>
      </c>
      <c r="GE33" s="263">
        <v>0</v>
      </c>
      <c r="GF33" s="263">
        <v>0</v>
      </c>
      <c r="GG33" s="263">
        <v>0</v>
      </c>
      <c r="GH33" s="263">
        <v>0</v>
      </c>
      <c r="GI33" s="263">
        <v>0</v>
      </c>
      <c r="GJ33" s="263">
        <v>0</v>
      </c>
      <c r="GK33" s="263">
        <v>0</v>
      </c>
      <c r="GL33" s="263">
        <v>0</v>
      </c>
      <c r="GM33" s="263">
        <v>0</v>
      </c>
      <c r="GN33" s="263">
        <v>0</v>
      </c>
    </row>
    <row r="34" ht="12.75" customHeight="1">
      <c r="A34" s="285" t="s">
        <v>173</v>
      </c>
      <c r="B34" s="285" t="s">
        <v>185</v>
      </c>
      <c r="C34" s="263">
        <f>DA34+'User Input - Correlations'!C34</f>
        <v>0</v>
      </c>
      <c r="D34" s="263">
        <f>DB34+'User Input - Correlations'!D34</f>
        <v>0</v>
      </c>
      <c r="E34" s="263">
        <f>DC34+'User Input - Correlations'!E34</f>
        <v>0</v>
      </c>
      <c r="F34" s="263">
        <f>DD34+'User Input - Correlations'!F34</f>
        <v>0</v>
      </c>
      <c r="G34" s="263">
        <f>DE34+'User Input - Correlations'!G34</f>
        <v>0</v>
      </c>
      <c r="H34" s="263">
        <f>DF34+'User Input - Correlations'!H34</f>
        <v>0</v>
      </c>
      <c r="I34" s="263">
        <f>DG34+'User Input - Correlations'!I34</f>
        <v>0</v>
      </c>
      <c r="J34" s="263">
        <f>DH34+'User Input - Correlations'!J34</f>
        <v>0</v>
      </c>
      <c r="K34" s="263">
        <f>DI34+'User Input - Correlations'!K34</f>
        <v>0</v>
      </c>
      <c r="L34" s="263">
        <f>DJ34+'User Input - Correlations'!L34</f>
        <v>0</v>
      </c>
      <c r="M34" s="263">
        <f>DK34+'User Input - Correlations'!M34</f>
        <v>0</v>
      </c>
      <c r="N34" s="263">
        <f>DL34+'User Input - Correlations'!N34</f>
        <v>0</v>
      </c>
      <c r="O34" s="263">
        <f>DM34+'User Input - Correlations'!O34</f>
        <v>0</v>
      </c>
      <c r="P34" s="263">
        <f>DN34+'User Input - Correlations'!P34</f>
        <v>0</v>
      </c>
      <c r="Q34" s="263">
        <f>DO34+'User Input - Correlations'!Q34</f>
        <v>0</v>
      </c>
      <c r="R34" s="263">
        <f>DP34+'User Input - Correlations'!R34</f>
        <v>0</v>
      </c>
      <c r="S34" s="263">
        <f>DQ34+'User Input - Correlations'!S34</f>
        <v>0</v>
      </c>
      <c r="T34" s="263">
        <f>DR34+'User Input - Correlations'!T34</f>
        <v>0</v>
      </c>
      <c r="U34" s="263">
        <f>DS34+'User Input - Correlations'!U34</f>
        <v>0</v>
      </c>
      <c r="V34" s="263">
        <f>DT34+'User Input - Correlations'!V34</f>
        <v>0</v>
      </c>
      <c r="W34" s="263">
        <f>DU34+'User Input - Correlations'!W34</f>
        <v>0</v>
      </c>
      <c r="X34" s="263">
        <f>DV34+'User Input - Correlations'!X34</f>
        <v>0</v>
      </c>
      <c r="Y34" s="263">
        <f>DW34+'User Input - Correlations'!Y34</f>
        <v>0</v>
      </c>
      <c r="Z34" s="263">
        <v>1</v>
      </c>
      <c r="AA34" s="263">
        <f>DY34+'User Input - Correlations'!AA34</f>
        <v>0</v>
      </c>
      <c r="AB34" s="263">
        <f>DZ34+'User Input - Correlations'!AB34</f>
        <v>0</v>
      </c>
      <c r="AC34" s="263">
        <f>EA34+'User Input - Correlations'!AC34</f>
        <v>0</v>
      </c>
      <c r="AD34" s="263">
        <f>EB34+'User Input - Correlations'!AD34</f>
        <v>0</v>
      </c>
      <c r="AE34" s="263">
        <f>EC34+'User Input - Correlations'!AE34</f>
        <v>0</v>
      </c>
      <c r="AF34" s="263">
        <f>ED34+'User Input - Correlations'!AF34</f>
        <v>0</v>
      </c>
      <c r="AG34" s="263">
        <f>EE34+'User Input - Correlations'!AG34</f>
        <v>0</v>
      </c>
      <c r="AH34" s="263">
        <f>EF34+'User Input - Correlations'!AH34</f>
        <v>0</v>
      </c>
      <c r="AI34" s="263">
        <f>EG34+'User Input - Correlations'!AI34</f>
        <v>0</v>
      </c>
      <c r="AJ34" s="263">
        <f>EH34+'User Input - Correlations'!AJ34</f>
        <v>0</v>
      </c>
      <c r="AK34" s="263">
        <f>EI34+'User Input - Correlations'!AK34</f>
        <v>0</v>
      </c>
      <c r="AL34" s="263">
        <f>EJ34+'User Input - Correlations'!AL34</f>
        <v>0</v>
      </c>
      <c r="AM34" s="263">
        <f>EK34+'User Input - Correlations'!AM34</f>
        <v>0</v>
      </c>
      <c r="AN34" s="263">
        <f>EL34+'User Input - Correlations'!AN34</f>
        <v>0</v>
      </c>
      <c r="AO34" s="263">
        <f>EM34+'User Input - Correlations'!AO34</f>
        <v>0</v>
      </c>
      <c r="AP34" s="263">
        <f>EN34+'User Input - Correlations'!AP34</f>
        <v>0</v>
      </c>
      <c r="AQ34" s="263">
        <f>EO34+'User Input - Correlations'!AQ34</f>
        <v>0</v>
      </c>
      <c r="AR34" s="263">
        <f>EP34+'User Input - Correlations'!AR34</f>
        <v>0</v>
      </c>
      <c r="AS34" s="263">
        <f>EQ34+'User Input - Correlations'!AS34</f>
        <v>0</v>
      </c>
      <c r="AT34" s="263">
        <f>ER34+'User Input - Correlations'!AT34</f>
        <v>0</v>
      </c>
      <c r="AU34" s="263">
        <f>ES34+'User Input - Correlations'!AU34</f>
        <v>0</v>
      </c>
      <c r="AV34" s="263">
        <f>ET34+'User Input - Correlations'!AV34</f>
        <v>0</v>
      </c>
      <c r="AW34" s="263">
        <f>EU34+'User Input - Correlations'!AW34</f>
        <v>0</v>
      </c>
      <c r="AX34" s="263">
        <f>EV34+'User Input - Correlations'!AX34</f>
        <v>0</v>
      </c>
      <c r="AY34" s="263">
        <f>EW34+'User Input - Correlations'!AY34</f>
        <v>0</v>
      </c>
      <c r="AZ34" s="263">
        <f>EX34+'User Input - Correlations'!AZ34</f>
        <v>0</v>
      </c>
      <c r="BA34" s="263">
        <f>EY34+'User Input - Correlations'!BA34</f>
        <v>0</v>
      </c>
      <c r="BB34" s="263">
        <f>EZ34+'User Input - Correlations'!BB34</f>
        <v>0</v>
      </c>
      <c r="BC34" s="263">
        <f>FA34+'User Input - Correlations'!BC34</f>
        <v>0</v>
      </c>
      <c r="BD34" s="263">
        <f>FB34+'User Input - Correlations'!BD34</f>
        <v>0</v>
      </c>
      <c r="BE34" s="263">
        <f>FC34+'User Input - Correlations'!BE34</f>
        <v>0</v>
      </c>
      <c r="BF34" s="263">
        <f>FD34+'User Input - Correlations'!BF34</f>
        <v>0</v>
      </c>
      <c r="BG34" s="263">
        <f>FE34+'User Input - Correlations'!BG34</f>
        <v>0</v>
      </c>
      <c r="BH34" s="263">
        <f>FF34+'User Input - Correlations'!BH34</f>
        <v>0</v>
      </c>
      <c r="BI34" s="263">
        <f>FG34+'User Input - Correlations'!BI34</f>
        <v>0</v>
      </c>
      <c r="BJ34" s="263">
        <f>FH34+'User Input - Correlations'!BJ34</f>
        <v>0</v>
      </c>
      <c r="BK34" s="263">
        <f>FI34+'User Input - Correlations'!BK34</f>
        <v>0</v>
      </c>
      <c r="BL34" s="263">
        <f>FJ34+'User Input - Correlations'!BL34</f>
        <v>0</v>
      </c>
      <c r="BM34" s="263">
        <f>FK34+'User Input - Correlations'!BM34</f>
        <v>0</v>
      </c>
      <c r="BN34" s="263">
        <f>FL34+'User Input - Correlations'!BN34</f>
        <v>0</v>
      </c>
      <c r="BO34" s="263">
        <f>FM34+'User Input - Correlations'!BO34</f>
        <v>0</v>
      </c>
      <c r="BP34" s="263">
        <f>FN34+'User Input - Correlations'!BP34</f>
        <v>0</v>
      </c>
      <c r="BQ34" s="263">
        <f>FO34+'User Input - Correlations'!BQ34</f>
        <v>0</v>
      </c>
      <c r="BR34" s="263">
        <f>FP34+'User Input - Correlations'!BR34</f>
        <v>0</v>
      </c>
      <c r="BS34" s="263">
        <f>FQ34+'User Input - Correlations'!BS34</f>
        <v>0</v>
      </c>
      <c r="BT34" s="263">
        <f>FR34+'User Input - Correlations'!BT34</f>
        <v>0</v>
      </c>
      <c r="BU34" s="263">
        <f>FS34+'User Input - Correlations'!BU34</f>
        <v>0</v>
      </c>
      <c r="BV34" s="263">
        <f>FT34+'User Input - Correlations'!BV34</f>
        <v>0</v>
      </c>
      <c r="BW34" s="263">
        <f>FU34+'User Input - Correlations'!BW34</f>
        <v>0</v>
      </c>
      <c r="BX34" s="263">
        <f>FV34+'User Input - Correlations'!BX34</f>
        <v>0</v>
      </c>
      <c r="BY34" s="263">
        <f>FW34+'User Input - Correlations'!BY34</f>
        <v>0</v>
      </c>
      <c r="BZ34" s="263">
        <f>FX34+'User Input - Correlations'!BZ34</f>
        <v>0</v>
      </c>
      <c r="CA34" s="263">
        <f>FY34+'User Input - Correlations'!CA34</f>
        <v>0</v>
      </c>
      <c r="CB34" s="263">
        <f>FZ34+'User Input - Correlations'!CB34</f>
        <v>0</v>
      </c>
      <c r="CC34" s="263">
        <f>GA34+'User Input - Correlations'!CC34</f>
        <v>0</v>
      </c>
      <c r="CD34" s="263">
        <f>GB34+'User Input - Correlations'!CD34</f>
        <v>0</v>
      </c>
      <c r="CE34" s="263">
        <f>GC34+'User Input - Correlations'!CE34</f>
        <v>0</v>
      </c>
      <c r="CF34" s="263">
        <f>GD34+'User Input - Correlations'!CF34</f>
        <v>0</v>
      </c>
      <c r="CG34" s="263">
        <f>GE34+'User Input - Correlations'!CG34</f>
        <v>0</v>
      </c>
      <c r="CH34" s="263">
        <f>GF34+'User Input - Correlations'!CH34</f>
        <v>0</v>
      </c>
      <c r="CI34" s="263">
        <f>GG34+'User Input - Correlations'!CI34</f>
        <v>0</v>
      </c>
      <c r="CJ34" s="263">
        <f>GH34+'User Input - Correlations'!CJ34</f>
        <v>0</v>
      </c>
      <c r="CK34" s="263">
        <f>GI34+'User Input - Correlations'!CK34</f>
        <v>0</v>
      </c>
      <c r="CL34" s="263">
        <f>GJ34+'User Input - Correlations'!CL34</f>
        <v>0</v>
      </c>
      <c r="CM34" s="263">
        <f>GK34+'User Input - Correlations'!CM34</f>
        <v>0</v>
      </c>
      <c r="CN34" s="263">
        <f>GL34+'User Input - Correlations'!CN34</f>
        <v>0</v>
      </c>
      <c r="CO34" s="263">
        <f>GM34+'User Input - Correlations'!CO34</f>
        <v>0</v>
      </c>
      <c r="CP34" s="264">
        <f>GN34+'User Input - Correlations'!CP34</f>
        <v>0</v>
      </c>
      <c r="CQ34" s="281">
        <f ca="1">MDETERM(OFFSET($C$11,0,0,ROWS($CQ$11:$CQ34),ROWS($CQ$11:$CQ34)))</f>
        <v>1</v>
      </c>
      <c r="DA34" s="263">
        <v>0</v>
      </c>
      <c r="DB34" s="263">
        <v>0</v>
      </c>
      <c r="DC34" s="263">
        <v>0</v>
      </c>
      <c r="DD34" s="263">
        <v>0</v>
      </c>
      <c r="DE34" s="263">
        <v>0</v>
      </c>
      <c r="DF34" s="263">
        <v>0</v>
      </c>
      <c r="DG34" s="263">
        <v>0</v>
      </c>
      <c r="DH34" s="263">
        <v>0</v>
      </c>
      <c r="DI34" s="263">
        <v>0</v>
      </c>
      <c r="DJ34" s="263">
        <v>0</v>
      </c>
      <c r="DK34" s="263">
        <v>0</v>
      </c>
      <c r="DL34" s="263">
        <v>0</v>
      </c>
      <c r="DM34" s="263">
        <v>0</v>
      </c>
      <c r="DN34" s="263">
        <v>0</v>
      </c>
      <c r="DO34" s="263">
        <v>0</v>
      </c>
      <c r="DP34" s="263">
        <v>0</v>
      </c>
      <c r="DQ34" s="263">
        <v>0</v>
      </c>
      <c r="DR34" s="263">
        <v>0</v>
      </c>
      <c r="DS34" s="263">
        <v>0</v>
      </c>
      <c r="DT34" s="263">
        <v>0</v>
      </c>
      <c r="DU34" s="263">
        <v>0</v>
      </c>
      <c r="DV34" s="263">
        <v>0</v>
      </c>
      <c r="DW34" s="263">
        <v>0</v>
      </c>
      <c r="DX34" s="263">
        <v>1</v>
      </c>
      <c r="DY34" s="263">
        <v>0</v>
      </c>
      <c r="DZ34" s="263">
        <v>0</v>
      </c>
      <c r="EA34" s="263">
        <v>0</v>
      </c>
      <c r="EB34" s="263">
        <v>0</v>
      </c>
      <c r="EC34" s="263">
        <v>0</v>
      </c>
      <c r="ED34" s="263">
        <v>0</v>
      </c>
      <c r="EE34" s="263">
        <v>0</v>
      </c>
      <c r="EF34" s="263">
        <v>0</v>
      </c>
      <c r="EG34" s="263">
        <v>0</v>
      </c>
      <c r="EH34" s="263">
        <v>0</v>
      </c>
      <c r="EI34" s="263">
        <v>0</v>
      </c>
      <c r="EJ34" s="263">
        <v>0</v>
      </c>
      <c r="EK34" s="263">
        <v>0</v>
      </c>
      <c r="EL34" s="263">
        <v>0</v>
      </c>
      <c r="EM34" s="263">
        <v>0</v>
      </c>
      <c r="EN34" s="263">
        <v>0</v>
      </c>
      <c r="EO34" s="263">
        <v>0</v>
      </c>
      <c r="EP34" s="263">
        <v>0</v>
      </c>
      <c r="EQ34" s="263">
        <v>0</v>
      </c>
      <c r="ER34" s="263">
        <v>0</v>
      </c>
      <c r="ES34" s="263">
        <v>0</v>
      </c>
      <c r="ET34" s="263">
        <v>0</v>
      </c>
      <c r="EU34" s="263">
        <v>0</v>
      </c>
      <c r="EV34" s="263">
        <v>0</v>
      </c>
      <c r="EW34" s="263">
        <v>0</v>
      </c>
      <c r="EX34" s="263">
        <v>0</v>
      </c>
      <c r="EY34" s="263">
        <v>0</v>
      </c>
      <c r="EZ34" s="263">
        <v>0</v>
      </c>
      <c r="FA34" s="263">
        <v>0</v>
      </c>
      <c r="FB34" s="263">
        <v>0</v>
      </c>
      <c r="FC34" s="263">
        <v>0</v>
      </c>
      <c r="FD34" s="263">
        <v>0</v>
      </c>
      <c r="FE34" s="263">
        <v>0</v>
      </c>
      <c r="FF34" s="263">
        <v>0</v>
      </c>
      <c r="FG34" s="263">
        <v>0</v>
      </c>
      <c r="FH34" s="263">
        <v>0</v>
      </c>
      <c r="FI34" s="263">
        <v>0</v>
      </c>
      <c r="FJ34" s="263">
        <v>0</v>
      </c>
      <c r="FK34" s="263">
        <v>0</v>
      </c>
      <c r="FL34" s="263">
        <v>0</v>
      </c>
      <c r="FM34" s="263">
        <v>0</v>
      </c>
      <c r="FN34" s="263">
        <v>0</v>
      </c>
      <c r="FO34" s="263">
        <v>0</v>
      </c>
      <c r="FP34" s="263">
        <v>0</v>
      </c>
      <c r="FQ34" s="263">
        <v>0</v>
      </c>
      <c r="FR34" s="263">
        <v>0</v>
      </c>
      <c r="FS34" s="263">
        <v>0</v>
      </c>
      <c r="FT34" s="263">
        <v>0</v>
      </c>
      <c r="FU34" s="263">
        <v>0</v>
      </c>
      <c r="FV34" s="263">
        <v>0</v>
      </c>
      <c r="FW34" s="263">
        <v>0</v>
      </c>
      <c r="FX34" s="263">
        <v>0</v>
      </c>
      <c r="FY34" s="263">
        <v>0</v>
      </c>
      <c r="FZ34" s="263">
        <v>0</v>
      </c>
      <c r="GA34" s="263">
        <v>0</v>
      </c>
      <c r="GB34" s="263">
        <v>0</v>
      </c>
      <c r="GC34" s="263">
        <v>0</v>
      </c>
      <c r="GD34" s="263">
        <v>0</v>
      </c>
      <c r="GE34" s="263">
        <v>0</v>
      </c>
      <c r="GF34" s="263">
        <v>0</v>
      </c>
      <c r="GG34" s="263">
        <v>0</v>
      </c>
      <c r="GH34" s="263">
        <v>0</v>
      </c>
      <c r="GI34" s="263">
        <v>0</v>
      </c>
      <c r="GJ34" s="263">
        <v>0</v>
      </c>
      <c r="GK34" s="263">
        <v>0</v>
      </c>
      <c r="GL34" s="263">
        <v>0</v>
      </c>
      <c r="GM34" s="263">
        <v>0</v>
      </c>
      <c r="GN34" s="263">
        <v>0</v>
      </c>
    </row>
    <row r="35" ht="12.75" customHeight="1">
      <c r="A35" s="285" t="s">
        <v>176</v>
      </c>
      <c r="B35" s="285" t="s">
        <v>185</v>
      </c>
      <c r="C35" s="263">
        <f>DA35+'User Input - Correlations'!C35</f>
        <v>0</v>
      </c>
      <c r="D35" s="263">
        <f>DB35+'User Input - Correlations'!D35</f>
        <v>0</v>
      </c>
      <c r="E35" s="263">
        <f>DC35+'User Input - Correlations'!E35</f>
        <v>0</v>
      </c>
      <c r="F35" s="263">
        <f>DD35+'User Input - Correlations'!F35</f>
        <v>0</v>
      </c>
      <c r="G35" s="263">
        <f>DE35+'User Input - Correlations'!G35</f>
        <v>0</v>
      </c>
      <c r="H35" s="263">
        <f>DF35+'User Input - Correlations'!H35</f>
        <v>0</v>
      </c>
      <c r="I35" s="263">
        <f>DG35+'User Input - Correlations'!I35</f>
        <v>0</v>
      </c>
      <c r="J35" s="263">
        <f>DH35+'User Input - Correlations'!J35</f>
        <v>0</v>
      </c>
      <c r="K35" s="263">
        <f>DI35+'User Input - Correlations'!K35</f>
        <v>0</v>
      </c>
      <c r="L35" s="263">
        <f>DJ35+'User Input - Correlations'!L35</f>
        <v>0</v>
      </c>
      <c r="M35" s="263">
        <f>DK35+'User Input - Correlations'!M35</f>
        <v>0</v>
      </c>
      <c r="N35" s="263">
        <f>DL35+'User Input - Correlations'!N35</f>
        <v>0</v>
      </c>
      <c r="O35" s="263">
        <f>DM35+'User Input - Correlations'!O35</f>
        <v>0</v>
      </c>
      <c r="P35" s="263">
        <f>DN35+'User Input - Correlations'!P35</f>
        <v>0</v>
      </c>
      <c r="Q35" s="263">
        <f>DO35+'User Input - Correlations'!Q35</f>
        <v>0</v>
      </c>
      <c r="R35" s="263">
        <f>DP35+'User Input - Correlations'!R35</f>
        <v>0</v>
      </c>
      <c r="S35" s="263">
        <f>DQ35+'User Input - Correlations'!S35</f>
        <v>0</v>
      </c>
      <c r="T35" s="263">
        <f>DR35+'User Input - Correlations'!T35</f>
        <v>0</v>
      </c>
      <c r="U35" s="263">
        <f>DS35+'User Input - Correlations'!U35</f>
        <v>0</v>
      </c>
      <c r="V35" s="263">
        <f>DT35+'User Input - Correlations'!V35</f>
        <v>0</v>
      </c>
      <c r="W35" s="263">
        <f>DU35+'User Input - Correlations'!W35</f>
        <v>0</v>
      </c>
      <c r="X35" s="263">
        <f>DV35+'User Input - Correlations'!X35</f>
        <v>0</v>
      </c>
      <c r="Y35" s="263">
        <f>DW35+'User Input - Correlations'!Y35</f>
        <v>0</v>
      </c>
      <c r="Z35" s="263">
        <f>DX35+'User Input - Correlations'!Z35</f>
        <v>0</v>
      </c>
      <c r="AA35" s="263">
        <v>1</v>
      </c>
      <c r="AB35" s="263">
        <f>DZ35+'User Input - Correlations'!AB35</f>
        <v>0</v>
      </c>
      <c r="AC35" s="263">
        <f>EA35+'User Input - Correlations'!AC35</f>
        <v>0</v>
      </c>
      <c r="AD35" s="263">
        <f>EB35+'User Input - Correlations'!AD35</f>
        <v>0</v>
      </c>
      <c r="AE35" s="263">
        <f>EC35+'User Input - Correlations'!AE35</f>
        <v>0</v>
      </c>
      <c r="AF35" s="263">
        <f>ED35+'User Input - Correlations'!AF35</f>
        <v>0</v>
      </c>
      <c r="AG35" s="263">
        <f>EE35+'User Input - Correlations'!AG35</f>
        <v>0</v>
      </c>
      <c r="AH35" s="263">
        <f>EF35+'User Input - Correlations'!AH35</f>
        <v>0</v>
      </c>
      <c r="AI35" s="263">
        <f>EG35+'User Input - Correlations'!AI35</f>
        <v>0</v>
      </c>
      <c r="AJ35" s="263">
        <f>EH35+'User Input - Correlations'!AJ35</f>
        <v>0</v>
      </c>
      <c r="AK35" s="263">
        <f>EI35+'User Input - Correlations'!AK35</f>
        <v>0</v>
      </c>
      <c r="AL35" s="263">
        <f>EJ35+'User Input - Correlations'!AL35</f>
        <v>0</v>
      </c>
      <c r="AM35" s="263">
        <f>EK35+'User Input - Correlations'!AM35</f>
        <v>0</v>
      </c>
      <c r="AN35" s="263">
        <f>EL35+'User Input - Correlations'!AN35</f>
        <v>0</v>
      </c>
      <c r="AO35" s="263">
        <f>EM35+'User Input - Correlations'!AO35</f>
        <v>0</v>
      </c>
      <c r="AP35" s="263">
        <f>EN35+'User Input - Correlations'!AP35</f>
        <v>0</v>
      </c>
      <c r="AQ35" s="263">
        <f>EO35+'User Input - Correlations'!AQ35</f>
        <v>0</v>
      </c>
      <c r="AR35" s="263">
        <f>EP35+'User Input - Correlations'!AR35</f>
        <v>0</v>
      </c>
      <c r="AS35" s="263">
        <f>EQ35+'User Input - Correlations'!AS35</f>
        <v>0</v>
      </c>
      <c r="AT35" s="263">
        <f>ER35+'User Input - Correlations'!AT35</f>
        <v>0</v>
      </c>
      <c r="AU35" s="263">
        <f>ES35+'User Input - Correlations'!AU35</f>
        <v>0</v>
      </c>
      <c r="AV35" s="263">
        <f>ET35+'User Input - Correlations'!AV35</f>
        <v>0</v>
      </c>
      <c r="AW35" s="263">
        <f>EU35+'User Input - Correlations'!AW35</f>
        <v>0</v>
      </c>
      <c r="AX35" s="263">
        <f>EV35+'User Input - Correlations'!AX35</f>
        <v>0</v>
      </c>
      <c r="AY35" s="263">
        <f>EW35+'User Input - Correlations'!AY35</f>
        <v>0</v>
      </c>
      <c r="AZ35" s="263">
        <f>EX35+'User Input - Correlations'!AZ35</f>
        <v>0</v>
      </c>
      <c r="BA35" s="263">
        <f>EY35+'User Input - Correlations'!BA35</f>
        <v>0</v>
      </c>
      <c r="BB35" s="263">
        <f>EZ35+'User Input - Correlations'!BB35</f>
        <v>0</v>
      </c>
      <c r="BC35" s="263">
        <f>FA35+'User Input - Correlations'!BC35</f>
        <v>0</v>
      </c>
      <c r="BD35" s="263">
        <f>FB35+'User Input - Correlations'!BD35</f>
        <v>0</v>
      </c>
      <c r="BE35" s="263">
        <f>FC35+'User Input - Correlations'!BE35</f>
        <v>0</v>
      </c>
      <c r="BF35" s="263">
        <f>FD35+'User Input - Correlations'!BF35</f>
        <v>0</v>
      </c>
      <c r="BG35" s="263">
        <f>FE35+'User Input - Correlations'!BG35</f>
        <v>0</v>
      </c>
      <c r="BH35" s="263">
        <f>FF35+'User Input - Correlations'!BH35</f>
        <v>0</v>
      </c>
      <c r="BI35" s="263">
        <f>FG35+'User Input - Correlations'!BI35</f>
        <v>0</v>
      </c>
      <c r="BJ35" s="263">
        <f>FH35+'User Input - Correlations'!BJ35</f>
        <v>0</v>
      </c>
      <c r="BK35" s="263">
        <f>FI35+'User Input - Correlations'!BK35</f>
        <v>0</v>
      </c>
      <c r="BL35" s="263">
        <f>FJ35+'User Input - Correlations'!BL35</f>
        <v>0</v>
      </c>
      <c r="BM35" s="263">
        <f>FK35+'User Input - Correlations'!BM35</f>
        <v>0</v>
      </c>
      <c r="BN35" s="263">
        <f>FL35+'User Input - Correlations'!BN35</f>
        <v>0</v>
      </c>
      <c r="BO35" s="263">
        <f>FM35+'User Input - Correlations'!BO35</f>
        <v>0</v>
      </c>
      <c r="BP35" s="263">
        <f>FN35+'User Input - Correlations'!BP35</f>
        <v>0</v>
      </c>
      <c r="BQ35" s="263">
        <f>FO35+'User Input - Correlations'!BQ35</f>
        <v>0</v>
      </c>
      <c r="BR35" s="263">
        <f>FP35+'User Input - Correlations'!BR35</f>
        <v>0</v>
      </c>
      <c r="BS35" s="263">
        <f>FQ35+'User Input - Correlations'!BS35</f>
        <v>0</v>
      </c>
      <c r="BT35" s="263">
        <f>FR35+'User Input - Correlations'!BT35</f>
        <v>0</v>
      </c>
      <c r="BU35" s="263">
        <f>FS35+'User Input - Correlations'!BU35</f>
        <v>0</v>
      </c>
      <c r="BV35" s="263">
        <f>FT35+'User Input - Correlations'!BV35</f>
        <v>0</v>
      </c>
      <c r="BW35" s="263">
        <f>FU35+'User Input - Correlations'!BW35</f>
        <v>0</v>
      </c>
      <c r="BX35" s="263">
        <f>FV35+'User Input - Correlations'!BX35</f>
        <v>0</v>
      </c>
      <c r="BY35" s="263">
        <f>FW35+'User Input - Correlations'!BY35</f>
        <v>0</v>
      </c>
      <c r="BZ35" s="263">
        <f>FX35+'User Input - Correlations'!BZ35</f>
        <v>0</v>
      </c>
      <c r="CA35" s="263">
        <f>FY35+'User Input - Correlations'!CA35</f>
        <v>0</v>
      </c>
      <c r="CB35" s="263">
        <f>FZ35+'User Input - Correlations'!CB35</f>
        <v>0</v>
      </c>
      <c r="CC35" s="263">
        <f>GA35+'User Input - Correlations'!CC35</f>
        <v>0</v>
      </c>
      <c r="CD35" s="263">
        <f>GB35+'User Input - Correlations'!CD35</f>
        <v>0</v>
      </c>
      <c r="CE35" s="263">
        <f>GC35+'User Input - Correlations'!CE35</f>
        <v>0</v>
      </c>
      <c r="CF35" s="263">
        <f>GD35+'User Input - Correlations'!CF35</f>
        <v>0</v>
      </c>
      <c r="CG35" s="263">
        <f>GE35+'User Input - Correlations'!CG35</f>
        <v>0</v>
      </c>
      <c r="CH35" s="263">
        <f>GF35+'User Input - Correlations'!CH35</f>
        <v>0</v>
      </c>
      <c r="CI35" s="263">
        <f>GG35+'User Input - Correlations'!CI35</f>
        <v>0</v>
      </c>
      <c r="CJ35" s="263">
        <f>GH35+'User Input - Correlations'!CJ35</f>
        <v>0</v>
      </c>
      <c r="CK35" s="263">
        <f>GI35+'User Input - Correlations'!CK35</f>
        <v>0</v>
      </c>
      <c r="CL35" s="263">
        <f>GJ35+'User Input - Correlations'!CL35</f>
        <v>0</v>
      </c>
      <c r="CM35" s="263">
        <f>GK35+'User Input - Correlations'!CM35</f>
        <v>0</v>
      </c>
      <c r="CN35" s="263">
        <f>GL35+'User Input - Correlations'!CN35</f>
        <v>0</v>
      </c>
      <c r="CO35" s="263">
        <f>GM35+'User Input - Correlations'!CO35</f>
        <v>0</v>
      </c>
      <c r="CP35" s="264">
        <f>GN35+'User Input - Correlations'!CP35</f>
        <v>0</v>
      </c>
      <c r="CQ35" s="281">
        <f ca="1">MDETERM(OFFSET($C$11,0,0,ROWS($CQ$11:$CQ35),ROWS($CQ$11:$CQ35)))</f>
        <v>1</v>
      </c>
      <c r="DA35" s="263">
        <v>0</v>
      </c>
      <c r="DB35" s="263">
        <v>0</v>
      </c>
      <c r="DC35" s="263">
        <v>0</v>
      </c>
      <c r="DD35" s="263">
        <v>0</v>
      </c>
      <c r="DE35" s="263">
        <v>0</v>
      </c>
      <c r="DF35" s="263">
        <v>0</v>
      </c>
      <c r="DG35" s="263">
        <v>0</v>
      </c>
      <c r="DH35" s="263">
        <v>0</v>
      </c>
      <c r="DI35" s="263">
        <v>0</v>
      </c>
      <c r="DJ35" s="263">
        <v>0</v>
      </c>
      <c r="DK35" s="263">
        <v>0</v>
      </c>
      <c r="DL35" s="263">
        <v>0</v>
      </c>
      <c r="DM35" s="263">
        <v>0</v>
      </c>
      <c r="DN35" s="263">
        <v>0</v>
      </c>
      <c r="DO35" s="263">
        <v>0</v>
      </c>
      <c r="DP35" s="263">
        <v>0</v>
      </c>
      <c r="DQ35" s="263">
        <v>0</v>
      </c>
      <c r="DR35" s="263">
        <v>0</v>
      </c>
      <c r="DS35" s="263">
        <v>0</v>
      </c>
      <c r="DT35" s="263">
        <v>0</v>
      </c>
      <c r="DU35" s="263">
        <v>0</v>
      </c>
      <c r="DV35" s="263">
        <v>0</v>
      </c>
      <c r="DW35" s="263">
        <v>0</v>
      </c>
      <c r="DX35" s="263">
        <v>0</v>
      </c>
      <c r="DY35" s="263">
        <v>1</v>
      </c>
      <c r="DZ35" s="263">
        <v>0</v>
      </c>
      <c r="EA35" s="263">
        <v>0</v>
      </c>
      <c r="EB35" s="263">
        <v>0</v>
      </c>
      <c r="EC35" s="263">
        <v>0</v>
      </c>
      <c r="ED35" s="263">
        <v>0</v>
      </c>
      <c r="EE35" s="263">
        <v>0</v>
      </c>
      <c r="EF35" s="263">
        <v>0</v>
      </c>
      <c r="EG35" s="263">
        <v>0</v>
      </c>
      <c r="EH35" s="263">
        <v>0</v>
      </c>
      <c r="EI35" s="263">
        <v>0</v>
      </c>
      <c r="EJ35" s="263">
        <v>0</v>
      </c>
      <c r="EK35" s="263">
        <v>0</v>
      </c>
      <c r="EL35" s="263">
        <v>0</v>
      </c>
      <c r="EM35" s="263">
        <v>0</v>
      </c>
      <c r="EN35" s="263">
        <v>0</v>
      </c>
      <c r="EO35" s="263">
        <v>0</v>
      </c>
      <c r="EP35" s="263">
        <v>0</v>
      </c>
      <c r="EQ35" s="263">
        <v>0</v>
      </c>
      <c r="ER35" s="263">
        <v>0</v>
      </c>
      <c r="ES35" s="263">
        <v>0</v>
      </c>
      <c r="ET35" s="263">
        <v>0</v>
      </c>
      <c r="EU35" s="263">
        <v>0</v>
      </c>
      <c r="EV35" s="263">
        <v>0</v>
      </c>
      <c r="EW35" s="263">
        <v>0</v>
      </c>
      <c r="EX35" s="263">
        <v>0</v>
      </c>
      <c r="EY35" s="263">
        <v>0</v>
      </c>
      <c r="EZ35" s="263">
        <v>0</v>
      </c>
      <c r="FA35" s="263">
        <v>0</v>
      </c>
      <c r="FB35" s="263">
        <v>0</v>
      </c>
      <c r="FC35" s="263">
        <v>0</v>
      </c>
      <c r="FD35" s="263">
        <v>0</v>
      </c>
      <c r="FE35" s="263">
        <v>0</v>
      </c>
      <c r="FF35" s="263">
        <v>0</v>
      </c>
      <c r="FG35" s="263">
        <v>0</v>
      </c>
      <c r="FH35" s="263">
        <v>0</v>
      </c>
      <c r="FI35" s="263">
        <v>0</v>
      </c>
      <c r="FJ35" s="263">
        <v>0</v>
      </c>
      <c r="FK35" s="263">
        <v>0</v>
      </c>
      <c r="FL35" s="263">
        <v>0</v>
      </c>
      <c r="FM35" s="263">
        <v>0</v>
      </c>
      <c r="FN35" s="263">
        <v>0</v>
      </c>
      <c r="FO35" s="263">
        <v>0</v>
      </c>
      <c r="FP35" s="263">
        <v>0</v>
      </c>
      <c r="FQ35" s="263">
        <v>0</v>
      </c>
      <c r="FR35" s="263">
        <v>0</v>
      </c>
      <c r="FS35" s="263">
        <v>0</v>
      </c>
      <c r="FT35" s="263">
        <v>0</v>
      </c>
      <c r="FU35" s="263">
        <v>0</v>
      </c>
      <c r="FV35" s="263">
        <v>0</v>
      </c>
      <c r="FW35" s="263">
        <v>0</v>
      </c>
      <c r="FX35" s="263">
        <v>0</v>
      </c>
      <c r="FY35" s="263">
        <v>0</v>
      </c>
      <c r="FZ35" s="263">
        <v>0</v>
      </c>
      <c r="GA35" s="263">
        <v>0</v>
      </c>
      <c r="GB35" s="263">
        <v>0</v>
      </c>
      <c r="GC35" s="263">
        <v>0</v>
      </c>
      <c r="GD35" s="263">
        <v>0</v>
      </c>
      <c r="GE35" s="263">
        <v>0</v>
      </c>
      <c r="GF35" s="263">
        <v>0</v>
      </c>
      <c r="GG35" s="263">
        <v>0</v>
      </c>
      <c r="GH35" s="263">
        <v>0</v>
      </c>
      <c r="GI35" s="263">
        <v>0</v>
      </c>
      <c r="GJ35" s="263">
        <v>0</v>
      </c>
      <c r="GK35" s="263">
        <v>0</v>
      </c>
      <c r="GL35" s="263">
        <v>0</v>
      </c>
      <c r="GM35" s="263">
        <v>0</v>
      </c>
      <c r="GN35" s="263">
        <v>0</v>
      </c>
    </row>
    <row r="36" ht="12.75" customHeight="1">
      <c r="A36" s="285" t="s">
        <v>177</v>
      </c>
      <c r="B36" s="285" t="s">
        <v>185</v>
      </c>
      <c r="C36" s="263">
        <f>DA36+'User Input - Correlations'!C36</f>
        <v>0</v>
      </c>
      <c r="D36" s="263">
        <f>DB36+'User Input - Correlations'!D36</f>
        <v>0</v>
      </c>
      <c r="E36" s="263">
        <f>DC36+'User Input - Correlations'!E36</f>
        <v>0</v>
      </c>
      <c r="F36" s="263">
        <f>DD36+'User Input - Correlations'!F36</f>
        <v>0</v>
      </c>
      <c r="G36" s="263">
        <f>DE36+'User Input - Correlations'!G36</f>
        <v>0</v>
      </c>
      <c r="H36" s="263">
        <f>DF36+'User Input - Correlations'!H36</f>
        <v>0</v>
      </c>
      <c r="I36" s="263">
        <f>DG36+'User Input - Correlations'!I36</f>
        <v>0</v>
      </c>
      <c r="J36" s="263">
        <f>DH36+'User Input - Correlations'!J36</f>
        <v>0</v>
      </c>
      <c r="K36" s="263">
        <f>DI36+'User Input - Correlations'!K36</f>
        <v>0</v>
      </c>
      <c r="L36" s="263">
        <f>DJ36+'User Input - Correlations'!L36</f>
        <v>0</v>
      </c>
      <c r="M36" s="263">
        <f>DK36+'User Input - Correlations'!M36</f>
        <v>0</v>
      </c>
      <c r="N36" s="263">
        <f>DL36+'User Input - Correlations'!N36</f>
        <v>0</v>
      </c>
      <c r="O36" s="263">
        <f>DM36+'User Input - Correlations'!O36</f>
        <v>0</v>
      </c>
      <c r="P36" s="263">
        <f>DN36+'User Input - Correlations'!P36</f>
        <v>0</v>
      </c>
      <c r="Q36" s="263">
        <f>DO36+'User Input - Correlations'!Q36</f>
        <v>0</v>
      </c>
      <c r="R36" s="263">
        <f>DP36+'User Input - Correlations'!R36</f>
        <v>0</v>
      </c>
      <c r="S36" s="263">
        <f>DQ36+'User Input - Correlations'!S36</f>
        <v>0</v>
      </c>
      <c r="T36" s="263">
        <f>DR36+'User Input - Correlations'!T36</f>
        <v>0</v>
      </c>
      <c r="U36" s="263">
        <f>DS36+'User Input - Correlations'!U36</f>
        <v>0</v>
      </c>
      <c r="V36" s="263">
        <f>DT36+'User Input - Correlations'!V36</f>
        <v>0</v>
      </c>
      <c r="W36" s="263">
        <f>DU36+'User Input - Correlations'!W36</f>
        <v>0</v>
      </c>
      <c r="X36" s="263">
        <f>DV36+'User Input - Correlations'!X36</f>
        <v>0</v>
      </c>
      <c r="Y36" s="263">
        <f>DW36+'User Input - Correlations'!Y36</f>
        <v>0</v>
      </c>
      <c r="Z36" s="263">
        <f>DX36+'User Input - Correlations'!Z36</f>
        <v>0</v>
      </c>
      <c r="AA36" s="263">
        <f>DY36+'User Input - Correlations'!AA36</f>
        <v>0</v>
      </c>
      <c r="AB36" s="263">
        <v>1</v>
      </c>
      <c r="AC36" s="263">
        <f>EA36+'User Input - Correlations'!AC36</f>
        <v>0</v>
      </c>
      <c r="AD36" s="263">
        <f>EB36+'User Input - Correlations'!AD36</f>
        <v>0</v>
      </c>
      <c r="AE36" s="263">
        <f>EC36+'User Input - Correlations'!AE36</f>
        <v>0</v>
      </c>
      <c r="AF36" s="263">
        <f>ED36+'User Input - Correlations'!AF36</f>
        <v>0</v>
      </c>
      <c r="AG36" s="263">
        <f>EE36+'User Input - Correlations'!AG36</f>
        <v>0</v>
      </c>
      <c r="AH36" s="263">
        <f>EF36+'User Input - Correlations'!AH36</f>
        <v>0</v>
      </c>
      <c r="AI36" s="263">
        <f>EG36+'User Input - Correlations'!AI36</f>
        <v>0</v>
      </c>
      <c r="AJ36" s="263">
        <f>EH36+'User Input - Correlations'!AJ36</f>
        <v>0</v>
      </c>
      <c r="AK36" s="263">
        <f>EI36+'User Input - Correlations'!AK36</f>
        <v>0</v>
      </c>
      <c r="AL36" s="263">
        <f>EJ36+'User Input - Correlations'!AL36</f>
        <v>0</v>
      </c>
      <c r="AM36" s="263">
        <f>EK36+'User Input - Correlations'!AM36</f>
        <v>0</v>
      </c>
      <c r="AN36" s="263">
        <f>EL36+'User Input - Correlations'!AN36</f>
        <v>0</v>
      </c>
      <c r="AO36" s="263">
        <f>EM36+'User Input - Correlations'!AO36</f>
        <v>0</v>
      </c>
      <c r="AP36" s="263">
        <f>EN36+'User Input - Correlations'!AP36</f>
        <v>0</v>
      </c>
      <c r="AQ36" s="263">
        <f>EO36+'User Input - Correlations'!AQ36</f>
        <v>0</v>
      </c>
      <c r="AR36" s="263">
        <f>EP36+'User Input - Correlations'!AR36</f>
        <v>0</v>
      </c>
      <c r="AS36" s="263">
        <f>EQ36+'User Input - Correlations'!AS36</f>
        <v>0</v>
      </c>
      <c r="AT36" s="263">
        <f>ER36+'User Input - Correlations'!AT36</f>
        <v>0</v>
      </c>
      <c r="AU36" s="263">
        <f>ES36+'User Input - Correlations'!AU36</f>
        <v>0</v>
      </c>
      <c r="AV36" s="263">
        <f>ET36+'User Input - Correlations'!AV36</f>
        <v>0</v>
      </c>
      <c r="AW36" s="263">
        <f>EU36+'User Input - Correlations'!AW36</f>
        <v>0</v>
      </c>
      <c r="AX36" s="263">
        <f>EV36+'User Input - Correlations'!AX36</f>
        <v>0</v>
      </c>
      <c r="AY36" s="263">
        <f>EW36+'User Input - Correlations'!AY36</f>
        <v>0</v>
      </c>
      <c r="AZ36" s="263">
        <f>EX36+'User Input - Correlations'!AZ36</f>
        <v>0</v>
      </c>
      <c r="BA36" s="263">
        <f>EY36+'User Input - Correlations'!BA36</f>
        <v>0</v>
      </c>
      <c r="BB36" s="263">
        <f>EZ36+'User Input - Correlations'!BB36</f>
        <v>0</v>
      </c>
      <c r="BC36" s="263">
        <f>FA36+'User Input - Correlations'!BC36</f>
        <v>0</v>
      </c>
      <c r="BD36" s="263">
        <f>FB36+'User Input - Correlations'!BD36</f>
        <v>0</v>
      </c>
      <c r="BE36" s="263">
        <f>FC36+'User Input - Correlations'!BE36</f>
        <v>0</v>
      </c>
      <c r="BF36" s="263">
        <f>FD36+'User Input - Correlations'!BF36</f>
        <v>0</v>
      </c>
      <c r="BG36" s="263">
        <f>FE36+'User Input - Correlations'!BG36</f>
        <v>0</v>
      </c>
      <c r="BH36" s="263">
        <f>FF36+'User Input - Correlations'!BH36</f>
        <v>0</v>
      </c>
      <c r="BI36" s="263">
        <f>FG36+'User Input - Correlations'!BI36</f>
        <v>0</v>
      </c>
      <c r="BJ36" s="263">
        <f>FH36+'User Input - Correlations'!BJ36</f>
        <v>0</v>
      </c>
      <c r="BK36" s="263">
        <f>FI36+'User Input - Correlations'!BK36</f>
        <v>0</v>
      </c>
      <c r="BL36" s="263">
        <f>FJ36+'User Input - Correlations'!BL36</f>
        <v>0</v>
      </c>
      <c r="BM36" s="263">
        <f>FK36+'User Input - Correlations'!BM36</f>
        <v>0</v>
      </c>
      <c r="BN36" s="263">
        <f>FL36+'User Input - Correlations'!BN36</f>
        <v>0</v>
      </c>
      <c r="BO36" s="263">
        <f>FM36+'User Input - Correlations'!BO36</f>
        <v>0</v>
      </c>
      <c r="BP36" s="263">
        <f>FN36+'User Input - Correlations'!BP36</f>
        <v>0</v>
      </c>
      <c r="BQ36" s="263">
        <f>FO36+'User Input - Correlations'!BQ36</f>
        <v>0</v>
      </c>
      <c r="BR36" s="263">
        <f>FP36+'User Input - Correlations'!BR36</f>
        <v>0</v>
      </c>
      <c r="BS36" s="263">
        <f>FQ36+'User Input - Correlations'!BS36</f>
        <v>0</v>
      </c>
      <c r="BT36" s="263">
        <f>FR36+'User Input - Correlations'!BT36</f>
        <v>0</v>
      </c>
      <c r="BU36" s="263">
        <f>FS36+'User Input - Correlations'!BU36</f>
        <v>0</v>
      </c>
      <c r="BV36" s="263">
        <f>FT36+'User Input - Correlations'!BV36</f>
        <v>0</v>
      </c>
      <c r="BW36" s="263">
        <f>FU36+'User Input - Correlations'!BW36</f>
        <v>0</v>
      </c>
      <c r="BX36" s="263">
        <f>FV36+'User Input - Correlations'!BX36</f>
        <v>0</v>
      </c>
      <c r="BY36" s="263">
        <f>FW36+'User Input - Correlations'!BY36</f>
        <v>0</v>
      </c>
      <c r="BZ36" s="263">
        <f>FX36+'User Input - Correlations'!BZ36</f>
        <v>0</v>
      </c>
      <c r="CA36" s="263">
        <f>FY36+'User Input - Correlations'!CA36</f>
        <v>0</v>
      </c>
      <c r="CB36" s="263">
        <f>FZ36+'User Input - Correlations'!CB36</f>
        <v>0</v>
      </c>
      <c r="CC36" s="263">
        <f>GA36+'User Input - Correlations'!CC36</f>
        <v>0</v>
      </c>
      <c r="CD36" s="263">
        <f>GB36+'User Input - Correlations'!CD36</f>
        <v>0</v>
      </c>
      <c r="CE36" s="263">
        <f>GC36+'User Input - Correlations'!CE36</f>
        <v>0</v>
      </c>
      <c r="CF36" s="263">
        <f>GD36+'User Input - Correlations'!CF36</f>
        <v>0</v>
      </c>
      <c r="CG36" s="263">
        <f>GE36+'User Input - Correlations'!CG36</f>
        <v>0</v>
      </c>
      <c r="CH36" s="263">
        <f>GF36+'User Input - Correlations'!CH36</f>
        <v>0</v>
      </c>
      <c r="CI36" s="263">
        <f>GG36+'User Input - Correlations'!CI36</f>
        <v>0</v>
      </c>
      <c r="CJ36" s="263">
        <f>GH36+'User Input - Correlations'!CJ36</f>
        <v>0</v>
      </c>
      <c r="CK36" s="263">
        <f>GI36+'User Input - Correlations'!CK36</f>
        <v>0</v>
      </c>
      <c r="CL36" s="263">
        <f>GJ36+'User Input - Correlations'!CL36</f>
        <v>0</v>
      </c>
      <c r="CM36" s="263">
        <f>GK36+'User Input - Correlations'!CM36</f>
        <v>0</v>
      </c>
      <c r="CN36" s="263">
        <f>GL36+'User Input - Correlations'!CN36</f>
        <v>0</v>
      </c>
      <c r="CO36" s="263">
        <f>GM36+'User Input - Correlations'!CO36</f>
        <v>0</v>
      </c>
      <c r="CP36" s="264">
        <f>GN36+'User Input - Correlations'!CP36</f>
        <v>0</v>
      </c>
      <c r="CQ36" s="281">
        <f ca="1">MDETERM(OFFSET($C$11,0,0,ROWS($CQ$11:$CQ36),ROWS($CQ$11:$CQ36)))</f>
        <v>1</v>
      </c>
      <c r="DA36" s="263">
        <v>0</v>
      </c>
      <c r="DB36" s="263">
        <v>0</v>
      </c>
      <c r="DC36" s="263">
        <v>0</v>
      </c>
      <c r="DD36" s="263">
        <v>0</v>
      </c>
      <c r="DE36" s="263">
        <v>0</v>
      </c>
      <c r="DF36" s="263">
        <v>0</v>
      </c>
      <c r="DG36" s="263">
        <v>0</v>
      </c>
      <c r="DH36" s="263">
        <v>0</v>
      </c>
      <c r="DI36" s="263">
        <v>0</v>
      </c>
      <c r="DJ36" s="263">
        <v>0</v>
      </c>
      <c r="DK36" s="263">
        <v>0</v>
      </c>
      <c r="DL36" s="263">
        <v>0</v>
      </c>
      <c r="DM36" s="263">
        <v>0</v>
      </c>
      <c r="DN36" s="263">
        <v>0</v>
      </c>
      <c r="DO36" s="263">
        <v>0</v>
      </c>
      <c r="DP36" s="263">
        <v>0</v>
      </c>
      <c r="DQ36" s="263">
        <v>0</v>
      </c>
      <c r="DR36" s="263">
        <v>0</v>
      </c>
      <c r="DS36" s="263">
        <v>0</v>
      </c>
      <c r="DT36" s="263">
        <v>0</v>
      </c>
      <c r="DU36" s="263">
        <v>0</v>
      </c>
      <c r="DV36" s="263">
        <v>0</v>
      </c>
      <c r="DW36" s="263">
        <v>0</v>
      </c>
      <c r="DX36" s="263">
        <v>0</v>
      </c>
      <c r="DY36" s="263">
        <v>0</v>
      </c>
      <c r="DZ36" s="263">
        <v>1</v>
      </c>
      <c r="EA36" s="263">
        <v>0</v>
      </c>
      <c r="EB36" s="263">
        <v>0</v>
      </c>
      <c r="EC36" s="263">
        <v>0</v>
      </c>
      <c r="ED36" s="263">
        <v>0</v>
      </c>
      <c r="EE36" s="263">
        <v>0</v>
      </c>
      <c r="EF36" s="263">
        <v>0</v>
      </c>
      <c r="EG36" s="263">
        <v>0</v>
      </c>
      <c r="EH36" s="263">
        <v>0</v>
      </c>
      <c r="EI36" s="263">
        <v>0</v>
      </c>
      <c r="EJ36" s="263">
        <v>0</v>
      </c>
      <c r="EK36" s="263">
        <v>0</v>
      </c>
      <c r="EL36" s="263">
        <v>0</v>
      </c>
      <c r="EM36" s="263">
        <v>0</v>
      </c>
      <c r="EN36" s="263">
        <v>0</v>
      </c>
      <c r="EO36" s="263">
        <v>0</v>
      </c>
      <c r="EP36" s="263">
        <v>0</v>
      </c>
      <c r="EQ36" s="263">
        <v>0</v>
      </c>
      <c r="ER36" s="263">
        <v>0</v>
      </c>
      <c r="ES36" s="263">
        <v>0</v>
      </c>
      <c r="ET36" s="263">
        <v>0</v>
      </c>
      <c r="EU36" s="263">
        <v>0</v>
      </c>
      <c r="EV36" s="263">
        <v>0</v>
      </c>
      <c r="EW36" s="263">
        <v>0</v>
      </c>
      <c r="EX36" s="263">
        <v>0</v>
      </c>
      <c r="EY36" s="263">
        <v>0</v>
      </c>
      <c r="EZ36" s="263">
        <v>0</v>
      </c>
      <c r="FA36" s="263">
        <v>0</v>
      </c>
      <c r="FB36" s="263">
        <v>0</v>
      </c>
      <c r="FC36" s="263">
        <v>0</v>
      </c>
      <c r="FD36" s="263">
        <v>0</v>
      </c>
      <c r="FE36" s="263">
        <v>0</v>
      </c>
      <c r="FF36" s="263">
        <v>0</v>
      </c>
      <c r="FG36" s="263">
        <v>0</v>
      </c>
      <c r="FH36" s="263">
        <v>0</v>
      </c>
      <c r="FI36" s="263">
        <v>0</v>
      </c>
      <c r="FJ36" s="263">
        <v>0</v>
      </c>
      <c r="FK36" s="263">
        <v>0</v>
      </c>
      <c r="FL36" s="263">
        <v>0</v>
      </c>
      <c r="FM36" s="263">
        <v>0</v>
      </c>
      <c r="FN36" s="263">
        <v>0</v>
      </c>
      <c r="FO36" s="263">
        <v>0</v>
      </c>
      <c r="FP36" s="263">
        <v>0</v>
      </c>
      <c r="FQ36" s="263">
        <v>0</v>
      </c>
      <c r="FR36" s="263">
        <v>0</v>
      </c>
      <c r="FS36" s="263">
        <v>0</v>
      </c>
      <c r="FT36" s="263">
        <v>0</v>
      </c>
      <c r="FU36" s="263">
        <v>0</v>
      </c>
      <c r="FV36" s="263">
        <v>0</v>
      </c>
      <c r="FW36" s="263">
        <v>0</v>
      </c>
      <c r="FX36" s="263">
        <v>0</v>
      </c>
      <c r="FY36" s="263">
        <v>0</v>
      </c>
      <c r="FZ36" s="263">
        <v>0</v>
      </c>
      <c r="GA36" s="263">
        <v>0</v>
      </c>
      <c r="GB36" s="263">
        <v>0</v>
      </c>
      <c r="GC36" s="263">
        <v>0</v>
      </c>
      <c r="GD36" s="263">
        <v>0</v>
      </c>
      <c r="GE36" s="263">
        <v>0</v>
      </c>
      <c r="GF36" s="263">
        <v>0</v>
      </c>
      <c r="GG36" s="263">
        <v>0</v>
      </c>
      <c r="GH36" s="263">
        <v>0</v>
      </c>
      <c r="GI36" s="263">
        <v>0</v>
      </c>
      <c r="GJ36" s="263">
        <v>0</v>
      </c>
      <c r="GK36" s="263">
        <v>0</v>
      </c>
      <c r="GL36" s="263">
        <v>0</v>
      </c>
      <c r="GM36" s="263">
        <v>0</v>
      </c>
      <c r="GN36" s="263">
        <v>0</v>
      </c>
    </row>
    <row r="37" ht="12.75" customHeight="1">
      <c r="A37" s="285" t="s">
        <v>179</v>
      </c>
      <c r="B37" s="285" t="s">
        <v>185</v>
      </c>
      <c r="C37" s="263">
        <f>DA37+'User Input - Correlations'!C37</f>
        <v>0</v>
      </c>
      <c r="D37" s="263">
        <f>DB37+'User Input - Correlations'!D37</f>
        <v>0</v>
      </c>
      <c r="E37" s="263">
        <f>DC37+'User Input - Correlations'!E37</f>
        <v>0</v>
      </c>
      <c r="F37" s="263">
        <f>DD37+'User Input - Correlations'!F37</f>
        <v>0</v>
      </c>
      <c r="G37" s="263">
        <f>DE37+'User Input - Correlations'!G37</f>
        <v>0</v>
      </c>
      <c r="H37" s="263">
        <f>DF37+'User Input - Correlations'!H37</f>
        <v>0</v>
      </c>
      <c r="I37" s="263">
        <f>DG37+'User Input - Correlations'!I37</f>
        <v>0</v>
      </c>
      <c r="J37" s="263">
        <f>DH37+'User Input - Correlations'!J37</f>
        <v>0</v>
      </c>
      <c r="K37" s="263">
        <f>DI37+'User Input - Correlations'!K37</f>
        <v>0</v>
      </c>
      <c r="L37" s="263">
        <f>DJ37+'User Input - Correlations'!L37</f>
        <v>0</v>
      </c>
      <c r="M37" s="263">
        <f>DK37+'User Input - Correlations'!M37</f>
        <v>0</v>
      </c>
      <c r="N37" s="263">
        <f>DL37+'User Input - Correlations'!N37</f>
        <v>0</v>
      </c>
      <c r="O37" s="263">
        <f>DM37+'User Input - Correlations'!O37</f>
        <v>0</v>
      </c>
      <c r="P37" s="263">
        <f>DN37+'User Input - Correlations'!P37</f>
        <v>0</v>
      </c>
      <c r="Q37" s="263">
        <f>DO37+'User Input - Correlations'!Q37</f>
        <v>0</v>
      </c>
      <c r="R37" s="263">
        <f>DP37+'User Input - Correlations'!R37</f>
        <v>0</v>
      </c>
      <c r="S37" s="263">
        <f>DQ37+'User Input - Correlations'!S37</f>
        <v>0</v>
      </c>
      <c r="T37" s="263">
        <f>DR37+'User Input - Correlations'!T37</f>
        <v>0</v>
      </c>
      <c r="U37" s="263">
        <f>DS37+'User Input - Correlations'!U37</f>
        <v>0</v>
      </c>
      <c r="V37" s="263">
        <f>DT37+'User Input - Correlations'!V37</f>
        <v>0</v>
      </c>
      <c r="W37" s="263">
        <f>DU37+'User Input - Correlations'!W37</f>
        <v>0</v>
      </c>
      <c r="X37" s="263">
        <f>DV37+'User Input - Correlations'!X37</f>
        <v>0</v>
      </c>
      <c r="Y37" s="263">
        <f>DW37+'User Input - Correlations'!Y37</f>
        <v>0</v>
      </c>
      <c r="Z37" s="263">
        <f>DX37+'User Input - Correlations'!Z37</f>
        <v>0</v>
      </c>
      <c r="AA37" s="263">
        <f>DY37+'User Input - Correlations'!AA37</f>
        <v>0</v>
      </c>
      <c r="AB37" s="263">
        <f>DZ37+'User Input - Correlations'!AB37</f>
        <v>0</v>
      </c>
      <c r="AC37" s="263">
        <v>1</v>
      </c>
      <c r="AD37" s="263">
        <f>EB37+'User Input - Correlations'!AD37</f>
        <v>0</v>
      </c>
      <c r="AE37" s="263">
        <f>EC37+'User Input - Correlations'!AE37</f>
        <v>0</v>
      </c>
      <c r="AF37" s="263">
        <f>ED37+'User Input - Correlations'!AF37</f>
        <v>0</v>
      </c>
      <c r="AG37" s="263">
        <f>EE37+'User Input - Correlations'!AG37</f>
        <v>0</v>
      </c>
      <c r="AH37" s="263">
        <f>EF37+'User Input - Correlations'!AH37</f>
        <v>0</v>
      </c>
      <c r="AI37" s="263">
        <f>EG37+'User Input - Correlations'!AI37</f>
        <v>0</v>
      </c>
      <c r="AJ37" s="263">
        <f>EH37+'User Input - Correlations'!AJ37</f>
        <v>0</v>
      </c>
      <c r="AK37" s="263">
        <f>EI37+'User Input - Correlations'!AK37</f>
        <v>0</v>
      </c>
      <c r="AL37" s="263">
        <f>EJ37+'User Input - Correlations'!AL37</f>
        <v>0</v>
      </c>
      <c r="AM37" s="263">
        <f>EK37+'User Input - Correlations'!AM37</f>
        <v>0</v>
      </c>
      <c r="AN37" s="263">
        <f>EL37+'User Input - Correlations'!AN37</f>
        <v>0</v>
      </c>
      <c r="AO37" s="263">
        <f>EM37+'User Input - Correlations'!AO37</f>
        <v>0</v>
      </c>
      <c r="AP37" s="263">
        <f>EN37+'User Input - Correlations'!AP37</f>
        <v>0</v>
      </c>
      <c r="AQ37" s="263">
        <f>EO37+'User Input - Correlations'!AQ37</f>
        <v>0</v>
      </c>
      <c r="AR37" s="263">
        <f>EP37+'User Input - Correlations'!AR37</f>
        <v>0</v>
      </c>
      <c r="AS37" s="263">
        <f>EQ37+'User Input - Correlations'!AS37</f>
        <v>0</v>
      </c>
      <c r="AT37" s="263">
        <f>ER37+'User Input - Correlations'!AT37</f>
        <v>0</v>
      </c>
      <c r="AU37" s="263">
        <f>ES37+'User Input - Correlations'!AU37</f>
        <v>0</v>
      </c>
      <c r="AV37" s="263">
        <f>ET37+'User Input - Correlations'!AV37</f>
        <v>0</v>
      </c>
      <c r="AW37" s="263">
        <f>EU37+'User Input - Correlations'!AW37</f>
        <v>0</v>
      </c>
      <c r="AX37" s="263">
        <f>EV37+'User Input - Correlations'!AX37</f>
        <v>0</v>
      </c>
      <c r="AY37" s="263">
        <f>EW37+'User Input - Correlations'!AY37</f>
        <v>0</v>
      </c>
      <c r="AZ37" s="263">
        <f>EX37+'User Input - Correlations'!AZ37</f>
        <v>0</v>
      </c>
      <c r="BA37" s="263">
        <f>EY37+'User Input - Correlations'!BA37</f>
        <v>0</v>
      </c>
      <c r="BB37" s="263">
        <f>EZ37+'User Input - Correlations'!BB37</f>
        <v>0</v>
      </c>
      <c r="BC37" s="263">
        <f>FA37+'User Input - Correlations'!BC37</f>
        <v>0</v>
      </c>
      <c r="BD37" s="263">
        <f>FB37+'User Input - Correlations'!BD37</f>
        <v>0</v>
      </c>
      <c r="BE37" s="263">
        <f>FC37+'User Input - Correlations'!BE37</f>
        <v>0</v>
      </c>
      <c r="BF37" s="263">
        <f>FD37+'User Input - Correlations'!BF37</f>
        <v>0</v>
      </c>
      <c r="BG37" s="263">
        <f>FE37+'User Input - Correlations'!BG37</f>
        <v>0</v>
      </c>
      <c r="BH37" s="263">
        <f>FF37+'User Input - Correlations'!BH37</f>
        <v>0</v>
      </c>
      <c r="BI37" s="263">
        <f>FG37+'User Input - Correlations'!BI37</f>
        <v>0</v>
      </c>
      <c r="BJ37" s="263">
        <f>FH37+'User Input - Correlations'!BJ37</f>
        <v>0</v>
      </c>
      <c r="BK37" s="263">
        <f>FI37+'User Input - Correlations'!BK37</f>
        <v>0</v>
      </c>
      <c r="BL37" s="263">
        <f>FJ37+'User Input - Correlations'!BL37</f>
        <v>0</v>
      </c>
      <c r="BM37" s="263">
        <f>FK37+'User Input - Correlations'!BM37</f>
        <v>0</v>
      </c>
      <c r="BN37" s="263">
        <f>FL37+'User Input - Correlations'!BN37</f>
        <v>0</v>
      </c>
      <c r="BO37" s="263">
        <f>FM37+'User Input - Correlations'!BO37</f>
        <v>0</v>
      </c>
      <c r="BP37" s="263">
        <f>FN37+'User Input - Correlations'!BP37</f>
        <v>0</v>
      </c>
      <c r="BQ37" s="263">
        <f>FO37+'User Input - Correlations'!BQ37</f>
        <v>0</v>
      </c>
      <c r="BR37" s="263">
        <f>FP37+'User Input - Correlations'!BR37</f>
        <v>0</v>
      </c>
      <c r="BS37" s="263">
        <f>FQ37+'User Input - Correlations'!BS37</f>
        <v>0</v>
      </c>
      <c r="BT37" s="263">
        <f>FR37+'User Input - Correlations'!BT37</f>
        <v>0</v>
      </c>
      <c r="BU37" s="263">
        <f>FS37+'User Input - Correlations'!BU37</f>
        <v>0</v>
      </c>
      <c r="BV37" s="263">
        <f>FT37+'User Input - Correlations'!BV37</f>
        <v>0</v>
      </c>
      <c r="BW37" s="263">
        <f>FU37+'User Input - Correlations'!BW37</f>
        <v>0</v>
      </c>
      <c r="BX37" s="263">
        <f>FV37+'User Input - Correlations'!BX37</f>
        <v>0</v>
      </c>
      <c r="BY37" s="263">
        <f>FW37+'User Input - Correlations'!BY37</f>
        <v>0</v>
      </c>
      <c r="BZ37" s="263">
        <f>FX37+'User Input - Correlations'!BZ37</f>
        <v>0</v>
      </c>
      <c r="CA37" s="263">
        <f>FY37+'User Input - Correlations'!CA37</f>
        <v>0</v>
      </c>
      <c r="CB37" s="263">
        <f>FZ37+'User Input - Correlations'!CB37</f>
        <v>0</v>
      </c>
      <c r="CC37" s="263">
        <f>GA37+'User Input - Correlations'!CC37</f>
        <v>0</v>
      </c>
      <c r="CD37" s="263">
        <f>GB37+'User Input - Correlations'!CD37</f>
        <v>0</v>
      </c>
      <c r="CE37" s="263">
        <f>GC37+'User Input - Correlations'!CE37</f>
        <v>0</v>
      </c>
      <c r="CF37" s="263">
        <f>GD37+'User Input - Correlations'!CF37</f>
        <v>0</v>
      </c>
      <c r="CG37" s="263">
        <f>GE37+'User Input - Correlations'!CG37</f>
        <v>0</v>
      </c>
      <c r="CH37" s="263">
        <f>GF37+'User Input - Correlations'!CH37</f>
        <v>0</v>
      </c>
      <c r="CI37" s="263">
        <f>GG37+'User Input - Correlations'!CI37</f>
        <v>0</v>
      </c>
      <c r="CJ37" s="263">
        <f>GH37+'User Input - Correlations'!CJ37</f>
        <v>0</v>
      </c>
      <c r="CK37" s="263">
        <f>GI37+'User Input - Correlations'!CK37</f>
        <v>0</v>
      </c>
      <c r="CL37" s="263">
        <f>GJ37+'User Input - Correlations'!CL37</f>
        <v>0</v>
      </c>
      <c r="CM37" s="263">
        <f>GK37+'User Input - Correlations'!CM37</f>
        <v>0</v>
      </c>
      <c r="CN37" s="263">
        <f>GL37+'User Input - Correlations'!CN37</f>
        <v>0</v>
      </c>
      <c r="CO37" s="263">
        <f>GM37+'User Input - Correlations'!CO37</f>
        <v>0</v>
      </c>
      <c r="CP37" s="264">
        <f>GN37+'User Input - Correlations'!CP37</f>
        <v>0</v>
      </c>
      <c r="CQ37" s="281">
        <f ca="1">MDETERM(OFFSET($C$11,0,0,ROWS($CQ$11:$CQ37),ROWS($CQ$11:$CQ37)))</f>
        <v>1</v>
      </c>
      <c r="DA37" s="263">
        <v>0</v>
      </c>
      <c r="DB37" s="263">
        <v>0</v>
      </c>
      <c r="DC37" s="263">
        <v>0</v>
      </c>
      <c r="DD37" s="263">
        <v>0</v>
      </c>
      <c r="DE37" s="263">
        <v>0</v>
      </c>
      <c r="DF37" s="263">
        <v>0</v>
      </c>
      <c r="DG37" s="263">
        <v>0</v>
      </c>
      <c r="DH37" s="263">
        <v>0</v>
      </c>
      <c r="DI37" s="263">
        <v>0</v>
      </c>
      <c r="DJ37" s="263">
        <v>0</v>
      </c>
      <c r="DK37" s="263">
        <v>0</v>
      </c>
      <c r="DL37" s="263">
        <v>0</v>
      </c>
      <c r="DM37" s="263">
        <v>0</v>
      </c>
      <c r="DN37" s="263">
        <v>0</v>
      </c>
      <c r="DO37" s="263">
        <v>0</v>
      </c>
      <c r="DP37" s="263">
        <v>0</v>
      </c>
      <c r="DQ37" s="263">
        <v>0</v>
      </c>
      <c r="DR37" s="263">
        <v>0</v>
      </c>
      <c r="DS37" s="263">
        <v>0</v>
      </c>
      <c r="DT37" s="263">
        <v>0</v>
      </c>
      <c r="DU37" s="263">
        <v>0</v>
      </c>
      <c r="DV37" s="263">
        <v>0</v>
      </c>
      <c r="DW37" s="263">
        <v>0</v>
      </c>
      <c r="DX37" s="263">
        <v>0</v>
      </c>
      <c r="DY37" s="263">
        <v>0</v>
      </c>
      <c r="DZ37" s="263">
        <v>0</v>
      </c>
      <c r="EA37" s="263">
        <v>1</v>
      </c>
      <c r="EB37" s="263">
        <v>0</v>
      </c>
      <c r="EC37" s="263">
        <v>0</v>
      </c>
      <c r="ED37" s="263">
        <v>0</v>
      </c>
      <c r="EE37" s="263">
        <v>0</v>
      </c>
      <c r="EF37" s="263">
        <v>0</v>
      </c>
      <c r="EG37" s="263">
        <v>0</v>
      </c>
      <c r="EH37" s="263">
        <v>0</v>
      </c>
      <c r="EI37" s="263">
        <v>0</v>
      </c>
      <c r="EJ37" s="263">
        <v>0</v>
      </c>
      <c r="EK37" s="263">
        <v>0</v>
      </c>
      <c r="EL37" s="263">
        <v>0</v>
      </c>
      <c r="EM37" s="263">
        <v>0</v>
      </c>
      <c r="EN37" s="263">
        <v>0</v>
      </c>
      <c r="EO37" s="263">
        <v>0</v>
      </c>
      <c r="EP37" s="263">
        <v>0</v>
      </c>
      <c r="EQ37" s="263">
        <v>0</v>
      </c>
      <c r="ER37" s="263">
        <v>0</v>
      </c>
      <c r="ES37" s="263">
        <v>0</v>
      </c>
      <c r="ET37" s="263">
        <v>0</v>
      </c>
      <c r="EU37" s="263">
        <v>0</v>
      </c>
      <c r="EV37" s="263">
        <v>0</v>
      </c>
      <c r="EW37" s="263">
        <v>0</v>
      </c>
      <c r="EX37" s="263">
        <v>0</v>
      </c>
      <c r="EY37" s="263">
        <v>0</v>
      </c>
      <c r="EZ37" s="263">
        <v>0</v>
      </c>
      <c r="FA37" s="263">
        <v>0</v>
      </c>
      <c r="FB37" s="263">
        <v>0</v>
      </c>
      <c r="FC37" s="263">
        <v>0</v>
      </c>
      <c r="FD37" s="263">
        <v>0</v>
      </c>
      <c r="FE37" s="263">
        <v>0</v>
      </c>
      <c r="FF37" s="263">
        <v>0</v>
      </c>
      <c r="FG37" s="263">
        <v>0</v>
      </c>
      <c r="FH37" s="263">
        <v>0</v>
      </c>
      <c r="FI37" s="263">
        <v>0</v>
      </c>
      <c r="FJ37" s="263">
        <v>0</v>
      </c>
      <c r="FK37" s="263">
        <v>0</v>
      </c>
      <c r="FL37" s="263">
        <v>0</v>
      </c>
      <c r="FM37" s="263">
        <v>0</v>
      </c>
      <c r="FN37" s="263">
        <v>0</v>
      </c>
      <c r="FO37" s="263">
        <v>0</v>
      </c>
      <c r="FP37" s="263">
        <v>0</v>
      </c>
      <c r="FQ37" s="263">
        <v>0</v>
      </c>
      <c r="FR37" s="263">
        <v>0</v>
      </c>
      <c r="FS37" s="263">
        <v>0</v>
      </c>
      <c r="FT37" s="263">
        <v>0</v>
      </c>
      <c r="FU37" s="263">
        <v>0</v>
      </c>
      <c r="FV37" s="263">
        <v>0</v>
      </c>
      <c r="FW37" s="263">
        <v>0</v>
      </c>
      <c r="FX37" s="263">
        <v>0</v>
      </c>
      <c r="FY37" s="263">
        <v>0</v>
      </c>
      <c r="FZ37" s="263">
        <v>0</v>
      </c>
      <c r="GA37" s="263">
        <v>0</v>
      </c>
      <c r="GB37" s="263">
        <v>0</v>
      </c>
      <c r="GC37" s="263">
        <v>0</v>
      </c>
      <c r="GD37" s="263">
        <v>0</v>
      </c>
      <c r="GE37" s="263">
        <v>0</v>
      </c>
      <c r="GF37" s="263">
        <v>0</v>
      </c>
      <c r="GG37" s="263">
        <v>0</v>
      </c>
      <c r="GH37" s="263">
        <v>0</v>
      </c>
      <c r="GI37" s="263">
        <v>0</v>
      </c>
      <c r="GJ37" s="263">
        <v>0</v>
      </c>
      <c r="GK37" s="263">
        <v>0</v>
      </c>
      <c r="GL37" s="263">
        <v>0</v>
      </c>
      <c r="GM37" s="263">
        <v>0</v>
      </c>
      <c r="GN37" s="263">
        <v>0</v>
      </c>
    </row>
    <row r="38" ht="12.75" customHeight="1">
      <c r="A38" s="285" t="s">
        <v>189</v>
      </c>
      <c r="B38" s="285" t="s">
        <v>185</v>
      </c>
      <c r="C38" s="263">
        <f>DA38+'User Input - Correlations'!C38</f>
        <v>0</v>
      </c>
      <c r="D38" s="263">
        <f>DB38+'User Input - Correlations'!D38</f>
        <v>0</v>
      </c>
      <c r="E38" s="263">
        <f>DC38+'User Input - Correlations'!E38</f>
        <v>0</v>
      </c>
      <c r="F38" s="263">
        <f>DD38+'User Input - Correlations'!F38</f>
        <v>0</v>
      </c>
      <c r="G38" s="263">
        <f>DE38+'User Input - Correlations'!G38</f>
        <v>0</v>
      </c>
      <c r="H38" s="263">
        <f>DF38+'User Input - Correlations'!H38</f>
        <v>0</v>
      </c>
      <c r="I38" s="263">
        <f>DG38+'User Input - Correlations'!I38</f>
        <v>0</v>
      </c>
      <c r="J38" s="263">
        <f>DH38+'User Input - Correlations'!J38</f>
        <v>0</v>
      </c>
      <c r="K38" s="263">
        <f>DI38+'User Input - Correlations'!K38</f>
        <v>0</v>
      </c>
      <c r="L38" s="263">
        <f>DJ38+'User Input - Correlations'!L38</f>
        <v>0</v>
      </c>
      <c r="M38" s="263">
        <f>DK38+'User Input - Correlations'!M38</f>
        <v>0</v>
      </c>
      <c r="N38" s="263">
        <f>DL38+'User Input - Correlations'!N38</f>
        <v>0</v>
      </c>
      <c r="O38" s="263">
        <f>DM38+'User Input - Correlations'!O38</f>
        <v>0</v>
      </c>
      <c r="P38" s="263">
        <f>DN38+'User Input - Correlations'!P38</f>
        <v>0</v>
      </c>
      <c r="Q38" s="263">
        <f>DO38+'User Input - Correlations'!Q38</f>
        <v>0</v>
      </c>
      <c r="R38" s="263">
        <f>DP38+'User Input - Correlations'!R38</f>
        <v>0</v>
      </c>
      <c r="S38" s="263">
        <f>DQ38+'User Input - Correlations'!S38</f>
        <v>0</v>
      </c>
      <c r="T38" s="263">
        <f>DR38+'User Input - Correlations'!T38</f>
        <v>0</v>
      </c>
      <c r="U38" s="263">
        <f>DS38+'User Input - Correlations'!U38</f>
        <v>0</v>
      </c>
      <c r="V38" s="263">
        <f>DT38+'User Input - Correlations'!V38</f>
        <v>0</v>
      </c>
      <c r="W38" s="263">
        <f>DU38+'User Input - Correlations'!W38</f>
        <v>0</v>
      </c>
      <c r="X38" s="263">
        <f>DV38+'User Input - Correlations'!X38</f>
        <v>0</v>
      </c>
      <c r="Y38" s="263">
        <f>DW38+'User Input - Correlations'!Y38</f>
        <v>0</v>
      </c>
      <c r="Z38" s="263">
        <f>DX38+'User Input - Correlations'!Z38</f>
        <v>0</v>
      </c>
      <c r="AA38" s="263">
        <f>DY38+'User Input - Correlations'!AA38</f>
        <v>0</v>
      </c>
      <c r="AB38" s="263">
        <f>DZ38+'User Input - Correlations'!AB38</f>
        <v>0</v>
      </c>
      <c r="AC38" s="263">
        <f>EA38+'User Input - Correlations'!AC38</f>
        <v>0</v>
      </c>
      <c r="AD38" s="263">
        <v>1</v>
      </c>
      <c r="AE38" s="263">
        <f>EC38+'User Input - Correlations'!AE38</f>
        <v>0</v>
      </c>
      <c r="AF38" s="263">
        <f>ED38+'User Input - Correlations'!AF38</f>
        <v>0</v>
      </c>
      <c r="AG38" s="263">
        <f>EE38+'User Input - Correlations'!AG38</f>
        <v>0</v>
      </c>
      <c r="AH38" s="263">
        <f>EF38+'User Input - Correlations'!AH38</f>
        <v>0</v>
      </c>
      <c r="AI38" s="263">
        <f>EG38+'User Input - Correlations'!AI38</f>
        <v>0</v>
      </c>
      <c r="AJ38" s="263">
        <f>EH38+'User Input - Correlations'!AJ38</f>
        <v>0</v>
      </c>
      <c r="AK38" s="263">
        <f>EI38+'User Input - Correlations'!AK38</f>
        <v>0</v>
      </c>
      <c r="AL38" s="263">
        <f>EJ38+'User Input - Correlations'!AL38</f>
        <v>0</v>
      </c>
      <c r="AM38" s="263">
        <f>EK38+'User Input - Correlations'!AM38</f>
        <v>0</v>
      </c>
      <c r="AN38" s="263">
        <f>EL38+'User Input - Correlations'!AN38</f>
        <v>0</v>
      </c>
      <c r="AO38" s="263">
        <f>EM38+'User Input - Correlations'!AO38</f>
        <v>0</v>
      </c>
      <c r="AP38" s="263">
        <f>EN38+'User Input - Correlations'!AP38</f>
        <v>0</v>
      </c>
      <c r="AQ38" s="263">
        <f>EO38+'User Input - Correlations'!AQ38</f>
        <v>0</v>
      </c>
      <c r="AR38" s="263">
        <f>EP38+'User Input - Correlations'!AR38</f>
        <v>0</v>
      </c>
      <c r="AS38" s="263">
        <f>EQ38+'User Input - Correlations'!AS38</f>
        <v>0</v>
      </c>
      <c r="AT38" s="263">
        <f>ER38+'User Input - Correlations'!AT38</f>
        <v>0</v>
      </c>
      <c r="AU38" s="263">
        <f>ES38+'User Input - Correlations'!AU38</f>
        <v>0</v>
      </c>
      <c r="AV38" s="263">
        <f>ET38+'User Input - Correlations'!AV38</f>
        <v>0</v>
      </c>
      <c r="AW38" s="263">
        <f>EU38+'User Input - Correlations'!AW38</f>
        <v>0</v>
      </c>
      <c r="AX38" s="263">
        <f>EV38+'User Input - Correlations'!AX38</f>
        <v>0</v>
      </c>
      <c r="AY38" s="263">
        <f>EW38+'User Input - Correlations'!AY38</f>
        <v>0</v>
      </c>
      <c r="AZ38" s="263">
        <f>EX38+'User Input - Correlations'!AZ38</f>
        <v>0</v>
      </c>
      <c r="BA38" s="263">
        <f>EY38+'User Input - Correlations'!BA38</f>
        <v>0</v>
      </c>
      <c r="BB38" s="263">
        <f>EZ38+'User Input - Correlations'!BB38</f>
        <v>0</v>
      </c>
      <c r="BC38" s="263">
        <f>FA38+'User Input - Correlations'!BC38</f>
        <v>0</v>
      </c>
      <c r="BD38" s="263">
        <f>FB38+'User Input - Correlations'!BD38</f>
        <v>0</v>
      </c>
      <c r="BE38" s="263">
        <f>FC38+'User Input - Correlations'!BE38</f>
        <v>0</v>
      </c>
      <c r="BF38" s="263">
        <f>FD38+'User Input - Correlations'!BF38</f>
        <v>0</v>
      </c>
      <c r="BG38" s="263">
        <f>FE38+'User Input - Correlations'!BG38</f>
        <v>0</v>
      </c>
      <c r="BH38" s="263">
        <f>FF38+'User Input - Correlations'!BH38</f>
        <v>0</v>
      </c>
      <c r="BI38" s="263">
        <f>FG38+'User Input - Correlations'!BI38</f>
        <v>0</v>
      </c>
      <c r="BJ38" s="263">
        <f>FH38+'User Input - Correlations'!BJ38</f>
        <v>0</v>
      </c>
      <c r="BK38" s="263">
        <f>FI38+'User Input - Correlations'!BK38</f>
        <v>0</v>
      </c>
      <c r="BL38" s="263">
        <f>FJ38+'User Input - Correlations'!BL38</f>
        <v>0</v>
      </c>
      <c r="BM38" s="263">
        <f>FK38+'User Input - Correlations'!BM38</f>
        <v>0</v>
      </c>
      <c r="BN38" s="263">
        <f>FL38+'User Input - Correlations'!BN38</f>
        <v>0</v>
      </c>
      <c r="BO38" s="263">
        <f>FM38+'User Input - Correlations'!BO38</f>
        <v>0</v>
      </c>
      <c r="BP38" s="263">
        <f>FN38+'User Input - Correlations'!BP38</f>
        <v>0</v>
      </c>
      <c r="BQ38" s="263">
        <f>FO38+'User Input - Correlations'!BQ38</f>
        <v>0</v>
      </c>
      <c r="BR38" s="263">
        <f>FP38+'User Input - Correlations'!BR38</f>
        <v>0</v>
      </c>
      <c r="BS38" s="263">
        <f>FQ38+'User Input - Correlations'!BS38</f>
        <v>0</v>
      </c>
      <c r="BT38" s="263">
        <f>FR38+'User Input - Correlations'!BT38</f>
        <v>0</v>
      </c>
      <c r="BU38" s="263">
        <f>FS38+'User Input - Correlations'!BU38</f>
        <v>0</v>
      </c>
      <c r="BV38" s="263">
        <f>FT38+'User Input - Correlations'!BV38</f>
        <v>0</v>
      </c>
      <c r="BW38" s="263">
        <f>FU38+'User Input - Correlations'!BW38</f>
        <v>0</v>
      </c>
      <c r="BX38" s="263">
        <f>FV38+'User Input - Correlations'!BX38</f>
        <v>0</v>
      </c>
      <c r="BY38" s="263">
        <f>FW38+'User Input - Correlations'!BY38</f>
        <v>0</v>
      </c>
      <c r="BZ38" s="263">
        <f>FX38+'User Input - Correlations'!BZ38</f>
        <v>0</v>
      </c>
      <c r="CA38" s="263">
        <f>FY38+'User Input - Correlations'!CA38</f>
        <v>0</v>
      </c>
      <c r="CB38" s="263">
        <f>FZ38+'User Input - Correlations'!CB38</f>
        <v>0</v>
      </c>
      <c r="CC38" s="263">
        <f>GA38+'User Input - Correlations'!CC38</f>
        <v>0</v>
      </c>
      <c r="CD38" s="263">
        <f>GB38+'User Input - Correlations'!CD38</f>
        <v>0</v>
      </c>
      <c r="CE38" s="263">
        <f>GC38+'User Input - Correlations'!CE38</f>
        <v>0</v>
      </c>
      <c r="CF38" s="263">
        <f>GD38+'User Input - Correlations'!CF38</f>
        <v>0</v>
      </c>
      <c r="CG38" s="263">
        <f>GE38+'User Input - Correlations'!CG38</f>
        <v>0</v>
      </c>
      <c r="CH38" s="263">
        <f>GF38+'User Input - Correlations'!CH38</f>
        <v>0</v>
      </c>
      <c r="CI38" s="263">
        <f>GG38+'User Input - Correlations'!CI38</f>
        <v>0</v>
      </c>
      <c r="CJ38" s="263">
        <f>GH38+'User Input - Correlations'!CJ38</f>
        <v>0</v>
      </c>
      <c r="CK38" s="263">
        <f>GI38+'User Input - Correlations'!CK38</f>
        <v>0</v>
      </c>
      <c r="CL38" s="263">
        <f>GJ38+'User Input - Correlations'!CL38</f>
        <v>0</v>
      </c>
      <c r="CM38" s="263">
        <f>GK38+'User Input - Correlations'!CM38</f>
        <v>0</v>
      </c>
      <c r="CN38" s="263">
        <f>GL38+'User Input - Correlations'!CN38</f>
        <v>0</v>
      </c>
      <c r="CO38" s="263">
        <f>GM38+'User Input - Correlations'!CO38</f>
        <v>0</v>
      </c>
      <c r="CP38" s="264">
        <f>GN38+'User Input - Correlations'!CP38</f>
        <v>0</v>
      </c>
      <c r="CQ38" s="281">
        <f ca="1">MDETERM(OFFSET($C$11,0,0,ROWS($CQ$11:$CQ38),ROWS($CQ$11:$CQ38)))</f>
        <v>1</v>
      </c>
      <c r="DA38" s="263">
        <v>0</v>
      </c>
      <c r="DB38" s="263">
        <v>0</v>
      </c>
      <c r="DC38" s="263">
        <v>0</v>
      </c>
      <c r="DD38" s="263">
        <v>0</v>
      </c>
      <c r="DE38" s="263">
        <v>0</v>
      </c>
      <c r="DF38" s="263">
        <v>0</v>
      </c>
      <c r="DG38" s="263">
        <v>0</v>
      </c>
      <c r="DH38" s="263">
        <v>0</v>
      </c>
      <c r="DI38" s="263">
        <v>0</v>
      </c>
      <c r="DJ38" s="263">
        <v>0</v>
      </c>
      <c r="DK38" s="263">
        <v>0</v>
      </c>
      <c r="DL38" s="263">
        <v>0</v>
      </c>
      <c r="DM38" s="263">
        <v>0</v>
      </c>
      <c r="DN38" s="263">
        <v>0</v>
      </c>
      <c r="DO38" s="263">
        <v>0</v>
      </c>
      <c r="DP38" s="263">
        <v>0</v>
      </c>
      <c r="DQ38" s="263">
        <v>0</v>
      </c>
      <c r="DR38" s="263">
        <v>0</v>
      </c>
      <c r="DS38" s="263">
        <v>0</v>
      </c>
      <c r="DT38" s="263">
        <v>0</v>
      </c>
      <c r="DU38" s="263">
        <v>0</v>
      </c>
      <c r="DV38" s="263">
        <v>0</v>
      </c>
      <c r="DW38" s="263">
        <v>0</v>
      </c>
      <c r="DX38" s="263">
        <v>0</v>
      </c>
      <c r="DY38" s="263">
        <v>0</v>
      </c>
      <c r="DZ38" s="263">
        <v>0</v>
      </c>
      <c r="EA38" s="263">
        <v>0</v>
      </c>
      <c r="EB38" s="263">
        <v>1</v>
      </c>
      <c r="EC38" s="263">
        <v>0</v>
      </c>
      <c r="ED38" s="263">
        <v>0</v>
      </c>
      <c r="EE38" s="263">
        <v>0</v>
      </c>
      <c r="EF38" s="263">
        <v>0</v>
      </c>
      <c r="EG38" s="263">
        <v>0</v>
      </c>
      <c r="EH38" s="263">
        <v>0</v>
      </c>
      <c r="EI38" s="263">
        <v>0</v>
      </c>
      <c r="EJ38" s="263">
        <v>0</v>
      </c>
      <c r="EK38" s="263">
        <v>0</v>
      </c>
      <c r="EL38" s="263">
        <v>0</v>
      </c>
      <c r="EM38" s="263">
        <v>0</v>
      </c>
      <c r="EN38" s="263">
        <v>0</v>
      </c>
      <c r="EO38" s="263">
        <v>0</v>
      </c>
      <c r="EP38" s="263">
        <v>0</v>
      </c>
      <c r="EQ38" s="263">
        <v>0</v>
      </c>
      <c r="ER38" s="263">
        <v>0</v>
      </c>
      <c r="ES38" s="263">
        <v>0</v>
      </c>
      <c r="ET38" s="263">
        <v>0</v>
      </c>
      <c r="EU38" s="263">
        <v>0</v>
      </c>
      <c r="EV38" s="263">
        <v>0</v>
      </c>
      <c r="EW38" s="263">
        <v>0</v>
      </c>
      <c r="EX38" s="263">
        <v>0</v>
      </c>
      <c r="EY38" s="263">
        <v>0</v>
      </c>
      <c r="EZ38" s="263">
        <v>0</v>
      </c>
      <c r="FA38" s="263">
        <v>0</v>
      </c>
      <c r="FB38" s="263">
        <v>0</v>
      </c>
      <c r="FC38" s="263">
        <v>0</v>
      </c>
      <c r="FD38" s="263">
        <v>0</v>
      </c>
      <c r="FE38" s="263">
        <v>0</v>
      </c>
      <c r="FF38" s="263">
        <v>0</v>
      </c>
      <c r="FG38" s="263">
        <v>0</v>
      </c>
      <c r="FH38" s="263">
        <v>0</v>
      </c>
      <c r="FI38" s="263">
        <v>0</v>
      </c>
      <c r="FJ38" s="263">
        <v>0</v>
      </c>
      <c r="FK38" s="263">
        <v>0</v>
      </c>
      <c r="FL38" s="263">
        <v>0</v>
      </c>
      <c r="FM38" s="263">
        <v>0</v>
      </c>
      <c r="FN38" s="263">
        <v>0</v>
      </c>
      <c r="FO38" s="263">
        <v>0</v>
      </c>
      <c r="FP38" s="263">
        <v>0</v>
      </c>
      <c r="FQ38" s="263">
        <v>0</v>
      </c>
      <c r="FR38" s="263">
        <v>0</v>
      </c>
      <c r="FS38" s="263">
        <v>0</v>
      </c>
      <c r="FT38" s="263">
        <v>0</v>
      </c>
      <c r="FU38" s="263">
        <v>0</v>
      </c>
      <c r="FV38" s="263">
        <v>0</v>
      </c>
      <c r="FW38" s="263">
        <v>0</v>
      </c>
      <c r="FX38" s="263">
        <v>0</v>
      </c>
      <c r="FY38" s="263">
        <v>0</v>
      </c>
      <c r="FZ38" s="263">
        <v>0</v>
      </c>
      <c r="GA38" s="263">
        <v>0</v>
      </c>
      <c r="GB38" s="263">
        <v>0</v>
      </c>
      <c r="GC38" s="263">
        <v>0</v>
      </c>
      <c r="GD38" s="263">
        <v>0</v>
      </c>
      <c r="GE38" s="263">
        <v>0</v>
      </c>
      <c r="GF38" s="263">
        <v>0</v>
      </c>
      <c r="GG38" s="263">
        <v>0</v>
      </c>
      <c r="GH38" s="263">
        <v>0</v>
      </c>
      <c r="GI38" s="263">
        <v>0</v>
      </c>
      <c r="GJ38" s="263">
        <v>0</v>
      </c>
      <c r="GK38" s="263">
        <v>0</v>
      </c>
      <c r="GL38" s="263">
        <v>0</v>
      </c>
      <c r="GM38" s="263">
        <v>0</v>
      </c>
      <c r="GN38" s="263">
        <v>0</v>
      </c>
    </row>
    <row r="39" ht="12.75" customHeight="1">
      <c r="A39" s="285" t="s">
        <v>178</v>
      </c>
      <c r="B39" s="285" t="s">
        <v>185</v>
      </c>
      <c r="C39" s="263">
        <f>DA39+'User Input - Correlations'!C39</f>
        <v>0</v>
      </c>
      <c r="D39" s="263">
        <f>DB39+'User Input - Correlations'!D39</f>
        <v>0</v>
      </c>
      <c r="E39" s="263">
        <f>DC39+'User Input - Correlations'!E39</f>
        <v>0</v>
      </c>
      <c r="F39" s="263">
        <f>DD39+'User Input - Correlations'!F39</f>
        <v>0</v>
      </c>
      <c r="G39" s="263">
        <f>DE39+'User Input - Correlations'!G39</f>
        <v>0</v>
      </c>
      <c r="H39" s="263">
        <f>DF39+'User Input - Correlations'!H39</f>
        <v>0</v>
      </c>
      <c r="I39" s="263">
        <f>DG39+'User Input - Correlations'!I39</f>
        <v>0</v>
      </c>
      <c r="J39" s="263">
        <f>DH39+'User Input - Correlations'!J39</f>
        <v>0</v>
      </c>
      <c r="K39" s="263">
        <f>DI39+'User Input - Correlations'!K39</f>
        <v>0</v>
      </c>
      <c r="L39" s="263">
        <f>DJ39+'User Input - Correlations'!L39</f>
        <v>0</v>
      </c>
      <c r="M39" s="263">
        <f>DK39+'User Input - Correlations'!M39</f>
        <v>0</v>
      </c>
      <c r="N39" s="263">
        <f>DL39+'User Input - Correlations'!N39</f>
        <v>0</v>
      </c>
      <c r="O39" s="263">
        <f>DM39+'User Input - Correlations'!O39</f>
        <v>0</v>
      </c>
      <c r="P39" s="263">
        <f>DN39+'User Input - Correlations'!P39</f>
        <v>0</v>
      </c>
      <c r="Q39" s="263">
        <f>DO39+'User Input - Correlations'!Q39</f>
        <v>0</v>
      </c>
      <c r="R39" s="263">
        <f>DP39+'User Input - Correlations'!R39</f>
        <v>0</v>
      </c>
      <c r="S39" s="263">
        <f>DQ39+'User Input - Correlations'!S39</f>
        <v>0</v>
      </c>
      <c r="T39" s="263">
        <f>DR39+'User Input - Correlations'!T39</f>
        <v>0</v>
      </c>
      <c r="U39" s="263">
        <f>DS39+'User Input - Correlations'!U39</f>
        <v>0</v>
      </c>
      <c r="V39" s="263">
        <f>DT39+'User Input - Correlations'!V39</f>
        <v>0</v>
      </c>
      <c r="W39" s="263">
        <f>DU39+'User Input - Correlations'!W39</f>
        <v>0</v>
      </c>
      <c r="X39" s="263">
        <f>DV39+'User Input - Correlations'!X39</f>
        <v>0</v>
      </c>
      <c r="Y39" s="263">
        <f>DW39+'User Input - Correlations'!Y39</f>
        <v>0</v>
      </c>
      <c r="Z39" s="263">
        <f>DX39+'User Input - Correlations'!Z39</f>
        <v>0</v>
      </c>
      <c r="AA39" s="263">
        <f>DY39+'User Input - Correlations'!AA39</f>
        <v>0</v>
      </c>
      <c r="AB39" s="263">
        <f>DZ39+'User Input - Correlations'!AB39</f>
        <v>0</v>
      </c>
      <c r="AC39" s="263">
        <f>EA39+'User Input - Correlations'!AC39</f>
        <v>0</v>
      </c>
      <c r="AD39" s="263">
        <f>EB39+'User Input - Correlations'!AD39</f>
        <v>0</v>
      </c>
      <c r="AE39" s="263">
        <v>1</v>
      </c>
      <c r="AF39" s="263">
        <f>ED39+'User Input - Correlations'!AF39</f>
        <v>0</v>
      </c>
      <c r="AG39" s="263">
        <f>EE39+'User Input - Correlations'!AG39</f>
        <v>0</v>
      </c>
      <c r="AH39" s="263">
        <f>EF39+'User Input - Correlations'!AH39</f>
        <v>0</v>
      </c>
      <c r="AI39" s="263">
        <f>EG39+'User Input - Correlations'!AI39</f>
        <v>0</v>
      </c>
      <c r="AJ39" s="263">
        <f>EH39+'User Input - Correlations'!AJ39</f>
        <v>0</v>
      </c>
      <c r="AK39" s="263">
        <f>EI39+'User Input - Correlations'!AK39</f>
        <v>0</v>
      </c>
      <c r="AL39" s="263">
        <f>EJ39+'User Input - Correlations'!AL39</f>
        <v>0</v>
      </c>
      <c r="AM39" s="263">
        <f>EK39+'User Input - Correlations'!AM39</f>
        <v>0</v>
      </c>
      <c r="AN39" s="263">
        <f>EL39+'User Input - Correlations'!AN39</f>
        <v>0</v>
      </c>
      <c r="AO39" s="263">
        <f>EM39+'User Input - Correlations'!AO39</f>
        <v>0</v>
      </c>
      <c r="AP39" s="263">
        <f>EN39+'User Input - Correlations'!AP39</f>
        <v>0</v>
      </c>
      <c r="AQ39" s="263">
        <f>EO39+'User Input - Correlations'!AQ39</f>
        <v>0</v>
      </c>
      <c r="AR39" s="263">
        <f>EP39+'User Input - Correlations'!AR39</f>
        <v>0</v>
      </c>
      <c r="AS39" s="263">
        <f>EQ39+'User Input - Correlations'!AS39</f>
        <v>0</v>
      </c>
      <c r="AT39" s="263">
        <f>ER39+'User Input - Correlations'!AT39</f>
        <v>0</v>
      </c>
      <c r="AU39" s="263">
        <f>ES39+'User Input - Correlations'!AU39</f>
        <v>0</v>
      </c>
      <c r="AV39" s="263">
        <f>ET39+'User Input - Correlations'!AV39</f>
        <v>0</v>
      </c>
      <c r="AW39" s="263">
        <f>EU39+'User Input - Correlations'!AW39</f>
        <v>0</v>
      </c>
      <c r="AX39" s="263">
        <f>EV39+'User Input - Correlations'!AX39</f>
        <v>0</v>
      </c>
      <c r="AY39" s="263">
        <f>EW39+'User Input - Correlations'!AY39</f>
        <v>0</v>
      </c>
      <c r="AZ39" s="263">
        <f>EX39+'User Input - Correlations'!AZ39</f>
        <v>0</v>
      </c>
      <c r="BA39" s="263">
        <f>EY39+'User Input - Correlations'!BA39</f>
        <v>0</v>
      </c>
      <c r="BB39" s="263">
        <f>EZ39+'User Input - Correlations'!BB39</f>
        <v>0</v>
      </c>
      <c r="BC39" s="263">
        <f>FA39+'User Input - Correlations'!BC39</f>
        <v>0</v>
      </c>
      <c r="BD39" s="263">
        <f>FB39+'User Input - Correlations'!BD39</f>
        <v>0</v>
      </c>
      <c r="BE39" s="263">
        <f>FC39+'User Input - Correlations'!BE39</f>
        <v>0</v>
      </c>
      <c r="BF39" s="263">
        <f>FD39+'User Input - Correlations'!BF39</f>
        <v>0</v>
      </c>
      <c r="BG39" s="263">
        <f>FE39+'User Input - Correlations'!BG39</f>
        <v>0</v>
      </c>
      <c r="BH39" s="263">
        <f>FF39+'User Input - Correlations'!BH39</f>
        <v>0</v>
      </c>
      <c r="BI39" s="263">
        <f>FG39+'User Input - Correlations'!BI39</f>
        <v>0</v>
      </c>
      <c r="BJ39" s="263">
        <f>FH39+'User Input - Correlations'!BJ39</f>
        <v>0</v>
      </c>
      <c r="BK39" s="263">
        <f>FI39+'User Input - Correlations'!BK39</f>
        <v>0</v>
      </c>
      <c r="BL39" s="263">
        <f>FJ39+'User Input - Correlations'!BL39</f>
        <v>0</v>
      </c>
      <c r="BM39" s="263">
        <f>FK39+'User Input - Correlations'!BM39</f>
        <v>0</v>
      </c>
      <c r="BN39" s="263">
        <f>FL39+'User Input - Correlations'!BN39</f>
        <v>0</v>
      </c>
      <c r="BO39" s="263">
        <f>FM39+'User Input - Correlations'!BO39</f>
        <v>0</v>
      </c>
      <c r="BP39" s="263">
        <f>FN39+'User Input - Correlations'!BP39</f>
        <v>0</v>
      </c>
      <c r="BQ39" s="263">
        <f>FO39+'User Input - Correlations'!BQ39</f>
        <v>0</v>
      </c>
      <c r="BR39" s="263">
        <f>FP39+'User Input - Correlations'!BR39</f>
        <v>0</v>
      </c>
      <c r="BS39" s="263">
        <f>FQ39+'User Input - Correlations'!BS39</f>
        <v>0</v>
      </c>
      <c r="BT39" s="263">
        <f>FR39+'User Input - Correlations'!BT39</f>
        <v>0</v>
      </c>
      <c r="BU39" s="263">
        <f>FS39+'User Input - Correlations'!BU39</f>
        <v>0</v>
      </c>
      <c r="BV39" s="263">
        <f>FT39+'User Input - Correlations'!BV39</f>
        <v>0</v>
      </c>
      <c r="BW39" s="263">
        <f>FU39+'User Input - Correlations'!BW39</f>
        <v>0</v>
      </c>
      <c r="BX39" s="263">
        <f>FV39+'User Input - Correlations'!BX39</f>
        <v>0</v>
      </c>
      <c r="BY39" s="263">
        <f>FW39+'User Input - Correlations'!BY39</f>
        <v>0</v>
      </c>
      <c r="BZ39" s="263">
        <f>FX39+'User Input - Correlations'!BZ39</f>
        <v>0</v>
      </c>
      <c r="CA39" s="263">
        <f>FY39+'User Input - Correlations'!CA39</f>
        <v>0</v>
      </c>
      <c r="CB39" s="263">
        <f>FZ39+'User Input - Correlations'!CB39</f>
        <v>0</v>
      </c>
      <c r="CC39" s="263">
        <f>GA39+'User Input - Correlations'!CC39</f>
        <v>0</v>
      </c>
      <c r="CD39" s="263">
        <f>GB39+'User Input - Correlations'!CD39</f>
        <v>0</v>
      </c>
      <c r="CE39" s="263">
        <f>GC39+'User Input - Correlations'!CE39</f>
        <v>0</v>
      </c>
      <c r="CF39" s="263">
        <f>GD39+'User Input - Correlations'!CF39</f>
        <v>0</v>
      </c>
      <c r="CG39" s="263">
        <f>GE39+'User Input - Correlations'!CG39</f>
        <v>0</v>
      </c>
      <c r="CH39" s="263">
        <f>GF39+'User Input - Correlations'!CH39</f>
        <v>0</v>
      </c>
      <c r="CI39" s="263">
        <f>GG39+'User Input - Correlations'!CI39</f>
        <v>0</v>
      </c>
      <c r="CJ39" s="263">
        <f>GH39+'User Input - Correlations'!CJ39</f>
        <v>0</v>
      </c>
      <c r="CK39" s="263">
        <f>GI39+'User Input - Correlations'!CK39</f>
        <v>0</v>
      </c>
      <c r="CL39" s="263">
        <f>GJ39+'User Input - Correlations'!CL39</f>
        <v>0</v>
      </c>
      <c r="CM39" s="263">
        <f>GK39+'User Input - Correlations'!CM39</f>
        <v>0</v>
      </c>
      <c r="CN39" s="263">
        <f>GL39+'User Input - Correlations'!CN39</f>
        <v>0</v>
      </c>
      <c r="CO39" s="263">
        <f>GM39+'User Input - Correlations'!CO39</f>
        <v>0</v>
      </c>
      <c r="CP39" s="264">
        <f>GN39+'User Input - Correlations'!CP39</f>
        <v>0</v>
      </c>
      <c r="CQ39" s="281">
        <f ca="1">MDETERM(OFFSET($C$11,0,0,ROWS($CQ$11:$CQ39),ROWS($CQ$11:$CQ39)))</f>
        <v>1</v>
      </c>
      <c r="DA39" s="263">
        <v>0</v>
      </c>
      <c r="DB39" s="263">
        <v>0</v>
      </c>
      <c r="DC39" s="263">
        <v>0</v>
      </c>
      <c r="DD39" s="263">
        <v>0</v>
      </c>
      <c r="DE39" s="263">
        <v>0</v>
      </c>
      <c r="DF39" s="263">
        <v>0</v>
      </c>
      <c r="DG39" s="263">
        <v>0</v>
      </c>
      <c r="DH39" s="263">
        <v>0</v>
      </c>
      <c r="DI39" s="263">
        <v>0</v>
      </c>
      <c r="DJ39" s="263">
        <v>0</v>
      </c>
      <c r="DK39" s="263">
        <v>0</v>
      </c>
      <c r="DL39" s="263">
        <v>0</v>
      </c>
      <c r="DM39" s="263">
        <v>0</v>
      </c>
      <c r="DN39" s="263">
        <v>0</v>
      </c>
      <c r="DO39" s="263">
        <v>0</v>
      </c>
      <c r="DP39" s="263">
        <v>0</v>
      </c>
      <c r="DQ39" s="263">
        <v>0</v>
      </c>
      <c r="DR39" s="263">
        <v>0</v>
      </c>
      <c r="DS39" s="263">
        <v>0</v>
      </c>
      <c r="DT39" s="263">
        <v>0</v>
      </c>
      <c r="DU39" s="263">
        <v>0</v>
      </c>
      <c r="DV39" s="263">
        <v>0</v>
      </c>
      <c r="DW39" s="263">
        <v>0</v>
      </c>
      <c r="DX39" s="263">
        <v>0</v>
      </c>
      <c r="DY39" s="263">
        <v>0</v>
      </c>
      <c r="DZ39" s="263">
        <v>0</v>
      </c>
      <c r="EA39" s="263">
        <v>0</v>
      </c>
      <c r="EB39" s="263">
        <v>0</v>
      </c>
      <c r="EC39" s="263">
        <v>1</v>
      </c>
      <c r="ED39" s="263">
        <v>0</v>
      </c>
      <c r="EE39" s="263">
        <v>0</v>
      </c>
      <c r="EF39" s="263">
        <v>0</v>
      </c>
      <c r="EG39" s="263">
        <v>0</v>
      </c>
      <c r="EH39" s="263">
        <v>0</v>
      </c>
      <c r="EI39" s="263">
        <v>0</v>
      </c>
      <c r="EJ39" s="263">
        <v>0</v>
      </c>
      <c r="EK39" s="263">
        <v>0</v>
      </c>
      <c r="EL39" s="263">
        <v>0</v>
      </c>
      <c r="EM39" s="263">
        <v>0</v>
      </c>
      <c r="EN39" s="263">
        <v>0</v>
      </c>
      <c r="EO39" s="263">
        <v>0</v>
      </c>
      <c r="EP39" s="263">
        <v>0</v>
      </c>
      <c r="EQ39" s="263">
        <v>0</v>
      </c>
      <c r="ER39" s="263">
        <v>0</v>
      </c>
      <c r="ES39" s="263">
        <v>0</v>
      </c>
      <c r="ET39" s="263">
        <v>0</v>
      </c>
      <c r="EU39" s="263">
        <v>0</v>
      </c>
      <c r="EV39" s="263">
        <v>0</v>
      </c>
      <c r="EW39" s="263">
        <v>0</v>
      </c>
      <c r="EX39" s="263">
        <v>0</v>
      </c>
      <c r="EY39" s="263">
        <v>0</v>
      </c>
      <c r="EZ39" s="263">
        <v>0</v>
      </c>
      <c r="FA39" s="263">
        <v>0</v>
      </c>
      <c r="FB39" s="263">
        <v>0</v>
      </c>
      <c r="FC39" s="263">
        <v>0</v>
      </c>
      <c r="FD39" s="263">
        <v>0</v>
      </c>
      <c r="FE39" s="263">
        <v>0</v>
      </c>
      <c r="FF39" s="263">
        <v>0</v>
      </c>
      <c r="FG39" s="263">
        <v>0</v>
      </c>
      <c r="FH39" s="263">
        <v>0</v>
      </c>
      <c r="FI39" s="263">
        <v>0</v>
      </c>
      <c r="FJ39" s="263">
        <v>0</v>
      </c>
      <c r="FK39" s="263">
        <v>0</v>
      </c>
      <c r="FL39" s="263">
        <v>0</v>
      </c>
      <c r="FM39" s="263">
        <v>0</v>
      </c>
      <c r="FN39" s="263">
        <v>0</v>
      </c>
      <c r="FO39" s="263">
        <v>0</v>
      </c>
      <c r="FP39" s="263">
        <v>0</v>
      </c>
      <c r="FQ39" s="263">
        <v>0</v>
      </c>
      <c r="FR39" s="263">
        <v>0</v>
      </c>
      <c r="FS39" s="263">
        <v>0</v>
      </c>
      <c r="FT39" s="263">
        <v>0</v>
      </c>
      <c r="FU39" s="263">
        <v>0</v>
      </c>
      <c r="FV39" s="263">
        <v>0</v>
      </c>
      <c r="FW39" s="263">
        <v>0</v>
      </c>
      <c r="FX39" s="263">
        <v>0</v>
      </c>
      <c r="FY39" s="263">
        <v>0</v>
      </c>
      <c r="FZ39" s="263">
        <v>0</v>
      </c>
      <c r="GA39" s="263">
        <v>0</v>
      </c>
      <c r="GB39" s="263">
        <v>0</v>
      </c>
      <c r="GC39" s="263">
        <v>0</v>
      </c>
      <c r="GD39" s="263">
        <v>0</v>
      </c>
      <c r="GE39" s="263">
        <v>0</v>
      </c>
      <c r="GF39" s="263">
        <v>0</v>
      </c>
      <c r="GG39" s="263">
        <v>0</v>
      </c>
      <c r="GH39" s="263">
        <v>0</v>
      </c>
      <c r="GI39" s="263">
        <v>0</v>
      </c>
      <c r="GJ39" s="263">
        <v>0</v>
      </c>
      <c r="GK39" s="263">
        <v>0</v>
      </c>
      <c r="GL39" s="263">
        <v>0</v>
      </c>
      <c r="GM39" s="263">
        <v>0</v>
      </c>
      <c r="GN39" s="263">
        <v>0</v>
      </c>
    </row>
    <row r="40" ht="12.75" customHeight="1">
      <c r="A40" s="285" t="s">
        <v>190</v>
      </c>
      <c r="B40" s="285" t="s">
        <v>185</v>
      </c>
      <c r="C40" s="263">
        <f>DA40+'User Input - Correlations'!C40</f>
        <v>0</v>
      </c>
      <c r="D40" s="263">
        <f>DB40+'User Input - Correlations'!D40</f>
        <v>0</v>
      </c>
      <c r="E40" s="263">
        <f>DC40+'User Input - Correlations'!E40</f>
        <v>0</v>
      </c>
      <c r="F40" s="263">
        <f>DD40+'User Input - Correlations'!F40</f>
        <v>0</v>
      </c>
      <c r="G40" s="263">
        <f>DE40+'User Input - Correlations'!G40</f>
        <v>0</v>
      </c>
      <c r="H40" s="263">
        <f>DF40+'User Input - Correlations'!H40</f>
        <v>0</v>
      </c>
      <c r="I40" s="263">
        <f>DG40+'User Input - Correlations'!I40</f>
        <v>0</v>
      </c>
      <c r="J40" s="263">
        <f>DH40+'User Input - Correlations'!J40</f>
        <v>0</v>
      </c>
      <c r="K40" s="263">
        <f>DI40+'User Input - Correlations'!K40</f>
        <v>0</v>
      </c>
      <c r="L40" s="263">
        <f>DJ40+'User Input - Correlations'!L40</f>
        <v>0</v>
      </c>
      <c r="M40" s="263">
        <f>DK40+'User Input - Correlations'!M40</f>
        <v>0</v>
      </c>
      <c r="N40" s="263">
        <f>DL40+'User Input - Correlations'!N40</f>
        <v>0</v>
      </c>
      <c r="O40" s="263">
        <f>DM40+'User Input - Correlations'!O40</f>
        <v>0</v>
      </c>
      <c r="P40" s="263">
        <f>DN40+'User Input - Correlations'!P40</f>
        <v>0</v>
      </c>
      <c r="Q40" s="263">
        <f>DO40+'User Input - Correlations'!Q40</f>
        <v>0</v>
      </c>
      <c r="R40" s="263">
        <f>DP40+'User Input - Correlations'!R40</f>
        <v>0</v>
      </c>
      <c r="S40" s="263">
        <f>DQ40+'User Input - Correlations'!S40</f>
        <v>0</v>
      </c>
      <c r="T40" s="263">
        <f>DR40+'User Input - Correlations'!T40</f>
        <v>0</v>
      </c>
      <c r="U40" s="263">
        <f>DS40+'User Input - Correlations'!U40</f>
        <v>0</v>
      </c>
      <c r="V40" s="263">
        <f>DT40+'User Input - Correlations'!V40</f>
        <v>0</v>
      </c>
      <c r="W40" s="263">
        <f>DU40+'User Input - Correlations'!W40</f>
        <v>0</v>
      </c>
      <c r="X40" s="263">
        <f>DV40+'User Input - Correlations'!X40</f>
        <v>0</v>
      </c>
      <c r="Y40" s="263">
        <f>DW40+'User Input - Correlations'!Y40</f>
        <v>0</v>
      </c>
      <c r="Z40" s="263">
        <f>DX40+'User Input - Correlations'!Z40</f>
        <v>0</v>
      </c>
      <c r="AA40" s="263">
        <f>DY40+'User Input - Correlations'!AA40</f>
        <v>0</v>
      </c>
      <c r="AB40" s="263">
        <f>DZ40+'User Input - Correlations'!AB40</f>
        <v>0</v>
      </c>
      <c r="AC40" s="263">
        <f>EA40+'User Input - Correlations'!AC40</f>
        <v>0</v>
      </c>
      <c r="AD40" s="263">
        <f>EB40+'User Input - Correlations'!AD40</f>
        <v>0</v>
      </c>
      <c r="AE40" s="263">
        <f>EC40+'User Input - Correlations'!AE40</f>
        <v>0</v>
      </c>
      <c r="AF40" s="263">
        <v>1</v>
      </c>
      <c r="AG40" s="263">
        <f>EE40+'User Input - Correlations'!AG40</f>
        <v>0</v>
      </c>
      <c r="AH40" s="263">
        <f>EF40+'User Input - Correlations'!AH40</f>
        <v>0</v>
      </c>
      <c r="AI40" s="263">
        <f>EG40+'User Input - Correlations'!AI40</f>
        <v>0</v>
      </c>
      <c r="AJ40" s="263">
        <f>EH40+'User Input - Correlations'!AJ40</f>
        <v>0</v>
      </c>
      <c r="AK40" s="263">
        <f>EI40+'User Input - Correlations'!AK40</f>
        <v>0</v>
      </c>
      <c r="AL40" s="263">
        <f>EJ40+'User Input - Correlations'!AL40</f>
        <v>0</v>
      </c>
      <c r="AM40" s="263">
        <f>EK40+'User Input - Correlations'!AM40</f>
        <v>0</v>
      </c>
      <c r="AN40" s="263">
        <f>EL40+'User Input - Correlations'!AN40</f>
        <v>0</v>
      </c>
      <c r="AO40" s="263">
        <f>EM40+'User Input - Correlations'!AO40</f>
        <v>0</v>
      </c>
      <c r="AP40" s="263">
        <f>EN40+'User Input - Correlations'!AP40</f>
        <v>0</v>
      </c>
      <c r="AQ40" s="263">
        <f>EO40+'User Input - Correlations'!AQ40</f>
        <v>0</v>
      </c>
      <c r="AR40" s="263">
        <f>EP40+'User Input - Correlations'!AR40</f>
        <v>0</v>
      </c>
      <c r="AS40" s="263">
        <f>EQ40+'User Input - Correlations'!AS40</f>
        <v>0</v>
      </c>
      <c r="AT40" s="263">
        <f>ER40+'User Input - Correlations'!AT40</f>
        <v>0</v>
      </c>
      <c r="AU40" s="263">
        <f>ES40+'User Input - Correlations'!AU40</f>
        <v>0</v>
      </c>
      <c r="AV40" s="263">
        <f>ET40+'User Input - Correlations'!AV40</f>
        <v>0</v>
      </c>
      <c r="AW40" s="263">
        <f>EU40+'User Input - Correlations'!AW40</f>
        <v>0</v>
      </c>
      <c r="AX40" s="263">
        <f>EV40+'User Input - Correlations'!AX40</f>
        <v>0</v>
      </c>
      <c r="AY40" s="263">
        <f>EW40+'User Input - Correlations'!AY40</f>
        <v>0</v>
      </c>
      <c r="AZ40" s="263">
        <f>EX40+'User Input - Correlations'!AZ40</f>
        <v>0</v>
      </c>
      <c r="BA40" s="263">
        <f>EY40+'User Input - Correlations'!BA40</f>
        <v>0</v>
      </c>
      <c r="BB40" s="263">
        <f>EZ40+'User Input - Correlations'!BB40</f>
        <v>0</v>
      </c>
      <c r="BC40" s="263">
        <f>FA40+'User Input - Correlations'!BC40</f>
        <v>0</v>
      </c>
      <c r="BD40" s="263">
        <f>FB40+'User Input - Correlations'!BD40</f>
        <v>0</v>
      </c>
      <c r="BE40" s="263">
        <f>FC40+'User Input - Correlations'!BE40</f>
        <v>0</v>
      </c>
      <c r="BF40" s="263">
        <f>FD40+'User Input - Correlations'!BF40</f>
        <v>0</v>
      </c>
      <c r="BG40" s="263">
        <f>FE40+'User Input - Correlations'!BG40</f>
        <v>0</v>
      </c>
      <c r="BH40" s="263">
        <f>FF40+'User Input - Correlations'!BH40</f>
        <v>0</v>
      </c>
      <c r="BI40" s="263">
        <f>FG40+'User Input - Correlations'!BI40</f>
        <v>0</v>
      </c>
      <c r="BJ40" s="263">
        <f>FH40+'User Input - Correlations'!BJ40</f>
        <v>0</v>
      </c>
      <c r="BK40" s="263">
        <f>FI40+'User Input - Correlations'!BK40</f>
        <v>0</v>
      </c>
      <c r="BL40" s="263">
        <f>FJ40+'User Input - Correlations'!BL40</f>
        <v>0</v>
      </c>
      <c r="BM40" s="263">
        <f>FK40+'User Input - Correlations'!BM40</f>
        <v>0</v>
      </c>
      <c r="BN40" s="263">
        <f>FL40+'User Input - Correlations'!BN40</f>
        <v>0</v>
      </c>
      <c r="BO40" s="263">
        <f>FM40+'User Input - Correlations'!BO40</f>
        <v>0</v>
      </c>
      <c r="BP40" s="263">
        <f>FN40+'User Input - Correlations'!BP40</f>
        <v>0</v>
      </c>
      <c r="BQ40" s="263">
        <f>FO40+'User Input - Correlations'!BQ40</f>
        <v>0</v>
      </c>
      <c r="BR40" s="263">
        <f>FP40+'User Input - Correlations'!BR40</f>
        <v>0</v>
      </c>
      <c r="BS40" s="263">
        <f>FQ40+'User Input - Correlations'!BS40</f>
        <v>0</v>
      </c>
      <c r="BT40" s="263">
        <f>FR40+'User Input - Correlations'!BT40</f>
        <v>0</v>
      </c>
      <c r="BU40" s="263">
        <f>FS40+'User Input - Correlations'!BU40</f>
        <v>0</v>
      </c>
      <c r="BV40" s="263">
        <f>FT40+'User Input - Correlations'!BV40</f>
        <v>0</v>
      </c>
      <c r="BW40" s="263">
        <f>FU40+'User Input - Correlations'!BW40</f>
        <v>0</v>
      </c>
      <c r="BX40" s="263">
        <f>FV40+'User Input - Correlations'!BX40</f>
        <v>0</v>
      </c>
      <c r="BY40" s="263">
        <f>FW40+'User Input - Correlations'!BY40</f>
        <v>0</v>
      </c>
      <c r="BZ40" s="263">
        <f>FX40+'User Input - Correlations'!BZ40</f>
        <v>0</v>
      </c>
      <c r="CA40" s="263">
        <f>FY40+'User Input - Correlations'!CA40</f>
        <v>0</v>
      </c>
      <c r="CB40" s="263">
        <f>FZ40+'User Input - Correlations'!CB40</f>
        <v>0</v>
      </c>
      <c r="CC40" s="263">
        <f>GA40+'User Input - Correlations'!CC40</f>
        <v>0</v>
      </c>
      <c r="CD40" s="263">
        <f>GB40+'User Input - Correlations'!CD40</f>
        <v>0</v>
      </c>
      <c r="CE40" s="263">
        <f>GC40+'User Input - Correlations'!CE40</f>
        <v>0</v>
      </c>
      <c r="CF40" s="263">
        <f>GD40+'User Input - Correlations'!CF40</f>
        <v>0</v>
      </c>
      <c r="CG40" s="263">
        <f>GE40+'User Input - Correlations'!CG40</f>
        <v>0</v>
      </c>
      <c r="CH40" s="263">
        <f>GF40+'User Input - Correlations'!CH40</f>
        <v>0</v>
      </c>
      <c r="CI40" s="263">
        <f>GG40+'User Input - Correlations'!CI40</f>
        <v>0</v>
      </c>
      <c r="CJ40" s="263">
        <f>GH40+'User Input - Correlations'!CJ40</f>
        <v>0</v>
      </c>
      <c r="CK40" s="263">
        <f>GI40+'User Input - Correlations'!CK40</f>
        <v>0</v>
      </c>
      <c r="CL40" s="263">
        <f>GJ40+'User Input - Correlations'!CL40</f>
        <v>0</v>
      </c>
      <c r="CM40" s="263">
        <f>GK40+'User Input - Correlations'!CM40</f>
        <v>0</v>
      </c>
      <c r="CN40" s="263">
        <f>GL40+'User Input - Correlations'!CN40</f>
        <v>0</v>
      </c>
      <c r="CO40" s="263">
        <f>GM40+'User Input - Correlations'!CO40</f>
        <v>0</v>
      </c>
      <c r="CP40" s="264">
        <f>GN40+'User Input - Correlations'!CP40</f>
        <v>0</v>
      </c>
      <c r="CQ40" s="281">
        <f ca="1">MDETERM(OFFSET($C$11,0,0,ROWS($CQ$11:$CQ40),ROWS($CQ$11:$CQ40)))</f>
        <v>1</v>
      </c>
      <c r="DA40" s="263">
        <v>0</v>
      </c>
      <c r="DB40" s="263">
        <v>0</v>
      </c>
      <c r="DC40" s="263">
        <v>0</v>
      </c>
      <c r="DD40" s="263">
        <v>0</v>
      </c>
      <c r="DE40" s="263">
        <v>0</v>
      </c>
      <c r="DF40" s="263">
        <v>0</v>
      </c>
      <c r="DG40" s="263">
        <v>0</v>
      </c>
      <c r="DH40" s="263">
        <v>0</v>
      </c>
      <c r="DI40" s="263">
        <v>0</v>
      </c>
      <c r="DJ40" s="263">
        <v>0</v>
      </c>
      <c r="DK40" s="263">
        <v>0</v>
      </c>
      <c r="DL40" s="263">
        <v>0</v>
      </c>
      <c r="DM40" s="263">
        <v>0</v>
      </c>
      <c r="DN40" s="263">
        <v>0</v>
      </c>
      <c r="DO40" s="263">
        <v>0</v>
      </c>
      <c r="DP40" s="263">
        <v>0</v>
      </c>
      <c r="DQ40" s="263">
        <v>0</v>
      </c>
      <c r="DR40" s="263">
        <v>0</v>
      </c>
      <c r="DS40" s="263">
        <v>0</v>
      </c>
      <c r="DT40" s="263">
        <v>0</v>
      </c>
      <c r="DU40" s="263">
        <v>0</v>
      </c>
      <c r="DV40" s="263">
        <v>0</v>
      </c>
      <c r="DW40" s="263">
        <v>0</v>
      </c>
      <c r="DX40" s="263">
        <v>0</v>
      </c>
      <c r="DY40" s="263">
        <v>0</v>
      </c>
      <c r="DZ40" s="263">
        <v>0</v>
      </c>
      <c r="EA40" s="263">
        <v>0</v>
      </c>
      <c r="EB40" s="263">
        <v>0</v>
      </c>
      <c r="EC40" s="263">
        <v>0</v>
      </c>
      <c r="ED40" s="263">
        <v>1</v>
      </c>
      <c r="EE40" s="263">
        <v>0</v>
      </c>
      <c r="EF40" s="263">
        <v>0</v>
      </c>
      <c r="EG40" s="263">
        <v>0</v>
      </c>
      <c r="EH40" s="263">
        <v>0</v>
      </c>
      <c r="EI40" s="263">
        <v>0</v>
      </c>
      <c r="EJ40" s="263">
        <v>0</v>
      </c>
      <c r="EK40" s="263">
        <v>0</v>
      </c>
      <c r="EL40" s="263">
        <v>0</v>
      </c>
      <c r="EM40" s="263">
        <v>0</v>
      </c>
      <c r="EN40" s="263">
        <v>0</v>
      </c>
      <c r="EO40" s="263">
        <v>0</v>
      </c>
      <c r="EP40" s="263">
        <v>0</v>
      </c>
      <c r="EQ40" s="263">
        <v>0</v>
      </c>
      <c r="ER40" s="263">
        <v>0</v>
      </c>
      <c r="ES40" s="263">
        <v>0</v>
      </c>
      <c r="ET40" s="263">
        <v>0</v>
      </c>
      <c r="EU40" s="263">
        <v>0</v>
      </c>
      <c r="EV40" s="263">
        <v>0</v>
      </c>
      <c r="EW40" s="263">
        <v>0</v>
      </c>
      <c r="EX40" s="263">
        <v>0</v>
      </c>
      <c r="EY40" s="263">
        <v>0</v>
      </c>
      <c r="EZ40" s="263">
        <v>0</v>
      </c>
      <c r="FA40" s="263">
        <v>0</v>
      </c>
      <c r="FB40" s="263">
        <v>0</v>
      </c>
      <c r="FC40" s="263">
        <v>0</v>
      </c>
      <c r="FD40" s="263">
        <v>0</v>
      </c>
      <c r="FE40" s="263">
        <v>0</v>
      </c>
      <c r="FF40" s="263">
        <v>0</v>
      </c>
      <c r="FG40" s="263">
        <v>0</v>
      </c>
      <c r="FH40" s="263">
        <v>0</v>
      </c>
      <c r="FI40" s="263">
        <v>0</v>
      </c>
      <c r="FJ40" s="263">
        <v>0</v>
      </c>
      <c r="FK40" s="263">
        <v>0</v>
      </c>
      <c r="FL40" s="263">
        <v>0</v>
      </c>
      <c r="FM40" s="263">
        <v>0</v>
      </c>
      <c r="FN40" s="263">
        <v>0</v>
      </c>
      <c r="FO40" s="263">
        <v>0</v>
      </c>
      <c r="FP40" s="263">
        <v>0</v>
      </c>
      <c r="FQ40" s="263">
        <v>0</v>
      </c>
      <c r="FR40" s="263">
        <v>0</v>
      </c>
      <c r="FS40" s="263">
        <v>0</v>
      </c>
      <c r="FT40" s="263">
        <v>0</v>
      </c>
      <c r="FU40" s="263">
        <v>0</v>
      </c>
      <c r="FV40" s="263">
        <v>0</v>
      </c>
      <c r="FW40" s="263">
        <v>0</v>
      </c>
      <c r="FX40" s="263">
        <v>0</v>
      </c>
      <c r="FY40" s="263">
        <v>0</v>
      </c>
      <c r="FZ40" s="263">
        <v>0</v>
      </c>
      <c r="GA40" s="263">
        <v>0</v>
      </c>
      <c r="GB40" s="263">
        <v>0</v>
      </c>
      <c r="GC40" s="263">
        <v>0</v>
      </c>
      <c r="GD40" s="263">
        <v>0</v>
      </c>
      <c r="GE40" s="263">
        <v>0</v>
      </c>
      <c r="GF40" s="263">
        <v>0</v>
      </c>
      <c r="GG40" s="263">
        <v>0</v>
      </c>
      <c r="GH40" s="263">
        <v>0</v>
      </c>
      <c r="GI40" s="263">
        <v>0</v>
      </c>
      <c r="GJ40" s="263">
        <v>0</v>
      </c>
      <c r="GK40" s="263">
        <v>0</v>
      </c>
      <c r="GL40" s="263">
        <v>0</v>
      </c>
      <c r="GM40" s="263">
        <v>0</v>
      </c>
      <c r="GN40" s="263">
        <v>0</v>
      </c>
    </row>
    <row r="41" ht="12.75" customHeight="1">
      <c r="A41" s="285" t="s">
        <v>85</v>
      </c>
      <c r="B41" s="285" t="s">
        <v>185</v>
      </c>
      <c r="C41" s="263">
        <f>DA41+'User Input - Correlations'!C41</f>
        <v>0</v>
      </c>
      <c r="D41" s="263">
        <f>DB41+'User Input - Correlations'!D41</f>
        <v>0</v>
      </c>
      <c r="E41" s="263">
        <f>DC41+'User Input - Correlations'!E41</f>
        <v>0</v>
      </c>
      <c r="F41" s="263">
        <f>DD41+'User Input - Correlations'!F41</f>
        <v>0</v>
      </c>
      <c r="G41" s="263">
        <f>DE41+'User Input - Correlations'!G41</f>
        <v>0</v>
      </c>
      <c r="H41" s="263">
        <f>DF41+'User Input - Correlations'!H41</f>
        <v>0</v>
      </c>
      <c r="I41" s="263">
        <f>DG41+'User Input - Correlations'!I41</f>
        <v>0</v>
      </c>
      <c r="J41" s="263">
        <f>DH41+'User Input - Correlations'!J41</f>
        <v>0</v>
      </c>
      <c r="K41" s="263">
        <f>DI41+'User Input - Correlations'!K41</f>
        <v>0</v>
      </c>
      <c r="L41" s="263">
        <f>DJ41+'User Input - Correlations'!L41</f>
        <v>0</v>
      </c>
      <c r="M41" s="263">
        <f>DK41+'User Input - Correlations'!M41</f>
        <v>0</v>
      </c>
      <c r="N41" s="263">
        <f>DL41+'User Input - Correlations'!N41</f>
        <v>0</v>
      </c>
      <c r="O41" s="263">
        <f>DM41+'User Input - Correlations'!O41</f>
        <v>0</v>
      </c>
      <c r="P41" s="263">
        <f>DN41+'User Input - Correlations'!P41</f>
        <v>0</v>
      </c>
      <c r="Q41" s="263">
        <f>DO41+'User Input - Correlations'!Q41</f>
        <v>0</v>
      </c>
      <c r="R41" s="263">
        <f>DP41+'User Input - Correlations'!R41</f>
        <v>0</v>
      </c>
      <c r="S41" s="263">
        <f>DQ41+'User Input - Correlations'!S41</f>
        <v>0</v>
      </c>
      <c r="T41" s="263">
        <f>DR41+'User Input - Correlations'!T41</f>
        <v>0</v>
      </c>
      <c r="U41" s="263">
        <f>DS41+'User Input - Correlations'!U41</f>
        <v>0</v>
      </c>
      <c r="V41" s="263">
        <f>DT41+'User Input - Correlations'!V41</f>
        <v>0</v>
      </c>
      <c r="W41" s="263">
        <f>DU41+'User Input - Correlations'!W41</f>
        <v>0</v>
      </c>
      <c r="X41" s="263">
        <f>DV41+'User Input - Correlations'!X41</f>
        <v>0</v>
      </c>
      <c r="Y41" s="263">
        <f>DW41+'User Input - Correlations'!Y41</f>
        <v>0</v>
      </c>
      <c r="Z41" s="263">
        <f>DX41+'User Input - Correlations'!Z41</f>
        <v>0</v>
      </c>
      <c r="AA41" s="263">
        <f>DY41+'User Input - Correlations'!AA41</f>
        <v>0</v>
      </c>
      <c r="AB41" s="263">
        <f>DZ41+'User Input - Correlations'!AB41</f>
        <v>0</v>
      </c>
      <c r="AC41" s="263">
        <f>EA41+'User Input - Correlations'!AC41</f>
        <v>0</v>
      </c>
      <c r="AD41" s="263">
        <f>EB41+'User Input - Correlations'!AD41</f>
        <v>0</v>
      </c>
      <c r="AE41" s="263">
        <f>EC41+'User Input - Correlations'!AE41</f>
        <v>0</v>
      </c>
      <c r="AF41" s="263">
        <f>ED41+'User Input - Correlations'!AF41</f>
        <v>0</v>
      </c>
      <c r="AG41" s="263">
        <v>1</v>
      </c>
      <c r="AH41" s="263">
        <f>EF41+'User Input - Correlations'!AH41</f>
        <v>0</v>
      </c>
      <c r="AI41" s="263">
        <f>EG41+'User Input - Correlations'!AI41</f>
        <v>0</v>
      </c>
      <c r="AJ41" s="263">
        <f>EH41+'User Input - Correlations'!AJ41</f>
        <v>0</v>
      </c>
      <c r="AK41" s="263">
        <f>EI41+'User Input - Correlations'!AK41</f>
        <v>0</v>
      </c>
      <c r="AL41" s="263">
        <f>EJ41+'User Input - Correlations'!AL41</f>
        <v>0</v>
      </c>
      <c r="AM41" s="263">
        <f>EK41+'User Input - Correlations'!AM41</f>
        <v>0</v>
      </c>
      <c r="AN41" s="263">
        <f>EL41+'User Input - Correlations'!AN41</f>
        <v>0</v>
      </c>
      <c r="AO41" s="263">
        <f>EM41+'User Input - Correlations'!AO41</f>
        <v>0</v>
      </c>
      <c r="AP41" s="263">
        <f>EN41+'User Input - Correlations'!AP41</f>
        <v>0</v>
      </c>
      <c r="AQ41" s="263">
        <f>EO41+'User Input - Correlations'!AQ41</f>
        <v>0</v>
      </c>
      <c r="AR41" s="263">
        <f>EP41+'User Input - Correlations'!AR41</f>
        <v>0</v>
      </c>
      <c r="AS41" s="263">
        <f>EQ41+'User Input - Correlations'!AS41</f>
        <v>0</v>
      </c>
      <c r="AT41" s="263">
        <f>ER41+'User Input - Correlations'!AT41</f>
        <v>0</v>
      </c>
      <c r="AU41" s="263">
        <f>ES41+'User Input - Correlations'!AU41</f>
        <v>0</v>
      </c>
      <c r="AV41" s="263">
        <f>ET41+'User Input - Correlations'!AV41</f>
        <v>0</v>
      </c>
      <c r="AW41" s="263">
        <f>EU41+'User Input - Correlations'!AW41</f>
        <v>0</v>
      </c>
      <c r="AX41" s="263">
        <f>EV41+'User Input - Correlations'!AX41</f>
        <v>0</v>
      </c>
      <c r="AY41" s="263">
        <f>EW41+'User Input - Correlations'!AY41</f>
        <v>0</v>
      </c>
      <c r="AZ41" s="263">
        <f>EX41+'User Input - Correlations'!AZ41</f>
        <v>0</v>
      </c>
      <c r="BA41" s="263">
        <f>EY41+'User Input - Correlations'!BA41</f>
        <v>0</v>
      </c>
      <c r="BB41" s="263">
        <f>EZ41+'User Input - Correlations'!BB41</f>
        <v>0</v>
      </c>
      <c r="BC41" s="263">
        <f>FA41+'User Input - Correlations'!BC41</f>
        <v>0</v>
      </c>
      <c r="BD41" s="263">
        <f>FB41+'User Input - Correlations'!BD41</f>
        <v>0</v>
      </c>
      <c r="BE41" s="263">
        <f>FC41+'User Input - Correlations'!BE41</f>
        <v>0</v>
      </c>
      <c r="BF41" s="263">
        <f>FD41+'User Input - Correlations'!BF41</f>
        <v>0</v>
      </c>
      <c r="BG41" s="263">
        <f>FE41+'User Input - Correlations'!BG41</f>
        <v>0</v>
      </c>
      <c r="BH41" s="263">
        <f>FF41+'User Input - Correlations'!BH41</f>
        <v>0</v>
      </c>
      <c r="BI41" s="263">
        <f>FG41+'User Input - Correlations'!BI41</f>
        <v>0</v>
      </c>
      <c r="BJ41" s="263">
        <f>FH41+'User Input - Correlations'!BJ41</f>
        <v>0</v>
      </c>
      <c r="BK41" s="263">
        <f>FI41+'User Input - Correlations'!BK41</f>
        <v>0</v>
      </c>
      <c r="BL41" s="263">
        <f>FJ41+'User Input - Correlations'!BL41</f>
        <v>0</v>
      </c>
      <c r="BM41" s="263">
        <f>FK41+'User Input - Correlations'!BM41</f>
        <v>0</v>
      </c>
      <c r="BN41" s="263">
        <f>FL41+'User Input - Correlations'!BN41</f>
        <v>0</v>
      </c>
      <c r="BO41" s="263">
        <f>FM41+'User Input - Correlations'!BO41</f>
        <v>0</v>
      </c>
      <c r="BP41" s="263">
        <f>FN41+'User Input - Correlations'!BP41</f>
        <v>0</v>
      </c>
      <c r="BQ41" s="263">
        <f>FO41+'User Input - Correlations'!BQ41</f>
        <v>0</v>
      </c>
      <c r="BR41" s="263">
        <f>FP41+'User Input - Correlations'!BR41</f>
        <v>0</v>
      </c>
      <c r="BS41" s="263">
        <f>FQ41+'User Input - Correlations'!BS41</f>
        <v>0</v>
      </c>
      <c r="BT41" s="263">
        <f>FR41+'User Input - Correlations'!BT41</f>
        <v>0</v>
      </c>
      <c r="BU41" s="263">
        <f>FS41+'User Input - Correlations'!BU41</f>
        <v>0</v>
      </c>
      <c r="BV41" s="263">
        <f>FT41+'User Input - Correlations'!BV41</f>
        <v>0</v>
      </c>
      <c r="BW41" s="263">
        <f>FU41+'User Input - Correlations'!BW41</f>
        <v>0</v>
      </c>
      <c r="BX41" s="263">
        <f>FV41+'User Input - Correlations'!BX41</f>
        <v>0</v>
      </c>
      <c r="BY41" s="263">
        <f>FW41+'User Input - Correlations'!BY41</f>
        <v>0</v>
      </c>
      <c r="BZ41" s="263">
        <f>FX41+'User Input - Correlations'!BZ41</f>
        <v>0</v>
      </c>
      <c r="CA41" s="263">
        <f>FY41+'User Input - Correlations'!CA41</f>
        <v>0</v>
      </c>
      <c r="CB41" s="263">
        <f>FZ41+'User Input - Correlations'!CB41</f>
        <v>0</v>
      </c>
      <c r="CC41" s="263">
        <f>GA41+'User Input - Correlations'!CC41</f>
        <v>0</v>
      </c>
      <c r="CD41" s="263">
        <f>GB41+'User Input - Correlations'!CD41</f>
        <v>0</v>
      </c>
      <c r="CE41" s="263">
        <f>GC41+'User Input - Correlations'!CE41</f>
        <v>0</v>
      </c>
      <c r="CF41" s="263">
        <f>GD41+'User Input - Correlations'!CF41</f>
        <v>0</v>
      </c>
      <c r="CG41" s="263">
        <f>GE41+'User Input - Correlations'!CG41</f>
        <v>0</v>
      </c>
      <c r="CH41" s="263">
        <f>GF41+'User Input - Correlations'!CH41</f>
        <v>0</v>
      </c>
      <c r="CI41" s="263">
        <f>GG41+'User Input - Correlations'!CI41</f>
        <v>0</v>
      </c>
      <c r="CJ41" s="263">
        <f>GH41+'User Input - Correlations'!CJ41</f>
        <v>0</v>
      </c>
      <c r="CK41" s="263">
        <f>GI41+'User Input - Correlations'!CK41</f>
        <v>0</v>
      </c>
      <c r="CL41" s="263">
        <f>GJ41+'User Input - Correlations'!CL41</f>
        <v>0</v>
      </c>
      <c r="CM41" s="263">
        <f>GK41+'User Input - Correlations'!CM41</f>
        <v>0</v>
      </c>
      <c r="CN41" s="263">
        <f>GL41+'User Input - Correlations'!CN41</f>
        <v>0</v>
      </c>
      <c r="CO41" s="263">
        <f>GM41+'User Input - Correlations'!CO41</f>
        <v>0</v>
      </c>
      <c r="CP41" s="264">
        <f>GN41+'User Input - Correlations'!CP41</f>
        <v>0</v>
      </c>
      <c r="CQ41" s="281">
        <f ca="1">MDETERM(OFFSET($C$11,0,0,ROWS($CQ$11:$CQ41),ROWS($CQ$11:$CQ41)))</f>
        <v>1</v>
      </c>
      <c r="DA41" s="263">
        <v>0</v>
      </c>
      <c r="DB41" s="263">
        <v>0</v>
      </c>
      <c r="DC41" s="263">
        <v>0</v>
      </c>
      <c r="DD41" s="263">
        <v>0</v>
      </c>
      <c r="DE41" s="263">
        <v>0</v>
      </c>
      <c r="DF41" s="263">
        <v>0</v>
      </c>
      <c r="DG41" s="263">
        <v>0</v>
      </c>
      <c r="DH41" s="263">
        <v>0</v>
      </c>
      <c r="DI41" s="263">
        <v>0</v>
      </c>
      <c r="DJ41" s="263">
        <v>0</v>
      </c>
      <c r="DK41" s="263">
        <v>0</v>
      </c>
      <c r="DL41" s="263">
        <v>0</v>
      </c>
      <c r="DM41" s="263">
        <v>0</v>
      </c>
      <c r="DN41" s="263">
        <v>0</v>
      </c>
      <c r="DO41" s="263">
        <v>0</v>
      </c>
      <c r="DP41" s="263">
        <v>0</v>
      </c>
      <c r="DQ41" s="263">
        <v>0</v>
      </c>
      <c r="DR41" s="263">
        <v>0</v>
      </c>
      <c r="DS41" s="263">
        <v>0</v>
      </c>
      <c r="DT41" s="263">
        <v>0</v>
      </c>
      <c r="DU41" s="263">
        <v>0</v>
      </c>
      <c r="DV41" s="263">
        <v>0</v>
      </c>
      <c r="DW41" s="263">
        <v>0</v>
      </c>
      <c r="DX41" s="263">
        <v>0</v>
      </c>
      <c r="DY41" s="263">
        <v>0</v>
      </c>
      <c r="DZ41" s="263">
        <v>0</v>
      </c>
      <c r="EA41" s="263">
        <v>0</v>
      </c>
      <c r="EB41" s="263">
        <v>0</v>
      </c>
      <c r="EC41" s="263">
        <v>0</v>
      </c>
      <c r="ED41" s="263">
        <v>0</v>
      </c>
      <c r="EE41" s="263">
        <v>1</v>
      </c>
      <c r="EF41" s="263">
        <v>0</v>
      </c>
      <c r="EG41" s="263">
        <v>0</v>
      </c>
      <c r="EH41" s="263">
        <v>0</v>
      </c>
      <c r="EI41" s="263">
        <v>0</v>
      </c>
      <c r="EJ41" s="263">
        <v>0</v>
      </c>
      <c r="EK41" s="263">
        <v>0</v>
      </c>
      <c r="EL41" s="263">
        <v>0</v>
      </c>
      <c r="EM41" s="263">
        <v>0</v>
      </c>
      <c r="EN41" s="263">
        <v>0</v>
      </c>
      <c r="EO41" s="263">
        <v>0</v>
      </c>
      <c r="EP41" s="263">
        <v>0</v>
      </c>
      <c r="EQ41" s="263">
        <v>0</v>
      </c>
      <c r="ER41" s="263">
        <v>0</v>
      </c>
      <c r="ES41" s="263">
        <v>0</v>
      </c>
      <c r="ET41" s="263">
        <v>0</v>
      </c>
      <c r="EU41" s="263">
        <v>0</v>
      </c>
      <c r="EV41" s="263">
        <v>0</v>
      </c>
      <c r="EW41" s="263">
        <v>0</v>
      </c>
      <c r="EX41" s="263">
        <v>0</v>
      </c>
      <c r="EY41" s="263">
        <v>0</v>
      </c>
      <c r="EZ41" s="263">
        <v>0</v>
      </c>
      <c r="FA41" s="263">
        <v>0</v>
      </c>
      <c r="FB41" s="263">
        <v>0</v>
      </c>
      <c r="FC41" s="263">
        <v>0</v>
      </c>
      <c r="FD41" s="263">
        <v>0</v>
      </c>
      <c r="FE41" s="263">
        <v>0</v>
      </c>
      <c r="FF41" s="263">
        <v>0</v>
      </c>
      <c r="FG41" s="263">
        <v>0</v>
      </c>
      <c r="FH41" s="263">
        <v>0</v>
      </c>
      <c r="FI41" s="263">
        <v>0</v>
      </c>
      <c r="FJ41" s="263">
        <v>0</v>
      </c>
      <c r="FK41" s="263">
        <v>0</v>
      </c>
      <c r="FL41" s="263">
        <v>0</v>
      </c>
      <c r="FM41" s="263">
        <v>0</v>
      </c>
      <c r="FN41" s="263">
        <v>0</v>
      </c>
      <c r="FO41" s="263">
        <v>0</v>
      </c>
      <c r="FP41" s="263">
        <v>0</v>
      </c>
      <c r="FQ41" s="263">
        <v>0</v>
      </c>
      <c r="FR41" s="263">
        <v>0</v>
      </c>
      <c r="FS41" s="263">
        <v>0</v>
      </c>
      <c r="FT41" s="263">
        <v>0</v>
      </c>
      <c r="FU41" s="263">
        <v>0</v>
      </c>
      <c r="FV41" s="263">
        <v>0</v>
      </c>
      <c r="FW41" s="263">
        <v>0</v>
      </c>
      <c r="FX41" s="263">
        <v>0</v>
      </c>
      <c r="FY41" s="263">
        <v>0</v>
      </c>
      <c r="FZ41" s="263">
        <v>0</v>
      </c>
      <c r="GA41" s="263">
        <v>0</v>
      </c>
      <c r="GB41" s="263">
        <v>0</v>
      </c>
      <c r="GC41" s="263">
        <v>0</v>
      </c>
      <c r="GD41" s="263">
        <v>0</v>
      </c>
      <c r="GE41" s="263">
        <v>0</v>
      </c>
      <c r="GF41" s="263">
        <v>0</v>
      </c>
      <c r="GG41" s="263">
        <v>0</v>
      </c>
      <c r="GH41" s="263">
        <v>0</v>
      </c>
      <c r="GI41" s="263">
        <v>0</v>
      </c>
      <c r="GJ41" s="263">
        <v>0</v>
      </c>
      <c r="GK41" s="263">
        <v>0</v>
      </c>
      <c r="GL41" s="263">
        <v>0</v>
      </c>
      <c r="GM41" s="263">
        <v>0</v>
      </c>
      <c r="GN41" s="263">
        <v>0</v>
      </c>
    </row>
    <row r="42" ht="12.75" customHeight="1">
      <c r="A42" s="285" t="s">
        <v>227</v>
      </c>
      <c r="B42" s="285" t="s">
        <v>185</v>
      </c>
      <c r="C42" s="263">
        <f>DA42+'User Input - Correlations'!C42</f>
        <v>0</v>
      </c>
      <c r="D42" s="263">
        <f>DB42+'User Input - Correlations'!D42</f>
        <v>0</v>
      </c>
      <c r="E42" s="263">
        <f>DC42+'User Input - Correlations'!E42</f>
        <v>0</v>
      </c>
      <c r="F42" s="263">
        <f>DD42+'User Input - Correlations'!F42</f>
        <v>0</v>
      </c>
      <c r="G42" s="263">
        <f>DE42+'User Input - Correlations'!G42</f>
        <v>0</v>
      </c>
      <c r="H42" s="263">
        <f>DF42+'User Input - Correlations'!H42</f>
        <v>0</v>
      </c>
      <c r="I42" s="263">
        <f>DG42+'User Input - Correlations'!I42</f>
        <v>0</v>
      </c>
      <c r="J42" s="263">
        <f>DH42+'User Input - Correlations'!J42</f>
        <v>0</v>
      </c>
      <c r="K42" s="263">
        <f>DI42+'User Input - Correlations'!K42</f>
        <v>0</v>
      </c>
      <c r="L42" s="263">
        <f>DJ42+'User Input - Correlations'!L42</f>
        <v>0</v>
      </c>
      <c r="M42" s="263">
        <f>DK42+'User Input - Correlations'!M42</f>
        <v>0</v>
      </c>
      <c r="N42" s="263">
        <f>DL42+'User Input - Correlations'!N42</f>
        <v>0</v>
      </c>
      <c r="O42" s="263">
        <f>DM42+'User Input - Correlations'!O42</f>
        <v>0</v>
      </c>
      <c r="P42" s="263">
        <f>DN42+'User Input - Correlations'!P42</f>
        <v>0</v>
      </c>
      <c r="Q42" s="263">
        <f>DO42+'User Input - Correlations'!Q42</f>
        <v>0</v>
      </c>
      <c r="R42" s="263">
        <f>DP42+'User Input - Correlations'!R42</f>
        <v>0</v>
      </c>
      <c r="S42" s="263">
        <f>DQ42+'User Input - Correlations'!S42</f>
        <v>0</v>
      </c>
      <c r="T42" s="263">
        <f>DR42+'User Input - Correlations'!T42</f>
        <v>0</v>
      </c>
      <c r="U42" s="263">
        <f>DS42+'User Input - Correlations'!U42</f>
        <v>0</v>
      </c>
      <c r="V42" s="263">
        <f>DT42+'User Input - Correlations'!V42</f>
        <v>0</v>
      </c>
      <c r="W42" s="263">
        <f>DU42+'User Input - Correlations'!W42</f>
        <v>0</v>
      </c>
      <c r="X42" s="263">
        <f>DV42+'User Input - Correlations'!X42</f>
        <v>0</v>
      </c>
      <c r="Y42" s="263">
        <f>DW42+'User Input - Correlations'!Y42</f>
        <v>0</v>
      </c>
      <c r="Z42" s="263">
        <f>DX42+'User Input - Correlations'!Z42</f>
        <v>0</v>
      </c>
      <c r="AA42" s="263">
        <f>DY42+'User Input - Correlations'!AA42</f>
        <v>0</v>
      </c>
      <c r="AB42" s="263">
        <f>DZ42+'User Input - Correlations'!AB42</f>
        <v>0</v>
      </c>
      <c r="AC42" s="263">
        <f>EA42+'User Input - Correlations'!AC42</f>
        <v>0</v>
      </c>
      <c r="AD42" s="263">
        <f>EB42+'User Input - Correlations'!AD42</f>
        <v>0</v>
      </c>
      <c r="AE42" s="263">
        <f>EC42+'User Input - Correlations'!AE42</f>
        <v>0</v>
      </c>
      <c r="AF42" s="263">
        <f>ED42+'User Input - Correlations'!AF42</f>
        <v>0</v>
      </c>
      <c r="AG42" s="263">
        <f>EE42+'User Input - Correlations'!AG42</f>
        <v>0</v>
      </c>
      <c r="AH42" s="263">
        <v>1</v>
      </c>
      <c r="AI42" s="263">
        <f>EG42+'User Input - Correlations'!AI42</f>
        <v>0</v>
      </c>
      <c r="AJ42" s="263">
        <f>EH42+'User Input - Correlations'!AJ42</f>
        <v>0</v>
      </c>
      <c r="AK42" s="263">
        <f>EI42+'User Input - Correlations'!AK42</f>
        <v>0</v>
      </c>
      <c r="AL42" s="263">
        <f>EJ42+'User Input - Correlations'!AL42</f>
        <v>0</v>
      </c>
      <c r="AM42" s="263">
        <f>EK42+'User Input - Correlations'!AM42</f>
        <v>0</v>
      </c>
      <c r="AN42" s="263">
        <f>EL42+'User Input - Correlations'!AN42</f>
        <v>0</v>
      </c>
      <c r="AO42" s="263">
        <f>EM42+'User Input - Correlations'!AO42</f>
        <v>0</v>
      </c>
      <c r="AP42" s="263">
        <f>EN42+'User Input - Correlations'!AP42</f>
        <v>0</v>
      </c>
      <c r="AQ42" s="263">
        <f>EO42+'User Input - Correlations'!AQ42</f>
        <v>0</v>
      </c>
      <c r="AR42" s="263">
        <f>EP42+'User Input - Correlations'!AR42</f>
        <v>0</v>
      </c>
      <c r="AS42" s="263">
        <f>EQ42+'User Input - Correlations'!AS42</f>
        <v>0</v>
      </c>
      <c r="AT42" s="263">
        <f>ER42+'User Input - Correlations'!AT42</f>
        <v>0</v>
      </c>
      <c r="AU42" s="263">
        <f>ES42+'User Input - Correlations'!AU42</f>
        <v>0</v>
      </c>
      <c r="AV42" s="263">
        <f>ET42+'User Input - Correlations'!AV42</f>
        <v>0</v>
      </c>
      <c r="AW42" s="263">
        <f>EU42+'User Input - Correlations'!AW42</f>
        <v>0</v>
      </c>
      <c r="AX42" s="263">
        <f>EV42+'User Input - Correlations'!AX42</f>
        <v>0</v>
      </c>
      <c r="AY42" s="263">
        <f>EW42+'User Input - Correlations'!AY42</f>
        <v>0</v>
      </c>
      <c r="AZ42" s="263">
        <f>EX42+'User Input - Correlations'!AZ42</f>
        <v>0</v>
      </c>
      <c r="BA42" s="263">
        <f>EY42+'User Input - Correlations'!BA42</f>
        <v>0</v>
      </c>
      <c r="BB42" s="263">
        <f>EZ42+'User Input - Correlations'!BB42</f>
        <v>0</v>
      </c>
      <c r="BC42" s="263">
        <f>FA42+'User Input - Correlations'!BC42</f>
        <v>0</v>
      </c>
      <c r="BD42" s="263">
        <f>FB42+'User Input - Correlations'!BD42</f>
        <v>0</v>
      </c>
      <c r="BE42" s="263">
        <f>FC42+'User Input - Correlations'!BE42</f>
        <v>0</v>
      </c>
      <c r="BF42" s="263">
        <f>FD42+'User Input - Correlations'!BF42</f>
        <v>0</v>
      </c>
      <c r="BG42" s="263">
        <f>FE42+'User Input - Correlations'!BG42</f>
        <v>0</v>
      </c>
      <c r="BH42" s="263">
        <f>FF42+'User Input - Correlations'!BH42</f>
        <v>0</v>
      </c>
      <c r="BI42" s="263">
        <f>FG42+'User Input - Correlations'!BI42</f>
        <v>0</v>
      </c>
      <c r="BJ42" s="263">
        <f>FH42+'User Input - Correlations'!BJ42</f>
        <v>0</v>
      </c>
      <c r="BK42" s="263">
        <f>FI42+'User Input - Correlations'!BK42</f>
        <v>0</v>
      </c>
      <c r="BL42" s="263">
        <f>FJ42+'User Input - Correlations'!BL42</f>
        <v>0</v>
      </c>
      <c r="BM42" s="263">
        <f>FK42+'User Input - Correlations'!BM42</f>
        <v>0</v>
      </c>
      <c r="BN42" s="263">
        <f>FL42+'User Input - Correlations'!BN42</f>
        <v>0</v>
      </c>
      <c r="BO42" s="263">
        <f>FM42+'User Input - Correlations'!BO42</f>
        <v>0</v>
      </c>
      <c r="BP42" s="263">
        <f>FN42+'User Input - Correlations'!BP42</f>
        <v>0</v>
      </c>
      <c r="BQ42" s="263">
        <f>FO42+'User Input - Correlations'!BQ42</f>
        <v>0</v>
      </c>
      <c r="BR42" s="263">
        <f>FP42+'User Input - Correlations'!BR42</f>
        <v>0</v>
      </c>
      <c r="BS42" s="263">
        <f>FQ42+'User Input - Correlations'!BS42</f>
        <v>0</v>
      </c>
      <c r="BT42" s="263">
        <f>FR42+'User Input - Correlations'!BT42</f>
        <v>0</v>
      </c>
      <c r="BU42" s="263">
        <f>FS42+'User Input - Correlations'!BU42</f>
        <v>0</v>
      </c>
      <c r="BV42" s="263">
        <f>FT42+'User Input - Correlations'!BV42</f>
        <v>0</v>
      </c>
      <c r="BW42" s="263">
        <f>FU42+'User Input - Correlations'!BW42</f>
        <v>0</v>
      </c>
      <c r="BX42" s="263">
        <f>FV42+'User Input - Correlations'!BX42</f>
        <v>0</v>
      </c>
      <c r="BY42" s="263">
        <f>FW42+'User Input - Correlations'!BY42</f>
        <v>0</v>
      </c>
      <c r="BZ42" s="263">
        <f>FX42+'User Input - Correlations'!BZ42</f>
        <v>0</v>
      </c>
      <c r="CA42" s="263">
        <f>FY42+'User Input - Correlations'!CA42</f>
        <v>0</v>
      </c>
      <c r="CB42" s="263">
        <f>FZ42+'User Input - Correlations'!CB42</f>
        <v>0</v>
      </c>
      <c r="CC42" s="263">
        <f>GA42+'User Input - Correlations'!CC42</f>
        <v>0</v>
      </c>
      <c r="CD42" s="263">
        <f>GB42+'User Input - Correlations'!CD42</f>
        <v>0</v>
      </c>
      <c r="CE42" s="263">
        <f>GC42+'User Input - Correlations'!CE42</f>
        <v>0</v>
      </c>
      <c r="CF42" s="263">
        <f>GD42+'User Input - Correlations'!CF42</f>
        <v>0</v>
      </c>
      <c r="CG42" s="263">
        <f>GE42+'User Input - Correlations'!CG42</f>
        <v>0</v>
      </c>
      <c r="CH42" s="263">
        <f>GF42+'User Input - Correlations'!CH42</f>
        <v>0</v>
      </c>
      <c r="CI42" s="263">
        <f>GG42+'User Input - Correlations'!CI42</f>
        <v>0</v>
      </c>
      <c r="CJ42" s="263">
        <f>GH42+'User Input - Correlations'!CJ42</f>
        <v>0</v>
      </c>
      <c r="CK42" s="263">
        <f>GI42+'User Input - Correlations'!CK42</f>
        <v>0</v>
      </c>
      <c r="CL42" s="263">
        <f>GJ42+'User Input - Correlations'!CL42</f>
        <v>0</v>
      </c>
      <c r="CM42" s="263">
        <f>GK42+'User Input - Correlations'!CM42</f>
        <v>0</v>
      </c>
      <c r="CN42" s="263">
        <f>GL42+'User Input - Correlations'!CN42</f>
        <v>0</v>
      </c>
      <c r="CO42" s="263">
        <f>GM42+'User Input - Correlations'!CO42</f>
        <v>0</v>
      </c>
      <c r="CP42" s="264">
        <f>GN42+'User Input - Correlations'!CP42</f>
        <v>0</v>
      </c>
      <c r="CQ42" s="281">
        <f ca="1">MDETERM(OFFSET($C$11,0,0,ROWS($CQ$11:$CQ42),ROWS($CQ$11:$CQ42)))</f>
        <v>1</v>
      </c>
      <c r="DA42" s="263">
        <v>0</v>
      </c>
      <c r="DB42" s="263">
        <v>0</v>
      </c>
      <c r="DC42" s="263">
        <v>0</v>
      </c>
      <c r="DD42" s="263">
        <v>0</v>
      </c>
      <c r="DE42" s="263">
        <v>0</v>
      </c>
      <c r="DF42" s="263">
        <v>0</v>
      </c>
      <c r="DG42" s="263">
        <v>0</v>
      </c>
      <c r="DH42" s="263">
        <v>0</v>
      </c>
      <c r="DI42" s="263">
        <v>0</v>
      </c>
      <c r="DJ42" s="263">
        <v>0</v>
      </c>
      <c r="DK42" s="263">
        <v>0</v>
      </c>
      <c r="DL42" s="263">
        <v>0</v>
      </c>
      <c r="DM42" s="263">
        <v>0</v>
      </c>
      <c r="DN42" s="263">
        <v>0</v>
      </c>
      <c r="DO42" s="263">
        <v>0</v>
      </c>
      <c r="DP42" s="263">
        <v>0</v>
      </c>
      <c r="DQ42" s="263">
        <v>0</v>
      </c>
      <c r="DR42" s="263">
        <v>0</v>
      </c>
      <c r="DS42" s="263">
        <v>0</v>
      </c>
      <c r="DT42" s="263">
        <v>0</v>
      </c>
      <c r="DU42" s="263">
        <v>0</v>
      </c>
      <c r="DV42" s="263">
        <v>0</v>
      </c>
      <c r="DW42" s="263">
        <v>0</v>
      </c>
      <c r="DX42" s="263">
        <v>0</v>
      </c>
      <c r="DY42" s="263">
        <v>0</v>
      </c>
      <c r="DZ42" s="263">
        <v>0</v>
      </c>
      <c r="EA42" s="263">
        <v>0</v>
      </c>
      <c r="EB42" s="263">
        <v>0</v>
      </c>
      <c r="EC42" s="263">
        <v>0</v>
      </c>
      <c r="ED42" s="263">
        <v>0</v>
      </c>
      <c r="EE42" s="263">
        <v>0</v>
      </c>
      <c r="EF42" s="263">
        <v>1</v>
      </c>
      <c r="EG42" s="263">
        <v>0</v>
      </c>
      <c r="EH42" s="263">
        <v>0</v>
      </c>
      <c r="EI42" s="263">
        <v>0</v>
      </c>
      <c r="EJ42" s="263">
        <v>0</v>
      </c>
      <c r="EK42" s="263">
        <v>0</v>
      </c>
      <c r="EL42" s="263">
        <v>0</v>
      </c>
      <c r="EM42" s="263">
        <v>0</v>
      </c>
      <c r="EN42" s="263">
        <v>0</v>
      </c>
      <c r="EO42" s="263">
        <v>0</v>
      </c>
      <c r="EP42" s="263">
        <v>0</v>
      </c>
      <c r="EQ42" s="263">
        <v>0</v>
      </c>
      <c r="ER42" s="263">
        <v>0</v>
      </c>
      <c r="ES42" s="263">
        <v>0</v>
      </c>
      <c r="ET42" s="263">
        <v>0</v>
      </c>
      <c r="EU42" s="263">
        <v>0</v>
      </c>
      <c r="EV42" s="263">
        <v>0</v>
      </c>
      <c r="EW42" s="263">
        <v>0</v>
      </c>
      <c r="EX42" s="263">
        <v>0</v>
      </c>
      <c r="EY42" s="263">
        <v>0</v>
      </c>
      <c r="EZ42" s="263">
        <v>0</v>
      </c>
      <c r="FA42" s="263">
        <v>0</v>
      </c>
      <c r="FB42" s="263">
        <v>0</v>
      </c>
      <c r="FC42" s="263">
        <v>0</v>
      </c>
      <c r="FD42" s="263">
        <v>0</v>
      </c>
      <c r="FE42" s="263">
        <v>0</v>
      </c>
      <c r="FF42" s="263">
        <v>0</v>
      </c>
      <c r="FG42" s="263">
        <v>0</v>
      </c>
      <c r="FH42" s="263">
        <v>0</v>
      </c>
      <c r="FI42" s="263">
        <v>0</v>
      </c>
      <c r="FJ42" s="263">
        <v>0</v>
      </c>
      <c r="FK42" s="263">
        <v>0</v>
      </c>
      <c r="FL42" s="263">
        <v>0</v>
      </c>
      <c r="FM42" s="263">
        <v>0</v>
      </c>
      <c r="FN42" s="263">
        <v>0</v>
      </c>
      <c r="FO42" s="263">
        <v>0</v>
      </c>
      <c r="FP42" s="263">
        <v>0</v>
      </c>
      <c r="FQ42" s="263">
        <v>0</v>
      </c>
      <c r="FR42" s="263">
        <v>0</v>
      </c>
      <c r="FS42" s="263">
        <v>0</v>
      </c>
      <c r="FT42" s="263">
        <v>0</v>
      </c>
      <c r="FU42" s="263">
        <v>0</v>
      </c>
      <c r="FV42" s="263">
        <v>0</v>
      </c>
      <c r="FW42" s="263">
        <v>0</v>
      </c>
      <c r="FX42" s="263">
        <v>0</v>
      </c>
      <c r="FY42" s="263">
        <v>0</v>
      </c>
      <c r="FZ42" s="263">
        <v>0</v>
      </c>
      <c r="GA42" s="263">
        <v>0</v>
      </c>
      <c r="GB42" s="263">
        <v>0</v>
      </c>
      <c r="GC42" s="263">
        <v>0</v>
      </c>
      <c r="GD42" s="263">
        <v>0</v>
      </c>
      <c r="GE42" s="263">
        <v>0</v>
      </c>
      <c r="GF42" s="263">
        <v>0</v>
      </c>
      <c r="GG42" s="263">
        <v>0</v>
      </c>
      <c r="GH42" s="263">
        <v>0</v>
      </c>
      <c r="GI42" s="263">
        <v>0</v>
      </c>
      <c r="GJ42" s="263">
        <v>0</v>
      </c>
      <c r="GK42" s="263">
        <v>0</v>
      </c>
      <c r="GL42" s="263">
        <v>0</v>
      </c>
      <c r="GM42" s="263">
        <v>0</v>
      </c>
      <c r="GN42" s="263">
        <v>0</v>
      </c>
    </row>
    <row r="43" ht="12.75" customHeight="1">
      <c r="A43" s="285" t="s">
        <v>191</v>
      </c>
      <c r="B43" s="285" t="s">
        <v>185</v>
      </c>
      <c r="C43" s="263">
        <f>DA43+'User Input - Correlations'!C43</f>
        <v>0</v>
      </c>
      <c r="D43" s="263">
        <f>DB43+'User Input - Correlations'!D43</f>
        <v>0</v>
      </c>
      <c r="E43" s="263">
        <f>DC43+'User Input - Correlations'!E43</f>
        <v>0</v>
      </c>
      <c r="F43" s="263">
        <f>DD43+'User Input - Correlations'!F43</f>
        <v>0</v>
      </c>
      <c r="G43" s="263">
        <f>DE43+'User Input - Correlations'!G43</f>
        <v>0</v>
      </c>
      <c r="H43" s="263">
        <f>DF43+'User Input - Correlations'!H43</f>
        <v>0</v>
      </c>
      <c r="I43" s="263">
        <f>DG43+'User Input - Correlations'!I43</f>
        <v>0</v>
      </c>
      <c r="J43" s="263">
        <f>DH43+'User Input - Correlations'!J43</f>
        <v>0</v>
      </c>
      <c r="K43" s="263">
        <f>DI43+'User Input - Correlations'!K43</f>
        <v>0</v>
      </c>
      <c r="L43" s="263">
        <f>DJ43+'User Input - Correlations'!L43</f>
        <v>0</v>
      </c>
      <c r="M43" s="263">
        <f>DK43+'User Input - Correlations'!M43</f>
        <v>0</v>
      </c>
      <c r="N43" s="263">
        <f>DL43+'User Input - Correlations'!N43</f>
        <v>0</v>
      </c>
      <c r="O43" s="263">
        <f>DM43+'User Input - Correlations'!O43</f>
        <v>0</v>
      </c>
      <c r="P43" s="263">
        <f>DN43+'User Input - Correlations'!P43</f>
        <v>0</v>
      </c>
      <c r="Q43" s="263">
        <f>DO43+'User Input - Correlations'!Q43</f>
        <v>0</v>
      </c>
      <c r="R43" s="263">
        <f>DP43+'User Input - Correlations'!R43</f>
        <v>0</v>
      </c>
      <c r="S43" s="263">
        <f>DQ43+'User Input - Correlations'!S43</f>
        <v>0</v>
      </c>
      <c r="T43" s="263">
        <f>DR43+'User Input - Correlations'!T43</f>
        <v>0</v>
      </c>
      <c r="U43" s="263">
        <f>DS43+'User Input - Correlations'!U43</f>
        <v>0</v>
      </c>
      <c r="V43" s="263">
        <f>DT43+'User Input - Correlations'!V43</f>
        <v>0</v>
      </c>
      <c r="W43" s="263">
        <f>DU43+'User Input - Correlations'!W43</f>
        <v>0</v>
      </c>
      <c r="X43" s="263">
        <f>DV43+'User Input - Correlations'!X43</f>
        <v>0</v>
      </c>
      <c r="Y43" s="263">
        <f>DW43+'User Input - Correlations'!Y43</f>
        <v>0</v>
      </c>
      <c r="Z43" s="263">
        <f>DX43+'User Input - Correlations'!Z43</f>
        <v>0</v>
      </c>
      <c r="AA43" s="263">
        <f>DY43+'User Input - Correlations'!AA43</f>
        <v>0</v>
      </c>
      <c r="AB43" s="263">
        <f>DZ43+'User Input - Correlations'!AB43</f>
        <v>0</v>
      </c>
      <c r="AC43" s="263">
        <f>EA43+'User Input - Correlations'!AC43</f>
        <v>0</v>
      </c>
      <c r="AD43" s="263">
        <f>EB43+'User Input - Correlations'!AD43</f>
        <v>0</v>
      </c>
      <c r="AE43" s="263">
        <f>EC43+'User Input - Correlations'!AE43</f>
        <v>0</v>
      </c>
      <c r="AF43" s="263">
        <f>ED43+'User Input - Correlations'!AF43</f>
        <v>0</v>
      </c>
      <c r="AG43" s="263">
        <f>EE43+'User Input - Correlations'!AG43</f>
        <v>0</v>
      </c>
      <c r="AH43" s="263">
        <f>EF43+'User Input - Correlations'!AH43</f>
        <v>0</v>
      </c>
      <c r="AI43" s="263">
        <v>1</v>
      </c>
      <c r="AJ43" s="263">
        <f>EH43+'User Input - Correlations'!AJ43</f>
        <v>0</v>
      </c>
      <c r="AK43" s="263">
        <f>EI43+'User Input - Correlations'!AK43</f>
        <v>0</v>
      </c>
      <c r="AL43" s="263">
        <f>EJ43+'User Input - Correlations'!AL43</f>
        <v>0</v>
      </c>
      <c r="AM43" s="263">
        <f>EK43+'User Input - Correlations'!AM43</f>
        <v>0</v>
      </c>
      <c r="AN43" s="263">
        <f>EL43+'User Input - Correlations'!AN43</f>
        <v>0</v>
      </c>
      <c r="AO43" s="263">
        <f>EM43+'User Input - Correlations'!AO43</f>
        <v>0</v>
      </c>
      <c r="AP43" s="263">
        <f>EN43+'User Input - Correlations'!AP43</f>
        <v>0</v>
      </c>
      <c r="AQ43" s="263">
        <f>EO43+'User Input - Correlations'!AQ43</f>
        <v>0</v>
      </c>
      <c r="AR43" s="263">
        <f>EP43+'User Input - Correlations'!AR43</f>
        <v>0</v>
      </c>
      <c r="AS43" s="263">
        <f>EQ43+'User Input - Correlations'!AS43</f>
        <v>0</v>
      </c>
      <c r="AT43" s="263">
        <f>ER43+'User Input - Correlations'!AT43</f>
        <v>0</v>
      </c>
      <c r="AU43" s="263">
        <f>ES43+'User Input - Correlations'!AU43</f>
        <v>0</v>
      </c>
      <c r="AV43" s="263">
        <f>ET43+'User Input - Correlations'!AV43</f>
        <v>0</v>
      </c>
      <c r="AW43" s="263">
        <f>EU43+'User Input - Correlations'!AW43</f>
        <v>0</v>
      </c>
      <c r="AX43" s="263">
        <f>EV43+'User Input - Correlations'!AX43</f>
        <v>0</v>
      </c>
      <c r="AY43" s="263">
        <f>EW43+'User Input - Correlations'!AY43</f>
        <v>0</v>
      </c>
      <c r="AZ43" s="263">
        <f>EX43+'User Input - Correlations'!AZ43</f>
        <v>0</v>
      </c>
      <c r="BA43" s="263">
        <f>EY43+'User Input - Correlations'!BA43</f>
        <v>0</v>
      </c>
      <c r="BB43" s="263">
        <f>EZ43+'User Input - Correlations'!BB43</f>
        <v>0</v>
      </c>
      <c r="BC43" s="263">
        <f>FA43+'User Input - Correlations'!BC43</f>
        <v>0</v>
      </c>
      <c r="BD43" s="263">
        <f>FB43+'User Input - Correlations'!BD43</f>
        <v>0</v>
      </c>
      <c r="BE43" s="263">
        <f>FC43+'User Input - Correlations'!BE43</f>
        <v>0</v>
      </c>
      <c r="BF43" s="263">
        <f>FD43+'User Input - Correlations'!BF43</f>
        <v>0</v>
      </c>
      <c r="BG43" s="263">
        <f>FE43+'User Input - Correlations'!BG43</f>
        <v>0</v>
      </c>
      <c r="BH43" s="263">
        <f>FF43+'User Input - Correlations'!BH43</f>
        <v>0</v>
      </c>
      <c r="BI43" s="263">
        <f>FG43+'User Input - Correlations'!BI43</f>
        <v>0</v>
      </c>
      <c r="BJ43" s="263">
        <f>FH43+'User Input - Correlations'!BJ43</f>
        <v>0</v>
      </c>
      <c r="BK43" s="263">
        <f>FI43+'User Input - Correlations'!BK43</f>
        <v>0</v>
      </c>
      <c r="BL43" s="263">
        <f>FJ43+'User Input - Correlations'!BL43</f>
        <v>0</v>
      </c>
      <c r="BM43" s="263">
        <f>FK43+'User Input - Correlations'!BM43</f>
        <v>0</v>
      </c>
      <c r="BN43" s="263">
        <f>FL43+'User Input - Correlations'!BN43</f>
        <v>0</v>
      </c>
      <c r="BO43" s="263">
        <f>FM43+'User Input - Correlations'!BO43</f>
        <v>0</v>
      </c>
      <c r="BP43" s="263">
        <f>FN43+'User Input - Correlations'!BP43</f>
        <v>0</v>
      </c>
      <c r="BQ43" s="263">
        <f>FO43+'User Input - Correlations'!BQ43</f>
        <v>0</v>
      </c>
      <c r="BR43" s="263">
        <f>FP43+'User Input - Correlations'!BR43</f>
        <v>0</v>
      </c>
      <c r="BS43" s="263">
        <f>FQ43+'User Input - Correlations'!BS43</f>
        <v>0</v>
      </c>
      <c r="BT43" s="263">
        <f>FR43+'User Input - Correlations'!BT43</f>
        <v>0</v>
      </c>
      <c r="BU43" s="263">
        <f>FS43+'User Input - Correlations'!BU43</f>
        <v>0</v>
      </c>
      <c r="BV43" s="263">
        <f>FT43+'User Input - Correlations'!BV43</f>
        <v>0</v>
      </c>
      <c r="BW43" s="263">
        <f>FU43+'User Input - Correlations'!BW43</f>
        <v>0</v>
      </c>
      <c r="BX43" s="263">
        <f>FV43+'User Input - Correlations'!BX43</f>
        <v>0</v>
      </c>
      <c r="BY43" s="263">
        <f>FW43+'User Input - Correlations'!BY43</f>
        <v>0</v>
      </c>
      <c r="BZ43" s="263">
        <f>FX43+'User Input - Correlations'!BZ43</f>
        <v>0</v>
      </c>
      <c r="CA43" s="263">
        <f>FY43+'User Input - Correlations'!CA43</f>
        <v>0</v>
      </c>
      <c r="CB43" s="263">
        <f>FZ43+'User Input - Correlations'!CB43</f>
        <v>0</v>
      </c>
      <c r="CC43" s="263">
        <f>GA43+'User Input - Correlations'!CC43</f>
        <v>0</v>
      </c>
      <c r="CD43" s="263">
        <f>GB43+'User Input - Correlations'!CD43</f>
        <v>0</v>
      </c>
      <c r="CE43" s="263">
        <f>GC43+'User Input - Correlations'!CE43</f>
        <v>0</v>
      </c>
      <c r="CF43" s="263">
        <f>GD43+'User Input - Correlations'!CF43</f>
        <v>0</v>
      </c>
      <c r="CG43" s="263">
        <f>GE43+'User Input - Correlations'!CG43</f>
        <v>0</v>
      </c>
      <c r="CH43" s="263">
        <f>GF43+'User Input - Correlations'!CH43</f>
        <v>0</v>
      </c>
      <c r="CI43" s="263">
        <f>GG43+'User Input - Correlations'!CI43</f>
        <v>0</v>
      </c>
      <c r="CJ43" s="263">
        <f>GH43+'User Input - Correlations'!CJ43</f>
        <v>0</v>
      </c>
      <c r="CK43" s="263">
        <f>GI43+'User Input - Correlations'!CK43</f>
        <v>0</v>
      </c>
      <c r="CL43" s="263">
        <f>GJ43+'User Input - Correlations'!CL43</f>
        <v>0</v>
      </c>
      <c r="CM43" s="263">
        <f>GK43+'User Input - Correlations'!CM43</f>
        <v>0</v>
      </c>
      <c r="CN43" s="263">
        <f>GL43+'User Input - Correlations'!CN43</f>
        <v>0</v>
      </c>
      <c r="CO43" s="263">
        <f>GM43+'User Input - Correlations'!CO43</f>
        <v>0</v>
      </c>
      <c r="CP43" s="264">
        <f>GN43+'User Input - Correlations'!CP43</f>
        <v>0</v>
      </c>
      <c r="CQ43" s="281">
        <f ca="1">MDETERM(OFFSET($C$11,0,0,ROWS($CQ$11:$CQ43),ROWS($CQ$11:$CQ43)))</f>
        <v>1</v>
      </c>
      <c r="DA43" s="263">
        <v>0</v>
      </c>
      <c r="DB43" s="263">
        <v>0</v>
      </c>
      <c r="DC43" s="263">
        <v>0</v>
      </c>
      <c r="DD43" s="263">
        <v>0</v>
      </c>
      <c r="DE43" s="263">
        <v>0</v>
      </c>
      <c r="DF43" s="263">
        <v>0</v>
      </c>
      <c r="DG43" s="263">
        <v>0</v>
      </c>
      <c r="DH43" s="263">
        <v>0</v>
      </c>
      <c r="DI43" s="263">
        <v>0</v>
      </c>
      <c r="DJ43" s="263">
        <v>0</v>
      </c>
      <c r="DK43" s="263">
        <v>0</v>
      </c>
      <c r="DL43" s="263">
        <v>0</v>
      </c>
      <c r="DM43" s="263">
        <v>0</v>
      </c>
      <c r="DN43" s="263">
        <v>0</v>
      </c>
      <c r="DO43" s="263">
        <v>0</v>
      </c>
      <c r="DP43" s="263">
        <v>0</v>
      </c>
      <c r="DQ43" s="263">
        <v>0</v>
      </c>
      <c r="DR43" s="263">
        <v>0</v>
      </c>
      <c r="DS43" s="263">
        <v>0</v>
      </c>
      <c r="DT43" s="263">
        <v>0</v>
      </c>
      <c r="DU43" s="263">
        <v>0</v>
      </c>
      <c r="DV43" s="263">
        <v>0</v>
      </c>
      <c r="DW43" s="263">
        <v>0</v>
      </c>
      <c r="DX43" s="263">
        <v>0</v>
      </c>
      <c r="DY43" s="263">
        <v>0</v>
      </c>
      <c r="DZ43" s="263">
        <v>0</v>
      </c>
      <c r="EA43" s="263">
        <v>0</v>
      </c>
      <c r="EB43" s="263">
        <v>0</v>
      </c>
      <c r="EC43" s="263">
        <v>0</v>
      </c>
      <c r="ED43" s="263">
        <v>0</v>
      </c>
      <c r="EE43" s="263">
        <v>0</v>
      </c>
      <c r="EF43" s="263">
        <v>0</v>
      </c>
      <c r="EG43" s="263">
        <v>1</v>
      </c>
      <c r="EH43" s="263">
        <v>0</v>
      </c>
      <c r="EI43" s="263">
        <v>0</v>
      </c>
      <c r="EJ43" s="263">
        <v>0</v>
      </c>
      <c r="EK43" s="263">
        <v>0</v>
      </c>
      <c r="EL43" s="263">
        <v>0</v>
      </c>
      <c r="EM43" s="263">
        <v>0</v>
      </c>
      <c r="EN43" s="263">
        <v>0</v>
      </c>
      <c r="EO43" s="263">
        <v>0</v>
      </c>
      <c r="EP43" s="263">
        <v>0</v>
      </c>
      <c r="EQ43" s="263">
        <v>0</v>
      </c>
      <c r="ER43" s="263">
        <v>0</v>
      </c>
      <c r="ES43" s="263">
        <v>0</v>
      </c>
      <c r="ET43" s="263">
        <v>0</v>
      </c>
      <c r="EU43" s="263">
        <v>0</v>
      </c>
      <c r="EV43" s="263">
        <v>0</v>
      </c>
      <c r="EW43" s="263">
        <v>0</v>
      </c>
      <c r="EX43" s="263">
        <v>0</v>
      </c>
      <c r="EY43" s="263">
        <v>0</v>
      </c>
      <c r="EZ43" s="263">
        <v>0</v>
      </c>
      <c r="FA43" s="263">
        <v>0</v>
      </c>
      <c r="FB43" s="263">
        <v>0</v>
      </c>
      <c r="FC43" s="263">
        <v>0</v>
      </c>
      <c r="FD43" s="263">
        <v>0</v>
      </c>
      <c r="FE43" s="263">
        <v>0</v>
      </c>
      <c r="FF43" s="263">
        <v>0</v>
      </c>
      <c r="FG43" s="263">
        <v>0</v>
      </c>
      <c r="FH43" s="263">
        <v>0</v>
      </c>
      <c r="FI43" s="263">
        <v>0</v>
      </c>
      <c r="FJ43" s="263">
        <v>0</v>
      </c>
      <c r="FK43" s="263">
        <v>0</v>
      </c>
      <c r="FL43" s="263">
        <v>0</v>
      </c>
      <c r="FM43" s="263">
        <v>0</v>
      </c>
      <c r="FN43" s="263">
        <v>0</v>
      </c>
      <c r="FO43" s="263">
        <v>0</v>
      </c>
      <c r="FP43" s="263">
        <v>0</v>
      </c>
      <c r="FQ43" s="263">
        <v>0</v>
      </c>
      <c r="FR43" s="263">
        <v>0</v>
      </c>
      <c r="FS43" s="263">
        <v>0</v>
      </c>
      <c r="FT43" s="263">
        <v>0</v>
      </c>
      <c r="FU43" s="263">
        <v>0</v>
      </c>
      <c r="FV43" s="263">
        <v>0</v>
      </c>
      <c r="FW43" s="263">
        <v>0</v>
      </c>
      <c r="FX43" s="263">
        <v>0</v>
      </c>
      <c r="FY43" s="263">
        <v>0</v>
      </c>
      <c r="FZ43" s="263">
        <v>0</v>
      </c>
      <c r="GA43" s="263">
        <v>0</v>
      </c>
      <c r="GB43" s="263">
        <v>0</v>
      </c>
      <c r="GC43" s="263">
        <v>0</v>
      </c>
      <c r="GD43" s="263">
        <v>0</v>
      </c>
      <c r="GE43" s="263">
        <v>0</v>
      </c>
      <c r="GF43" s="263">
        <v>0</v>
      </c>
      <c r="GG43" s="263">
        <v>0</v>
      </c>
      <c r="GH43" s="263">
        <v>0</v>
      </c>
      <c r="GI43" s="263">
        <v>0</v>
      </c>
      <c r="GJ43" s="263">
        <v>0</v>
      </c>
      <c r="GK43" s="263">
        <v>0</v>
      </c>
      <c r="GL43" s="263">
        <v>0</v>
      </c>
      <c r="GM43" s="263">
        <v>0</v>
      </c>
      <c r="GN43" s="263">
        <v>0</v>
      </c>
    </row>
    <row r="44" ht="12.75" customHeight="1">
      <c r="A44" s="285" t="s">
        <v>180</v>
      </c>
      <c r="B44" s="285" t="s">
        <v>185</v>
      </c>
      <c r="C44" s="263">
        <f>DA44+'User Input - Correlations'!C44</f>
        <v>0</v>
      </c>
      <c r="D44" s="263">
        <f>DB44+'User Input - Correlations'!D44</f>
        <v>0</v>
      </c>
      <c r="E44" s="263">
        <f>DC44+'User Input - Correlations'!E44</f>
        <v>0</v>
      </c>
      <c r="F44" s="263">
        <f>DD44+'User Input - Correlations'!F44</f>
        <v>0</v>
      </c>
      <c r="G44" s="263">
        <f>DE44+'User Input - Correlations'!G44</f>
        <v>0</v>
      </c>
      <c r="H44" s="263">
        <f>DF44+'User Input - Correlations'!H44</f>
        <v>0</v>
      </c>
      <c r="I44" s="263">
        <f>DG44+'User Input - Correlations'!I44</f>
        <v>0</v>
      </c>
      <c r="J44" s="263">
        <f>DH44+'User Input - Correlations'!J44</f>
        <v>0</v>
      </c>
      <c r="K44" s="263">
        <f>DI44+'User Input - Correlations'!K44</f>
        <v>0</v>
      </c>
      <c r="L44" s="263">
        <f>DJ44+'User Input - Correlations'!L44</f>
        <v>0</v>
      </c>
      <c r="M44" s="263">
        <f>DK44+'User Input - Correlations'!M44</f>
        <v>0</v>
      </c>
      <c r="N44" s="263">
        <f>DL44+'User Input - Correlations'!N44</f>
        <v>0</v>
      </c>
      <c r="O44" s="263">
        <f>DM44+'User Input - Correlations'!O44</f>
        <v>0</v>
      </c>
      <c r="P44" s="263">
        <f>DN44+'User Input - Correlations'!P44</f>
        <v>0</v>
      </c>
      <c r="Q44" s="263">
        <f>DO44+'User Input - Correlations'!Q44</f>
        <v>0</v>
      </c>
      <c r="R44" s="263">
        <f>DP44+'User Input - Correlations'!R44</f>
        <v>0</v>
      </c>
      <c r="S44" s="263">
        <f>DQ44+'User Input - Correlations'!S44</f>
        <v>0</v>
      </c>
      <c r="T44" s="263">
        <f>DR44+'User Input - Correlations'!T44</f>
        <v>0</v>
      </c>
      <c r="U44" s="263">
        <f>DS44+'User Input - Correlations'!U44</f>
        <v>0</v>
      </c>
      <c r="V44" s="263">
        <f>DT44+'User Input - Correlations'!V44</f>
        <v>0</v>
      </c>
      <c r="W44" s="263">
        <f>DU44+'User Input - Correlations'!W44</f>
        <v>0</v>
      </c>
      <c r="X44" s="263">
        <f>DV44+'User Input - Correlations'!X44</f>
        <v>0</v>
      </c>
      <c r="Y44" s="263">
        <f>DW44+'User Input - Correlations'!Y44</f>
        <v>0</v>
      </c>
      <c r="Z44" s="263">
        <f>DX44+'User Input - Correlations'!Z44</f>
        <v>0</v>
      </c>
      <c r="AA44" s="263">
        <f>DY44+'User Input - Correlations'!AA44</f>
        <v>0</v>
      </c>
      <c r="AB44" s="263">
        <f>DZ44+'User Input - Correlations'!AB44</f>
        <v>0</v>
      </c>
      <c r="AC44" s="263">
        <f>EA44+'User Input - Correlations'!AC44</f>
        <v>0</v>
      </c>
      <c r="AD44" s="263">
        <f>EB44+'User Input - Correlations'!AD44</f>
        <v>0</v>
      </c>
      <c r="AE44" s="263">
        <f>EC44+'User Input - Correlations'!AE44</f>
        <v>0</v>
      </c>
      <c r="AF44" s="263">
        <f>ED44+'User Input - Correlations'!AF44</f>
        <v>0</v>
      </c>
      <c r="AG44" s="263">
        <f>EE44+'User Input - Correlations'!AG44</f>
        <v>0</v>
      </c>
      <c r="AH44" s="263">
        <f>EF44+'User Input - Correlations'!AH44</f>
        <v>0</v>
      </c>
      <c r="AI44" s="263">
        <f>EG44+'User Input - Correlations'!AI44</f>
        <v>0</v>
      </c>
      <c r="AJ44" s="263">
        <v>1</v>
      </c>
      <c r="AK44" s="263">
        <f>EI44+'User Input - Correlations'!AK44</f>
        <v>0</v>
      </c>
      <c r="AL44" s="263">
        <f>EJ44+'User Input - Correlations'!AL44</f>
        <v>0</v>
      </c>
      <c r="AM44" s="263">
        <f>EK44+'User Input - Correlations'!AM44</f>
        <v>0</v>
      </c>
      <c r="AN44" s="263">
        <f>EL44+'User Input - Correlations'!AN44</f>
        <v>0</v>
      </c>
      <c r="AO44" s="263">
        <f>EM44+'User Input - Correlations'!AO44</f>
        <v>0</v>
      </c>
      <c r="AP44" s="263">
        <f>EN44+'User Input - Correlations'!AP44</f>
        <v>0</v>
      </c>
      <c r="AQ44" s="263">
        <f>EO44+'User Input - Correlations'!AQ44</f>
        <v>0</v>
      </c>
      <c r="AR44" s="263">
        <f>EP44+'User Input - Correlations'!AR44</f>
        <v>0</v>
      </c>
      <c r="AS44" s="263">
        <f>EQ44+'User Input - Correlations'!AS44</f>
        <v>0</v>
      </c>
      <c r="AT44" s="263">
        <f>ER44+'User Input - Correlations'!AT44</f>
        <v>0</v>
      </c>
      <c r="AU44" s="263">
        <f>ES44+'User Input - Correlations'!AU44</f>
        <v>0</v>
      </c>
      <c r="AV44" s="263">
        <f>ET44+'User Input - Correlations'!AV44</f>
        <v>0</v>
      </c>
      <c r="AW44" s="263">
        <f>EU44+'User Input - Correlations'!AW44</f>
        <v>0</v>
      </c>
      <c r="AX44" s="263">
        <f>EV44+'User Input - Correlations'!AX44</f>
        <v>0</v>
      </c>
      <c r="AY44" s="263">
        <f>EW44+'User Input - Correlations'!AY44</f>
        <v>0</v>
      </c>
      <c r="AZ44" s="263">
        <f>EX44+'User Input - Correlations'!AZ44</f>
        <v>0</v>
      </c>
      <c r="BA44" s="263">
        <f>EY44+'User Input - Correlations'!BA44</f>
        <v>0</v>
      </c>
      <c r="BB44" s="263">
        <f>EZ44+'User Input - Correlations'!BB44</f>
        <v>0</v>
      </c>
      <c r="BC44" s="263">
        <f>FA44+'User Input - Correlations'!BC44</f>
        <v>0</v>
      </c>
      <c r="BD44" s="263">
        <f>FB44+'User Input - Correlations'!BD44</f>
        <v>0</v>
      </c>
      <c r="BE44" s="263">
        <f>FC44+'User Input - Correlations'!BE44</f>
        <v>0</v>
      </c>
      <c r="BF44" s="263">
        <f>FD44+'User Input - Correlations'!BF44</f>
        <v>0</v>
      </c>
      <c r="BG44" s="263">
        <f>FE44+'User Input - Correlations'!BG44</f>
        <v>0</v>
      </c>
      <c r="BH44" s="263">
        <f>FF44+'User Input - Correlations'!BH44</f>
        <v>0</v>
      </c>
      <c r="BI44" s="263">
        <f>FG44+'User Input - Correlations'!BI44</f>
        <v>0</v>
      </c>
      <c r="BJ44" s="263">
        <f>FH44+'User Input - Correlations'!BJ44</f>
        <v>0</v>
      </c>
      <c r="BK44" s="263">
        <f>FI44+'User Input - Correlations'!BK44</f>
        <v>0</v>
      </c>
      <c r="BL44" s="263">
        <f>FJ44+'User Input - Correlations'!BL44</f>
        <v>0</v>
      </c>
      <c r="BM44" s="263">
        <f>FK44+'User Input - Correlations'!BM44</f>
        <v>0</v>
      </c>
      <c r="BN44" s="263">
        <f>FL44+'User Input - Correlations'!BN44</f>
        <v>0</v>
      </c>
      <c r="BO44" s="263">
        <f>FM44+'User Input - Correlations'!BO44</f>
        <v>0</v>
      </c>
      <c r="BP44" s="263">
        <f>FN44+'User Input - Correlations'!BP44</f>
        <v>0</v>
      </c>
      <c r="BQ44" s="263">
        <f>FO44+'User Input - Correlations'!BQ44</f>
        <v>0</v>
      </c>
      <c r="BR44" s="263">
        <f>FP44+'User Input - Correlations'!BR44</f>
        <v>0</v>
      </c>
      <c r="BS44" s="263">
        <f>FQ44+'User Input - Correlations'!BS44</f>
        <v>0</v>
      </c>
      <c r="BT44" s="263">
        <f>FR44+'User Input - Correlations'!BT44</f>
        <v>0</v>
      </c>
      <c r="BU44" s="263">
        <f>FS44+'User Input - Correlations'!BU44</f>
        <v>0</v>
      </c>
      <c r="BV44" s="263">
        <f>FT44+'User Input - Correlations'!BV44</f>
        <v>0</v>
      </c>
      <c r="BW44" s="263">
        <f>FU44+'User Input - Correlations'!BW44</f>
        <v>0</v>
      </c>
      <c r="BX44" s="263">
        <f>FV44+'User Input - Correlations'!BX44</f>
        <v>0</v>
      </c>
      <c r="BY44" s="263">
        <f>FW44+'User Input - Correlations'!BY44</f>
        <v>0</v>
      </c>
      <c r="BZ44" s="263">
        <f>FX44+'User Input - Correlations'!BZ44</f>
        <v>0</v>
      </c>
      <c r="CA44" s="263">
        <f>FY44+'User Input - Correlations'!CA44</f>
        <v>0</v>
      </c>
      <c r="CB44" s="263">
        <f>FZ44+'User Input - Correlations'!CB44</f>
        <v>0</v>
      </c>
      <c r="CC44" s="263">
        <f>GA44+'User Input - Correlations'!CC44</f>
        <v>0</v>
      </c>
      <c r="CD44" s="263">
        <f>GB44+'User Input - Correlations'!CD44</f>
        <v>0</v>
      </c>
      <c r="CE44" s="263">
        <f>GC44+'User Input - Correlations'!CE44</f>
        <v>0</v>
      </c>
      <c r="CF44" s="263">
        <f>GD44+'User Input - Correlations'!CF44</f>
        <v>0</v>
      </c>
      <c r="CG44" s="263">
        <f>GE44+'User Input - Correlations'!CG44</f>
        <v>0</v>
      </c>
      <c r="CH44" s="263">
        <f>GF44+'User Input - Correlations'!CH44</f>
        <v>0</v>
      </c>
      <c r="CI44" s="263">
        <f>GG44+'User Input - Correlations'!CI44</f>
        <v>0</v>
      </c>
      <c r="CJ44" s="263">
        <f>GH44+'User Input - Correlations'!CJ44</f>
        <v>0</v>
      </c>
      <c r="CK44" s="263">
        <f>GI44+'User Input - Correlations'!CK44</f>
        <v>0</v>
      </c>
      <c r="CL44" s="263">
        <f>GJ44+'User Input - Correlations'!CL44</f>
        <v>0</v>
      </c>
      <c r="CM44" s="263">
        <f>GK44+'User Input - Correlations'!CM44</f>
        <v>0</v>
      </c>
      <c r="CN44" s="263">
        <f>GL44+'User Input - Correlations'!CN44</f>
        <v>0</v>
      </c>
      <c r="CO44" s="263">
        <f>GM44+'User Input - Correlations'!CO44</f>
        <v>0</v>
      </c>
      <c r="CP44" s="264">
        <f>GN44+'User Input - Correlations'!CP44</f>
        <v>0</v>
      </c>
      <c r="CQ44" s="281">
        <f ca="1">MDETERM(OFFSET($C$11,0,0,ROWS($CQ$11:$CQ44),ROWS($CQ$11:$CQ44)))</f>
        <v>1</v>
      </c>
      <c r="DA44" s="263">
        <v>0</v>
      </c>
      <c r="DB44" s="263">
        <v>0</v>
      </c>
      <c r="DC44" s="263">
        <v>0</v>
      </c>
      <c r="DD44" s="263">
        <v>0</v>
      </c>
      <c r="DE44" s="263">
        <v>0</v>
      </c>
      <c r="DF44" s="263">
        <v>0</v>
      </c>
      <c r="DG44" s="263">
        <v>0</v>
      </c>
      <c r="DH44" s="263">
        <v>0</v>
      </c>
      <c r="DI44" s="263">
        <v>0</v>
      </c>
      <c r="DJ44" s="263">
        <v>0</v>
      </c>
      <c r="DK44" s="263">
        <v>0</v>
      </c>
      <c r="DL44" s="263">
        <v>0</v>
      </c>
      <c r="DM44" s="263">
        <v>0</v>
      </c>
      <c r="DN44" s="263">
        <v>0</v>
      </c>
      <c r="DO44" s="263">
        <v>0</v>
      </c>
      <c r="DP44" s="263">
        <v>0</v>
      </c>
      <c r="DQ44" s="263">
        <v>0</v>
      </c>
      <c r="DR44" s="263">
        <v>0</v>
      </c>
      <c r="DS44" s="263">
        <v>0</v>
      </c>
      <c r="DT44" s="263">
        <v>0</v>
      </c>
      <c r="DU44" s="263">
        <v>0</v>
      </c>
      <c r="DV44" s="263">
        <v>0</v>
      </c>
      <c r="DW44" s="263">
        <v>0</v>
      </c>
      <c r="DX44" s="263">
        <v>0</v>
      </c>
      <c r="DY44" s="263">
        <v>0</v>
      </c>
      <c r="DZ44" s="263">
        <v>0</v>
      </c>
      <c r="EA44" s="263">
        <v>0</v>
      </c>
      <c r="EB44" s="263">
        <v>0</v>
      </c>
      <c r="EC44" s="263">
        <v>0</v>
      </c>
      <c r="ED44" s="263">
        <v>0</v>
      </c>
      <c r="EE44" s="263">
        <v>0</v>
      </c>
      <c r="EF44" s="263">
        <v>0</v>
      </c>
      <c r="EG44" s="263">
        <v>0</v>
      </c>
      <c r="EH44" s="263">
        <v>1</v>
      </c>
      <c r="EI44" s="263">
        <v>0</v>
      </c>
      <c r="EJ44" s="263">
        <v>0</v>
      </c>
      <c r="EK44" s="263">
        <v>0</v>
      </c>
      <c r="EL44" s="263">
        <v>0</v>
      </c>
      <c r="EM44" s="263">
        <v>0</v>
      </c>
      <c r="EN44" s="263">
        <v>0</v>
      </c>
      <c r="EO44" s="263">
        <v>0</v>
      </c>
      <c r="EP44" s="263">
        <v>0</v>
      </c>
      <c r="EQ44" s="263">
        <v>0</v>
      </c>
      <c r="ER44" s="263">
        <v>0</v>
      </c>
      <c r="ES44" s="263">
        <v>0</v>
      </c>
      <c r="ET44" s="263">
        <v>0</v>
      </c>
      <c r="EU44" s="263">
        <v>0</v>
      </c>
      <c r="EV44" s="263">
        <v>0</v>
      </c>
      <c r="EW44" s="263">
        <v>0</v>
      </c>
      <c r="EX44" s="263">
        <v>0</v>
      </c>
      <c r="EY44" s="263">
        <v>0</v>
      </c>
      <c r="EZ44" s="263">
        <v>0</v>
      </c>
      <c r="FA44" s="263">
        <v>0</v>
      </c>
      <c r="FB44" s="263">
        <v>0</v>
      </c>
      <c r="FC44" s="263">
        <v>0</v>
      </c>
      <c r="FD44" s="263">
        <v>0</v>
      </c>
      <c r="FE44" s="263">
        <v>0</v>
      </c>
      <c r="FF44" s="263">
        <v>0</v>
      </c>
      <c r="FG44" s="263">
        <v>0</v>
      </c>
      <c r="FH44" s="263">
        <v>0</v>
      </c>
      <c r="FI44" s="263">
        <v>0</v>
      </c>
      <c r="FJ44" s="263">
        <v>0</v>
      </c>
      <c r="FK44" s="263">
        <v>0</v>
      </c>
      <c r="FL44" s="263">
        <v>0</v>
      </c>
      <c r="FM44" s="263">
        <v>0</v>
      </c>
      <c r="FN44" s="263">
        <v>0</v>
      </c>
      <c r="FO44" s="263">
        <v>0</v>
      </c>
      <c r="FP44" s="263">
        <v>0</v>
      </c>
      <c r="FQ44" s="263">
        <v>0</v>
      </c>
      <c r="FR44" s="263">
        <v>0</v>
      </c>
      <c r="FS44" s="263">
        <v>0</v>
      </c>
      <c r="FT44" s="263">
        <v>0</v>
      </c>
      <c r="FU44" s="263">
        <v>0</v>
      </c>
      <c r="FV44" s="263">
        <v>0</v>
      </c>
      <c r="FW44" s="263">
        <v>0</v>
      </c>
      <c r="FX44" s="263">
        <v>0</v>
      </c>
      <c r="FY44" s="263">
        <v>0</v>
      </c>
      <c r="FZ44" s="263">
        <v>0</v>
      </c>
      <c r="GA44" s="263">
        <v>0</v>
      </c>
      <c r="GB44" s="263">
        <v>0</v>
      </c>
      <c r="GC44" s="263">
        <v>0</v>
      </c>
      <c r="GD44" s="263">
        <v>0</v>
      </c>
      <c r="GE44" s="263">
        <v>0</v>
      </c>
      <c r="GF44" s="263">
        <v>0</v>
      </c>
      <c r="GG44" s="263">
        <v>0</v>
      </c>
      <c r="GH44" s="263">
        <v>0</v>
      </c>
      <c r="GI44" s="263">
        <v>0</v>
      </c>
      <c r="GJ44" s="263">
        <v>0</v>
      </c>
      <c r="GK44" s="263">
        <v>0</v>
      </c>
      <c r="GL44" s="263">
        <v>0</v>
      </c>
      <c r="GM44" s="263">
        <v>0</v>
      </c>
      <c r="GN44" s="263">
        <v>0</v>
      </c>
    </row>
    <row r="45" ht="12.75" customHeight="1">
      <c r="A45" s="285" t="s">
        <v>181</v>
      </c>
      <c r="B45" s="285" t="s">
        <v>185</v>
      </c>
      <c r="C45" s="263">
        <f>DA45+'User Input - Correlations'!C45</f>
        <v>0</v>
      </c>
      <c r="D45" s="263">
        <f>DB45+'User Input - Correlations'!D45</f>
        <v>0</v>
      </c>
      <c r="E45" s="263">
        <f>DC45+'User Input - Correlations'!E45</f>
        <v>0</v>
      </c>
      <c r="F45" s="263">
        <f>DD45+'User Input - Correlations'!F45</f>
        <v>0</v>
      </c>
      <c r="G45" s="263">
        <f>DE45+'User Input - Correlations'!G45</f>
        <v>0</v>
      </c>
      <c r="H45" s="263">
        <f>DF45+'User Input - Correlations'!H45</f>
        <v>0</v>
      </c>
      <c r="I45" s="263">
        <f>DG45+'User Input - Correlations'!I45</f>
        <v>0</v>
      </c>
      <c r="J45" s="263">
        <f>DH45+'User Input - Correlations'!J45</f>
        <v>0</v>
      </c>
      <c r="K45" s="263">
        <f>DI45+'User Input - Correlations'!K45</f>
        <v>0</v>
      </c>
      <c r="L45" s="263">
        <f>DJ45+'User Input - Correlations'!L45</f>
        <v>0</v>
      </c>
      <c r="M45" s="263">
        <f>DK45+'User Input - Correlations'!M45</f>
        <v>0</v>
      </c>
      <c r="N45" s="263">
        <f>DL45+'User Input - Correlations'!N45</f>
        <v>0</v>
      </c>
      <c r="O45" s="263">
        <f>DM45+'User Input - Correlations'!O45</f>
        <v>0</v>
      </c>
      <c r="P45" s="263">
        <f>DN45+'User Input - Correlations'!P45</f>
        <v>0</v>
      </c>
      <c r="Q45" s="263">
        <f>DO45+'User Input - Correlations'!Q45</f>
        <v>0</v>
      </c>
      <c r="R45" s="263">
        <f>DP45+'User Input - Correlations'!R45</f>
        <v>0</v>
      </c>
      <c r="S45" s="263">
        <f>DQ45+'User Input - Correlations'!S45</f>
        <v>0</v>
      </c>
      <c r="T45" s="263">
        <f>DR45+'User Input - Correlations'!T45</f>
        <v>0</v>
      </c>
      <c r="U45" s="263">
        <f>DS45+'User Input - Correlations'!U45</f>
        <v>0</v>
      </c>
      <c r="V45" s="263">
        <f>DT45+'User Input - Correlations'!V45</f>
        <v>0</v>
      </c>
      <c r="W45" s="263">
        <f>DU45+'User Input - Correlations'!W45</f>
        <v>0</v>
      </c>
      <c r="X45" s="263">
        <f>DV45+'User Input - Correlations'!X45</f>
        <v>0</v>
      </c>
      <c r="Y45" s="263">
        <f>DW45+'User Input - Correlations'!Y45</f>
        <v>0</v>
      </c>
      <c r="Z45" s="263">
        <f>DX45+'User Input - Correlations'!Z45</f>
        <v>0</v>
      </c>
      <c r="AA45" s="263">
        <f>DY45+'User Input - Correlations'!AA45</f>
        <v>0</v>
      </c>
      <c r="AB45" s="263">
        <f>DZ45+'User Input - Correlations'!AB45</f>
        <v>0</v>
      </c>
      <c r="AC45" s="263">
        <f>EA45+'User Input - Correlations'!AC45</f>
        <v>0</v>
      </c>
      <c r="AD45" s="263">
        <f>EB45+'User Input - Correlations'!AD45</f>
        <v>0</v>
      </c>
      <c r="AE45" s="263">
        <f>EC45+'User Input - Correlations'!AE45</f>
        <v>0</v>
      </c>
      <c r="AF45" s="263">
        <f>ED45+'User Input - Correlations'!AF45</f>
        <v>0</v>
      </c>
      <c r="AG45" s="263">
        <f>EE45+'User Input - Correlations'!AG45</f>
        <v>0</v>
      </c>
      <c r="AH45" s="263">
        <f>EF45+'User Input - Correlations'!AH45</f>
        <v>0</v>
      </c>
      <c r="AI45" s="263">
        <f>EG45+'User Input - Correlations'!AI45</f>
        <v>0</v>
      </c>
      <c r="AJ45" s="263">
        <f>EH45+'User Input - Correlations'!AJ45</f>
        <v>0</v>
      </c>
      <c r="AK45" s="263">
        <v>1</v>
      </c>
      <c r="AL45" s="263">
        <f>EJ45+'User Input - Correlations'!AL45</f>
        <v>0</v>
      </c>
      <c r="AM45" s="263">
        <f>EK45+'User Input - Correlations'!AM45</f>
        <v>0</v>
      </c>
      <c r="AN45" s="263">
        <f>EL45+'User Input - Correlations'!AN45</f>
        <v>0</v>
      </c>
      <c r="AO45" s="263">
        <f>EM45+'User Input - Correlations'!AO45</f>
        <v>0</v>
      </c>
      <c r="AP45" s="263">
        <f>EN45+'User Input - Correlations'!AP45</f>
        <v>0</v>
      </c>
      <c r="AQ45" s="263">
        <f>EO45+'User Input - Correlations'!AQ45</f>
        <v>0</v>
      </c>
      <c r="AR45" s="263">
        <f>EP45+'User Input - Correlations'!AR45</f>
        <v>0</v>
      </c>
      <c r="AS45" s="263">
        <f>EQ45+'User Input - Correlations'!AS45</f>
        <v>0</v>
      </c>
      <c r="AT45" s="263">
        <f>ER45+'User Input - Correlations'!AT45</f>
        <v>0</v>
      </c>
      <c r="AU45" s="263">
        <f>ES45+'User Input - Correlations'!AU45</f>
        <v>0</v>
      </c>
      <c r="AV45" s="263">
        <f>ET45+'User Input - Correlations'!AV45</f>
        <v>0</v>
      </c>
      <c r="AW45" s="263">
        <f>EU45+'User Input - Correlations'!AW45</f>
        <v>0</v>
      </c>
      <c r="AX45" s="263">
        <f>EV45+'User Input - Correlations'!AX45</f>
        <v>0</v>
      </c>
      <c r="AY45" s="263">
        <f>EW45+'User Input - Correlations'!AY45</f>
        <v>0</v>
      </c>
      <c r="AZ45" s="263">
        <f>EX45+'User Input - Correlations'!AZ45</f>
        <v>0</v>
      </c>
      <c r="BA45" s="263">
        <f>EY45+'User Input - Correlations'!BA45</f>
        <v>0</v>
      </c>
      <c r="BB45" s="263">
        <f>EZ45+'User Input - Correlations'!BB45</f>
        <v>0</v>
      </c>
      <c r="BC45" s="263">
        <f>FA45+'User Input - Correlations'!BC45</f>
        <v>0</v>
      </c>
      <c r="BD45" s="263">
        <f>FB45+'User Input - Correlations'!BD45</f>
        <v>0</v>
      </c>
      <c r="BE45" s="263">
        <f>FC45+'User Input - Correlations'!BE45</f>
        <v>0</v>
      </c>
      <c r="BF45" s="263">
        <f>FD45+'User Input - Correlations'!BF45</f>
        <v>0</v>
      </c>
      <c r="BG45" s="263">
        <f>FE45+'User Input - Correlations'!BG45</f>
        <v>0</v>
      </c>
      <c r="BH45" s="263">
        <f>FF45+'User Input - Correlations'!BH45</f>
        <v>0</v>
      </c>
      <c r="BI45" s="263">
        <f>FG45+'User Input - Correlations'!BI45</f>
        <v>0</v>
      </c>
      <c r="BJ45" s="263">
        <f>FH45+'User Input - Correlations'!BJ45</f>
        <v>0</v>
      </c>
      <c r="BK45" s="263">
        <f>FI45+'User Input - Correlations'!BK45</f>
        <v>0</v>
      </c>
      <c r="BL45" s="263">
        <f>FJ45+'User Input - Correlations'!BL45</f>
        <v>0</v>
      </c>
      <c r="BM45" s="263">
        <f>FK45+'User Input - Correlations'!BM45</f>
        <v>0</v>
      </c>
      <c r="BN45" s="263">
        <f>FL45+'User Input - Correlations'!BN45</f>
        <v>0</v>
      </c>
      <c r="BO45" s="263">
        <f>FM45+'User Input - Correlations'!BO45</f>
        <v>0</v>
      </c>
      <c r="BP45" s="263">
        <f>FN45+'User Input - Correlations'!BP45</f>
        <v>0</v>
      </c>
      <c r="BQ45" s="263">
        <f>FO45+'User Input - Correlations'!BQ45</f>
        <v>0</v>
      </c>
      <c r="BR45" s="263">
        <f>FP45+'User Input - Correlations'!BR45</f>
        <v>0</v>
      </c>
      <c r="BS45" s="263">
        <f>FQ45+'User Input - Correlations'!BS45</f>
        <v>0</v>
      </c>
      <c r="BT45" s="263">
        <f>FR45+'User Input - Correlations'!BT45</f>
        <v>0</v>
      </c>
      <c r="BU45" s="263">
        <f>FS45+'User Input - Correlations'!BU45</f>
        <v>0</v>
      </c>
      <c r="BV45" s="263">
        <f>FT45+'User Input - Correlations'!BV45</f>
        <v>0</v>
      </c>
      <c r="BW45" s="263">
        <f>FU45+'User Input - Correlations'!BW45</f>
        <v>0</v>
      </c>
      <c r="BX45" s="263">
        <f>FV45+'User Input - Correlations'!BX45</f>
        <v>0</v>
      </c>
      <c r="BY45" s="263">
        <f>FW45+'User Input - Correlations'!BY45</f>
        <v>0</v>
      </c>
      <c r="BZ45" s="263">
        <f>FX45+'User Input - Correlations'!BZ45</f>
        <v>0</v>
      </c>
      <c r="CA45" s="263">
        <f>FY45+'User Input - Correlations'!CA45</f>
        <v>0</v>
      </c>
      <c r="CB45" s="263">
        <f>FZ45+'User Input - Correlations'!CB45</f>
        <v>0</v>
      </c>
      <c r="CC45" s="263">
        <f>GA45+'User Input - Correlations'!CC45</f>
        <v>0</v>
      </c>
      <c r="CD45" s="263">
        <f>GB45+'User Input - Correlations'!CD45</f>
        <v>0</v>
      </c>
      <c r="CE45" s="263">
        <f>GC45+'User Input - Correlations'!CE45</f>
        <v>0</v>
      </c>
      <c r="CF45" s="263">
        <f>GD45+'User Input - Correlations'!CF45</f>
        <v>0</v>
      </c>
      <c r="CG45" s="263">
        <f>GE45+'User Input - Correlations'!CG45</f>
        <v>0</v>
      </c>
      <c r="CH45" s="263">
        <f>GF45+'User Input - Correlations'!CH45</f>
        <v>0</v>
      </c>
      <c r="CI45" s="263">
        <f>GG45+'User Input - Correlations'!CI45</f>
        <v>0</v>
      </c>
      <c r="CJ45" s="263">
        <f>GH45+'User Input - Correlations'!CJ45</f>
        <v>0</v>
      </c>
      <c r="CK45" s="263">
        <f>GI45+'User Input - Correlations'!CK45</f>
        <v>0</v>
      </c>
      <c r="CL45" s="263">
        <f>GJ45+'User Input - Correlations'!CL45</f>
        <v>0</v>
      </c>
      <c r="CM45" s="263">
        <f>GK45+'User Input - Correlations'!CM45</f>
        <v>0</v>
      </c>
      <c r="CN45" s="263">
        <f>GL45+'User Input - Correlations'!CN45</f>
        <v>0</v>
      </c>
      <c r="CO45" s="263">
        <f>GM45+'User Input - Correlations'!CO45</f>
        <v>0</v>
      </c>
      <c r="CP45" s="264">
        <f>GN45+'User Input - Correlations'!CP45</f>
        <v>0</v>
      </c>
      <c r="CQ45" s="281">
        <f ca="1">MDETERM(OFFSET($C$11,0,0,ROWS($CQ$11:$CQ45),ROWS($CQ$11:$CQ45)))</f>
        <v>1</v>
      </c>
      <c r="DA45" s="263">
        <v>0</v>
      </c>
      <c r="DB45" s="263">
        <v>0</v>
      </c>
      <c r="DC45" s="263">
        <v>0</v>
      </c>
      <c r="DD45" s="263">
        <v>0</v>
      </c>
      <c r="DE45" s="263">
        <v>0</v>
      </c>
      <c r="DF45" s="263">
        <v>0</v>
      </c>
      <c r="DG45" s="263">
        <v>0</v>
      </c>
      <c r="DH45" s="263">
        <v>0</v>
      </c>
      <c r="DI45" s="263">
        <v>0</v>
      </c>
      <c r="DJ45" s="263">
        <v>0</v>
      </c>
      <c r="DK45" s="263">
        <v>0</v>
      </c>
      <c r="DL45" s="263">
        <v>0</v>
      </c>
      <c r="DM45" s="263">
        <v>0</v>
      </c>
      <c r="DN45" s="263">
        <v>0</v>
      </c>
      <c r="DO45" s="263">
        <v>0</v>
      </c>
      <c r="DP45" s="263">
        <v>0</v>
      </c>
      <c r="DQ45" s="263">
        <v>0</v>
      </c>
      <c r="DR45" s="263">
        <v>0</v>
      </c>
      <c r="DS45" s="263">
        <v>0</v>
      </c>
      <c r="DT45" s="263">
        <v>0</v>
      </c>
      <c r="DU45" s="263">
        <v>0</v>
      </c>
      <c r="DV45" s="263">
        <v>0</v>
      </c>
      <c r="DW45" s="263">
        <v>0</v>
      </c>
      <c r="DX45" s="263">
        <v>0</v>
      </c>
      <c r="DY45" s="263">
        <v>0</v>
      </c>
      <c r="DZ45" s="263">
        <v>0</v>
      </c>
      <c r="EA45" s="263">
        <v>0</v>
      </c>
      <c r="EB45" s="263">
        <v>0</v>
      </c>
      <c r="EC45" s="263">
        <v>0</v>
      </c>
      <c r="ED45" s="263">
        <v>0</v>
      </c>
      <c r="EE45" s="263">
        <v>0</v>
      </c>
      <c r="EF45" s="263">
        <v>0</v>
      </c>
      <c r="EG45" s="263">
        <v>0</v>
      </c>
      <c r="EH45" s="263">
        <v>0</v>
      </c>
      <c r="EI45" s="263">
        <v>1</v>
      </c>
      <c r="EJ45" s="263">
        <v>0</v>
      </c>
      <c r="EK45" s="263">
        <v>0</v>
      </c>
      <c r="EL45" s="263">
        <v>0</v>
      </c>
      <c r="EM45" s="263">
        <v>0</v>
      </c>
      <c r="EN45" s="263">
        <v>0</v>
      </c>
      <c r="EO45" s="263">
        <v>0</v>
      </c>
      <c r="EP45" s="263">
        <v>0</v>
      </c>
      <c r="EQ45" s="263">
        <v>0</v>
      </c>
      <c r="ER45" s="263">
        <v>0</v>
      </c>
      <c r="ES45" s="263">
        <v>0</v>
      </c>
      <c r="ET45" s="263">
        <v>0</v>
      </c>
      <c r="EU45" s="263">
        <v>0</v>
      </c>
      <c r="EV45" s="263">
        <v>0</v>
      </c>
      <c r="EW45" s="263">
        <v>0</v>
      </c>
      <c r="EX45" s="263">
        <v>0</v>
      </c>
      <c r="EY45" s="263">
        <v>0</v>
      </c>
      <c r="EZ45" s="263">
        <v>0</v>
      </c>
      <c r="FA45" s="263">
        <v>0</v>
      </c>
      <c r="FB45" s="263">
        <v>0</v>
      </c>
      <c r="FC45" s="263">
        <v>0</v>
      </c>
      <c r="FD45" s="263">
        <v>0</v>
      </c>
      <c r="FE45" s="263">
        <v>0</v>
      </c>
      <c r="FF45" s="263">
        <v>0</v>
      </c>
      <c r="FG45" s="263">
        <v>0</v>
      </c>
      <c r="FH45" s="263">
        <v>0</v>
      </c>
      <c r="FI45" s="263">
        <v>0</v>
      </c>
      <c r="FJ45" s="263">
        <v>0</v>
      </c>
      <c r="FK45" s="263">
        <v>0</v>
      </c>
      <c r="FL45" s="263">
        <v>0</v>
      </c>
      <c r="FM45" s="263">
        <v>0</v>
      </c>
      <c r="FN45" s="263">
        <v>0</v>
      </c>
      <c r="FO45" s="263">
        <v>0</v>
      </c>
      <c r="FP45" s="263">
        <v>0</v>
      </c>
      <c r="FQ45" s="263">
        <v>0</v>
      </c>
      <c r="FR45" s="263">
        <v>0</v>
      </c>
      <c r="FS45" s="263">
        <v>0</v>
      </c>
      <c r="FT45" s="263">
        <v>0</v>
      </c>
      <c r="FU45" s="263">
        <v>0</v>
      </c>
      <c r="FV45" s="263">
        <v>0</v>
      </c>
      <c r="FW45" s="263">
        <v>0</v>
      </c>
      <c r="FX45" s="263">
        <v>0</v>
      </c>
      <c r="FY45" s="263">
        <v>0</v>
      </c>
      <c r="FZ45" s="263">
        <v>0</v>
      </c>
      <c r="GA45" s="263">
        <v>0</v>
      </c>
      <c r="GB45" s="263">
        <v>0</v>
      </c>
      <c r="GC45" s="263">
        <v>0</v>
      </c>
      <c r="GD45" s="263">
        <v>0</v>
      </c>
      <c r="GE45" s="263">
        <v>0</v>
      </c>
      <c r="GF45" s="263">
        <v>0</v>
      </c>
      <c r="GG45" s="263">
        <v>0</v>
      </c>
      <c r="GH45" s="263">
        <v>0</v>
      </c>
      <c r="GI45" s="263">
        <v>0</v>
      </c>
      <c r="GJ45" s="263">
        <v>0</v>
      </c>
      <c r="GK45" s="263">
        <v>0</v>
      </c>
      <c r="GL45" s="263">
        <v>0</v>
      </c>
      <c r="GM45" s="263">
        <v>0</v>
      </c>
      <c r="GN45" s="263">
        <v>0</v>
      </c>
    </row>
    <row r="46" ht="12.75" customHeight="1">
      <c r="A46" s="285" t="s">
        <v>182</v>
      </c>
      <c r="B46" s="285" t="s">
        <v>185</v>
      </c>
      <c r="C46" s="263">
        <f>DA46+'User Input - Correlations'!C46</f>
        <v>0</v>
      </c>
      <c r="D46" s="263">
        <f>DB46+'User Input - Correlations'!D46</f>
        <v>0</v>
      </c>
      <c r="E46" s="263">
        <f>DC46+'User Input - Correlations'!E46</f>
        <v>0</v>
      </c>
      <c r="F46" s="263">
        <f>DD46+'User Input - Correlations'!F46</f>
        <v>0</v>
      </c>
      <c r="G46" s="263">
        <f>DE46+'User Input - Correlations'!G46</f>
        <v>0</v>
      </c>
      <c r="H46" s="263">
        <f>DF46+'User Input - Correlations'!H46</f>
        <v>0</v>
      </c>
      <c r="I46" s="263">
        <f>DG46+'User Input - Correlations'!I46</f>
        <v>0</v>
      </c>
      <c r="J46" s="263">
        <f>DH46+'User Input - Correlations'!J46</f>
        <v>0</v>
      </c>
      <c r="K46" s="263">
        <f>DI46+'User Input - Correlations'!K46</f>
        <v>0</v>
      </c>
      <c r="L46" s="263">
        <f>DJ46+'User Input - Correlations'!L46</f>
        <v>0</v>
      </c>
      <c r="M46" s="263">
        <f>DK46+'User Input - Correlations'!M46</f>
        <v>0</v>
      </c>
      <c r="N46" s="263">
        <f>DL46+'User Input - Correlations'!N46</f>
        <v>0</v>
      </c>
      <c r="O46" s="263">
        <f>DM46+'User Input - Correlations'!O46</f>
        <v>0</v>
      </c>
      <c r="P46" s="263">
        <f>DN46+'User Input - Correlations'!P46</f>
        <v>0</v>
      </c>
      <c r="Q46" s="263">
        <f>DO46+'User Input - Correlations'!Q46</f>
        <v>0</v>
      </c>
      <c r="R46" s="263">
        <f>DP46+'User Input - Correlations'!R46</f>
        <v>0</v>
      </c>
      <c r="S46" s="263">
        <f>DQ46+'User Input - Correlations'!S46</f>
        <v>0</v>
      </c>
      <c r="T46" s="263">
        <f>DR46+'User Input - Correlations'!T46</f>
        <v>0</v>
      </c>
      <c r="U46" s="263">
        <f>DS46+'User Input - Correlations'!U46</f>
        <v>0</v>
      </c>
      <c r="V46" s="263">
        <f>DT46+'User Input - Correlations'!V46</f>
        <v>0</v>
      </c>
      <c r="W46" s="263">
        <f>DU46+'User Input - Correlations'!W46</f>
        <v>0</v>
      </c>
      <c r="X46" s="263">
        <f>DV46+'User Input - Correlations'!X46</f>
        <v>0</v>
      </c>
      <c r="Y46" s="263">
        <f>DW46+'User Input - Correlations'!Y46</f>
        <v>0</v>
      </c>
      <c r="Z46" s="263">
        <f>DX46+'User Input - Correlations'!Z46</f>
        <v>0</v>
      </c>
      <c r="AA46" s="263">
        <f>DY46+'User Input - Correlations'!AA46</f>
        <v>0</v>
      </c>
      <c r="AB46" s="263">
        <f>DZ46+'User Input - Correlations'!AB46</f>
        <v>0</v>
      </c>
      <c r="AC46" s="263">
        <f>EA46+'User Input - Correlations'!AC46</f>
        <v>0</v>
      </c>
      <c r="AD46" s="263">
        <f>EB46+'User Input - Correlations'!AD46</f>
        <v>0</v>
      </c>
      <c r="AE46" s="263">
        <f>EC46+'User Input - Correlations'!AE46</f>
        <v>0</v>
      </c>
      <c r="AF46" s="263">
        <f>ED46+'User Input - Correlations'!AF46</f>
        <v>0</v>
      </c>
      <c r="AG46" s="263">
        <f>EE46+'User Input - Correlations'!AG46</f>
        <v>0</v>
      </c>
      <c r="AH46" s="263">
        <f>EF46+'User Input - Correlations'!AH46</f>
        <v>0</v>
      </c>
      <c r="AI46" s="263">
        <f>EG46+'User Input - Correlations'!AI46</f>
        <v>0</v>
      </c>
      <c r="AJ46" s="263">
        <f>EH46+'User Input - Correlations'!AJ46</f>
        <v>0</v>
      </c>
      <c r="AK46" s="263">
        <f>EI46+'User Input - Correlations'!AK46</f>
        <v>0</v>
      </c>
      <c r="AL46" s="263">
        <v>1</v>
      </c>
      <c r="AM46" s="263">
        <f>EK46+'User Input - Correlations'!AM46</f>
        <v>0</v>
      </c>
      <c r="AN46" s="263">
        <f>EL46+'User Input - Correlations'!AN46</f>
        <v>0</v>
      </c>
      <c r="AO46" s="263">
        <f>EM46+'User Input - Correlations'!AO46</f>
        <v>0</v>
      </c>
      <c r="AP46" s="263">
        <f>EN46+'User Input - Correlations'!AP46</f>
        <v>0</v>
      </c>
      <c r="AQ46" s="263">
        <f>EO46+'User Input - Correlations'!AQ46</f>
        <v>0</v>
      </c>
      <c r="AR46" s="263">
        <f>EP46+'User Input - Correlations'!AR46</f>
        <v>0</v>
      </c>
      <c r="AS46" s="263">
        <f>EQ46+'User Input - Correlations'!AS46</f>
        <v>0</v>
      </c>
      <c r="AT46" s="263">
        <f>ER46+'User Input - Correlations'!AT46</f>
        <v>0</v>
      </c>
      <c r="AU46" s="263">
        <f>ES46+'User Input - Correlations'!AU46</f>
        <v>0</v>
      </c>
      <c r="AV46" s="263">
        <f>ET46+'User Input - Correlations'!AV46</f>
        <v>0</v>
      </c>
      <c r="AW46" s="263">
        <f>EU46+'User Input - Correlations'!AW46</f>
        <v>0</v>
      </c>
      <c r="AX46" s="263">
        <f>EV46+'User Input - Correlations'!AX46</f>
        <v>0</v>
      </c>
      <c r="AY46" s="263">
        <f>EW46+'User Input - Correlations'!AY46</f>
        <v>0</v>
      </c>
      <c r="AZ46" s="263">
        <f>EX46+'User Input - Correlations'!AZ46</f>
        <v>0</v>
      </c>
      <c r="BA46" s="263">
        <f>EY46+'User Input - Correlations'!BA46</f>
        <v>0</v>
      </c>
      <c r="BB46" s="263">
        <f>EZ46+'User Input - Correlations'!BB46</f>
        <v>0</v>
      </c>
      <c r="BC46" s="263">
        <f>FA46+'User Input - Correlations'!BC46</f>
        <v>0</v>
      </c>
      <c r="BD46" s="263">
        <f>FB46+'User Input - Correlations'!BD46</f>
        <v>0</v>
      </c>
      <c r="BE46" s="263">
        <f>FC46+'User Input - Correlations'!BE46</f>
        <v>0</v>
      </c>
      <c r="BF46" s="263">
        <f>FD46+'User Input - Correlations'!BF46</f>
        <v>0</v>
      </c>
      <c r="BG46" s="263">
        <f>FE46+'User Input - Correlations'!BG46</f>
        <v>0</v>
      </c>
      <c r="BH46" s="263">
        <f>FF46+'User Input - Correlations'!BH46</f>
        <v>0</v>
      </c>
      <c r="BI46" s="263">
        <f>FG46+'User Input - Correlations'!BI46</f>
        <v>0</v>
      </c>
      <c r="BJ46" s="263">
        <f>FH46+'User Input - Correlations'!BJ46</f>
        <v>0</v>
      </c>
      <c r="BK46" s="263">
        <f>FI46+'User Input - Correlations'!BK46</f>
        <v>0</v>
      </c>
      <c r="BL46" s="263">
        <f>FJ46+'User Input - Correlations'!BL46</f>
        <v>0</v>
      </c>
      <c r="BM46" s="263">
        <f>FK46+'User Input - Correlations'!BM46</f>
        <v>0</v>
      </c>
      <c r="BN46" s="263">
        <f>FL46+'User Input - Correlations'!BN46</f>
        <v>0</v>
      </c>
      <c r="BO46" s="263">
        <f>FM46+'User Input - Correlations'!BO46</f>
        <v>0</v>
      </c>
      <c r="BP46" s="263">
        <f>FN46+'User Input - Correlations'!BP46</f>
        <v>0</v>
      </c>
      <c r="BQ46" s="263">
        <f>FO46+'User Input - Correlations'!BQ46</f>
        <v>0</v>
      </c>
      <c r="BR46" s="263">
        <f>FP46+'User Input - Correlations'!BR46</f>
        <v>0</v>
      </c>
      <c r="BS46" s="263">
        <f>FQ46+'User Input - Correlations'!BS46</f>
        <v>0</v>
      </c>
      <c r="BT46" s="263">
        <f>FR46+'User Input - Correlations'!BT46</f>
        <v>0</v>
      </c>
      <c r="BU46" s="263">
        <f>FS46+'User Input - Correlations'!BU46</f>
        <v>0</v>
      </c>
      <c r="BV46" s="263">
        <f>FT46+'User Input - Correlations'!BV46</f>
        <v>0</v>
      </c>
      <c r="BW46" s="263">
        <f>FU46+'User Input - Correlations'!BW46</f>
        <v>0</v>
      </c>
      <c r="BX46" s="263">
        <f>FV46+'User Input - Correlations'!BX46</f>
        <v>0</v>
      </c>
      <c r="BY46" s="263">
        <f>FW46+'User Input - Correlations'!BY46</f>
        <v>0</v>
      </c>
      <c r="BZ46" s="263">
        <f>FX46+'User Input - Correlations'!BZ46</f>
        <v>0</v>
      </c>
      <c r="CA46" s="263">
        <f>FY46+'User Input - Correlations'!CA46</f>
        <v>0</v>
      </c>
      <c r="CB46" s="263">
        <f>FZ46+'User Input - Correlations'!CB46</f>
        <v>0</v>
      </c>
      <c r="CC46" s="263">
        <f>GA46+'User Input - Correlations'!CC46</f>
        <v>0</v>
      </c>
      <c r="CD46" s="263">
        <f>GB46+'User Input - Correlations'!CD46</f>
        <v>0</v>
      </c>
      <c r="CE46" s="263">
        <f>GC46+'User Input - Correlations'!CE46</f>
        <v>0</v>
      </c>
      <c r="CF46" s="263">
        <f>GD46+'User Input - Correlations'!CF46</f>
        <v>0</v>
      </c>
      <c r="CG46" s="263">
        <f>GE46+'User Input - Correlations'!CG46</f>
        <v>0</v>
      </c>
      <c r="CH46" s="263">
        <f>GF46+'User Input - Correlations'!CH46</f>
        <v>0</v>
      </c>
      <c r="CI46" s="263">
        <f>GG46+'User Input - Correlations'!CI46</f>
        <v>0</v>
      </c>
      <c r="CJ46" s="263">
        <f>GH46+'User Input - Correlations'!CJ46</f>
        <v>0</v>
      </c>
      <c r="CK46" s="263">
        <f>GI46+'User Input - Correlations'!CK46</f>
        <v>0</v>
      </c>
      <c r="CL46" s="263">
        <f>GJ46+'User Input - Correlations'!CL46</f>
        <v>0</v>
      </c>
      <c r="CM46" s="263">
        <f>GK46+'User Input - Correlations'!CM46</f>
        <v>0</v>
      </c>
      <c r="CN46" s="263">
        <f>GL46+'User Input - Correlations'!CN46</f>
        <v>0</v>
      </c>
      <c r="CO46" s="263">
        <f>GM46+'User Input - Correlations'!CO46</f>
        <v>0</v>
      </c>
      <c r="CP46" s="264">
        <f>GN46+'User Input - Correlations'!CP46</f>
        <v>0</v>
      </c>
      <c r="CQ46" s="281">
        <f ca="1">MDETERM(OFFSET($C$11,0,0,ROWS($CQ$11:$CQ46),ROWS($CQ$11:$CQ46)))</f>
        <v>1</v>
      </c>
      <c r="DA46" s="263">
        <v>0</v>
      </c>
      <c r="DB46" s="263">
        <v>0</v>
      </c>
      <c r="DC46" s="263">
        <v>0</v>
      </c>
      <c r="DD46" s="263">
        <v>0</v>
      </c>
      <c r="DE46" s="263">
        <v>0</v>
      </c>
      <c r="DF46" s="263">
        <v>0</v>
      </c>
      <c r="DG46" s="263">
        <v>0</v>
      </c>
      <c r="DH46" s="263">
        <v>0</v>
      </c>
      <c r="DI46" s="263">
        <v>0</v>
      </c>
      <c r="DJ46" s="263">
        <v>0</v>
      </c>
      <c r="DK46" s="263">
        <v>0</v>
      </c>
      <c r="DL46" s="263">
        <v>0</v>
      </c>
      <c r="DM46" s="263">
        <v>0</v>
      </c>
      <c r="DN46" s="263">
        <v>0</v>
      </c>
      <c r="DO46" s="263">
        <v>0</v>
      </c>
      <c r="DP46" s="263">
        <v>0</v>
      </c>
      <c r="DQ46" s="263">
        <v>0</v>
      </c>
      <c r="DR46" s="263">
        <v>0</v>
      </c>
      <c r="DS46" s="263">
        <v>0</v>
      </c>
      <c r="DT46" s="263">
        <v>0</v>
      </c>
      <c r="DU46" s="263">
        <v>0</v>
      </c>
      <c r="DV46" s="263">
        <v>0</v>
      </c>
      <c r="DW46" s="263">
        <v>0</v>
      </c>
      <c r="DX46" s="263">
        <v>0</v>
      </c>
      <c r="DY46" s="263">
        <v>0</v>
      </c>
      <c r="DZ46" s="263">
        <v>0</v>
      </c>
      <c r="EA46" s="263">
        <v>0</v>
      </c>
      <c r="EB46" s="263">
        <v>0</v>
      </c>
      <c r="EC46" s="263">
        <v>0</v>
      </c>
      <c r="ED46" s="263">
        <v>0</v>
      </c>
      <c r="EE46" s="263">
        <v>0</v>
      </c>
      <c r="EF46" s="263">
        <v>0</v>
      </c>
      <c r="EG46" s="263">
        <v>0</v>
      </c>
      <c r="EH46" s="263">
        <v>0</v>
      </c>
      <c r="EI46" s="263">
        <v>0</v>
      </c>
      <c r="EJ46" s="263">
        <v>1</v>
      </c>
      <c r="EK46" s="263">
        <v>0</v>
      </c>
      <c r="EL46" s="263">
        <v>0</v>
      </c>
      <c r="EM46" s="263">
        <v>0</v>
      </c>
      <c r="EN46" s="263">
        <v>0</v>
      </c>
      <c r="EO46" s="263">
        <v>0</v>
      </c>
      <c r="EP46" s="263">
        <v>0</v>
      </c>
      <c r="EQ46" s="263">
        <v>0</v>
      </c>
      <c r="ER46" s="263">
        <v>0</v>
      </c>
      <c r="ES46" s="263">
        <v>0</v>
      </c>
      <c r="ET46" s="263">
        <v>0</v>
      </c>
      <c r="EU46" s="263">
        <v>0</v>
      </c>
      <c r="EV46" s="263">
        <v>0</v>
      </c>
      <c r="EW46" s="263">
        <v>0</v>
      </c>
      <c r="EX46" s="263">
        <v>0</v>
      </c>
      <c r="EY46" s="263">
        <v>0</v>
      </c>
      <c r="EZ46" s="263">
        <v>0</v>
      </c>
      <c r="FA46" s="263">
        <v>0</v>
      </c>
      <c r="FB46" s="263">
        <v>0</v>
      </c>
      <c r="FC46" s="263">
        <v>0</v>
      </c>
      <c r="FD46" s="263">
        <v>0</v>
      </c>
      <c r="FE46" s="263">
        <v>0</v>
      </c>
      <c r="FF46" s="263">
        <v>0</v>
      </c>
      <c r="FG46" s="263">
        <v>0</v>
      </c>
      <c r="FH46" s="263">
        <v>0</v>
      </c>
      <c r="FI46" s="263">
        <v>0</v>
      </c>
      <c r="FJ46" s="263">
        <v>0</v>
      </c>
      <c r="FK46" s="263">
        <v>0</v>
      </c>
      <c r="FL46" s="263">
        <v>0</v>
      </c>
      <c r="FM46" s="263">
        <v>0</v>
      </c>
      <c r="FN46" s="263">
        <v>0</v>
      </c>
      <c r="FO46" s="263">
        <v>0</v>
      </c>
      <c r="FP46" s="263">
        <v>0</v>
      </c>
      <c r="FQ46" s="263">
        <v>0</v>
      </c>
      <c r="FR46" s="263">
        <v>0</v>
      </c>
      <c r="FS46" s="263">
        <v>0</v>
      </c>
      <c r="FT46" s="263">
        <v>0</v>
      </c>
      <c r="FU46" s="263">
        <v>0</v>
      </c>
      <c r="FV46" s="263">
        <v>0</v>
      </c>
      <c r="FW46" s="263">
        <v>0</v>
      </c>
      <c r="FX46" s="263">
        <v>0</v>
      </c>
      <c r="FY46" s="263">
        <v>0</v>
      </c>
      <c r="FZ46" s="263">
        <v>0</v>
      </c>
      <c r="GA46" s="263">
        <v>0</v>
      </c>
      <c r="GB46" s="263">
        <v>0</v>
      </c>
      <c r="GC46" s="263">
        <v>0</v>
      </c>
      <c r="GD46" s="263">
        <v>0</v>
      </c>
      <c r="GE46" s="263">
        <v>0</v>
      </c>
      <c r="GF46" s="263">
        <v>0</v>
      </c>
      <c r="GG46" s="263">
        <v>0</v>
      </c>
      <c r="GH46" s="263">
        <v>0</v>
      </c>
      <c r="GI46" s="263">
        <v>0</v>
      </c>
      <c r="GJ46" s="263">
        <v>0</v>
      </c>
      <c r="GK46" s="263">
        <v>0</v>
      </c>
      <c r="GL46" s="263">
        <v>0</v>
      </c>
      <c r="GM46" s="263">
        <v>0</v>
      </c>
      <c r="GN46" s="263">
        <v>0</v>
      </c>
    </row>
    <row r="47" ht="12.75" customHeight="1">
      <c r="A47" s="285" t="s">
        <v>184</v>
      </c>
      <c r="B47" s="285" t="s">
        <v>185</v>
      </c>
      <c r="C47" s="263">
        <f>DA47+'User Input - Correlations'!C47</f>
        <v>0</v>
      </c>
      <c r="D47" s="263">
        <f>DB47+'User Input - Correlations'!D47</f>
        <v>0</v>
      </c>
      <c r="E47" s="263">
        <f>DC47+'User Input - Correlations'!E47</f>
        <v>0</v>
      </c>
      <c r="F47" s="263">
        <f>DD47+'User Input - Correlations'!F47</f>
        <v>0</v>
      </c>
      <c r="G47" s="263">
        <f>DE47+'User Input - Correlations'!G47</f>
        <v>0</v>
      </c>
      <c r="H47" s="263">
        <f>DF47+'User Input - Correlations'!H47</f>
        <v>0</v>
      </c>
      <c r="I47" s="263">
        <f>DG47+'User Input - Correlations'!I47</f>
        <v>0</v>
      </c>
      <c r="J47" s="263">
        <f>DH47+'User Input - Correlations'!J47</f>
        <v>0</v>
      </c>
      <c r="K47" s="263">
        <f>DI47+'User Input - Correlations'!K47</f>
        <v>0</v>
      </c>
      <c r="L47" s="263">
        <f>DJ47+'User Input - Correlations'!L47</f>
        <v>0</v>
      </c>
      <c r="M47" s="263">
        <f>DK47+'User Input - Correlations'!M47</f>
        <v>0</v>
      </c>
      <c r="N47" s="263">
        <f>DL47+'User Input - Correlations'!N47</f>
        <v>0</v>
      </c>
      <c r="O47" s="263">
        <f>DM47+'User Input - Correlations'!O47</f>
        <v>0</v>
      </c>
      <c r="P47" s="263">
        <f>DN47+'User Input - Correlations'!P47</f>
        <v>0</v>
      </c>
      <c r="Q47" s="263">
        <f>DO47+'User Input - Correlations'!Q47</f>
        <v>0</v>
      </c>
      <c r="R47" s="263">
        <f>DP47+'User Input - Correlations'!R47</f>
        <v>0</v>
      </c>
      <c r="S47" s="263">
        <f>DQ47+'User Input - Correlations'!S47</f>
        <v>0</v>
      </c>
      <c r="T47" s="263">
        <f>DR47+'User Input - Correlations'!T47</f>
        <v>0</v>
      </c>
      <c r="U47" s="263">
        <f>DS47+'User Input - Correlations'!U47</f>
        <v>0</v>
      </c>
      <c r="V47" s="263">
        <f>DT47+'User Input - Correlations'!V47</f>
        <v>0</v>
      </c>
      <c r="W47" s="263">
        <f>DU47+'User Input - Correlations'!W47</f>
        <v>0</v>
      </c>
      <c r="X47" s="263">
        <f>DV47+'User Input - Correlations'!X47</f>
        <v>0</v>
      </c>
      <c r="Y47" s="263">
        <f>DW47+'User Input - Correlations'!Y47</f>
        <v>0</v>
      </c>
      <c r="Z47" s="263">
        <f>DX47+'User Input - Correlations'!Z47</f>
        <v>0</v>
      </c>
      <c r="AA47" s="263">
        <f>DY47+'User Input - Correlations'!AA47</f>
        <v>0</v>
      </c>
      <c r="AB47" s="263">
        <f>DZ47+'User Input - Correlations'!AB47</f>
        <v>0</v>
      </c>
      <c r="AC47" s="263">
        <f>EA47+'User Input - Correlations'!AC47</f>
        <v>0</v>
      </c>
      <c r="AD47" s="263">
        <f>EB47+'User Input - Correlations'!AD47</f>
        <v>0</v>
      </c>
      <c r="AE47" s="263">
        <f>EC47+'User Input - Correlations'!AE47</f>
        <v>0</v>
      </c>
      <c r="AF47" s="263">
        <f>ED47+'User Input - Correlations'!AF47</f>
        <v>0</v>
      </c>
      <c r="AG47" s="263">
        <f>EE47+'User Input - Correlations'!AG47</f>
        <v>0</v>
      </c>
      <c r="AH47" s="263">
        <f>EF47+'User Input - Correlations'!AH47</f>
        <v>0</v>
      </c>
      <c r="AI47" s="263">
        <f>EG47+'User Input - Correlations'!AI47</f>
        <v>0</v>
      </c>
      <c r="AJ47" s="263">
        <f>EH47+'User Input - Correlations'!AJ47</f>
        <v>0</v>
      </c>
      <c r="AK47" s="263">
        <f>EI47+'User Input - Correlations'!AK47</f>
        <v>0</v>
      </c>
      <c r="AL47" s="263">
        <f>EJ47+'User Input - Correlations'!AL47</f>
        <v>0</v>
      </c>
      <c r="AM47" s="263">
        <v>1</v>
      </c>
      <c r="AN47" s="263">
        <f>EL47+'User Input - Correlations'!AN47</f>
        <v>0</v>
      </c>
      <c r="AO47" s="263">
        <f>EM47+'User Input - Correlations'!AO47</f>
        <v>0</v>
      </c>
      <c r="AP47" s="263">
        <f>EN47+'User Input - Correlations'!AP47</f>
        <v>0</v>
      </c>
      <c r="AQ47" s="263">
        <f>EO47+'User Input - Correlations'!AQ47</f>
        <v>0</v>
      </c>
      <c r="AR47" s="263">
        <f>EP47+'User Input - Correlations'!AR47</f>
        <v>0</v>
      </c>
      <c r="AS47" s="263">
        <f>EQ47+'User Input - Correlations'!AS47</f>
        <v>0</v>
      </c>
      <c r="AT47" s="263">
        <f>ER47+'User Input - Correlations'!AT47</f>
        <v>0</v>
      </c>
      <c r="AU47" s="263">
        <f>ES47+'User Input - Correlations'!AU47</f>
        <v>0</v>
      </c>
      <c r="AV47" s="263">
        <f>ET47+'User Input - Correlations'!AV47</f>
        <v>0</v>
      </c>
      <c r="AW47" s="263">
        <f>EU47+'User Input - Correlations'!AW47</f>
        <v>0</v>
      </c>
      <c r="AX47" s="263">
        <f>EV47+'User Input - Correlations'!AX47</f>
        <v>0</v>
      </c>
      <c r="AY47" s="263">
        <f>EW47+'User Input - Correlations'!AY47</f>
        <v>0</v>
      </c>
      <c r="AZ47" s="263">
        <f>EX47+'User Input - Correlations'!AZ47</f>
        <v>0</v>
      </c>
      <c r="BA47" s="263">
        <f>EY47+'User Input - Correlations'!BA47</f>
        <v>0</v>
      </c>
      <c r="BB47" s="263">
        <f>EZ47+'User Input - Correlations'!BB47</f>
        <v>0</v>
      </c>
      <c r="BC47" s="263">
        <f>FA47+'User Input - Correlations'!BC47</f>
        <v>0</v>
      </c>
      <c r="BD47" s="263">
        <f>FB47+'User Input - Correlations'!BD47</f>
        <v>0</v>
      </c>
      <c r="BE47" s="263">
        <f>FC47+'User Input - Correlations'!BE47</f>
        <v>0</v>
      </c>
      <c r="BF47" s="263">
        <f>FD47+'User Input - Correlations'!BF47</f>
        <v>0</v>
      </c>
      <c r="BG47" s="263">
        <f>FE47+'User Input - Correlations'!BG47</f>
        <v>0</v>
      </c>
      <c r="BH47" s="263">
        <f>FF47+'User Input - Correlations'!BH47</f>
        <v>0</v>
      </c>
      <c r="BI47" s="263">
        <f>FG47+'User Input - Correlations'!BI47</f>
        <v>0</v>
      </c>
      <c r="BJ47" s="263">
        <f>FH47+'User Input - Correlations'!BJ47</f>
        <v>0</v>
      </c>
      <c r="BK47" s="263">
        <f>FI47+'User Input - Correlations'!BK47</f>
        <v>0</v>
      </c>
      <c r="BL47" s="263">
        <f>FJ47+'User Input - Correlations'!BL47</f>
        <v>0</v>
      </c>
      <c r="BM47" s="263">
        <f>FK47+'User Input - Correlations'!BM47</f>
        <v>0</v>
      </c>
      <c r="BN47" s="263">
        <f>FL47+'User Input - Correlations'!BN47</f>
        <v>0</v>
      </c>
      <c r="BO47" s="263">
        <f>FM47+'User Input - Correlations'!BO47</f>
        <v>0</v>
      </c>
      <c r="BP47" s="263">
        <f>FN47+'User Input - Correlations'!BP47</f>
        <v>0</v>
      </c>
      <c r="BQ47" s="263">
        <f>FO47+'User Input - Correlations'!BQ47</f>
        <v>0</v>
      </c>
      <c r="BR47" s="263">
        <f>FP47+'User Input - Correlations'!BR47</f>
        <v>0</v>
      </c>
      <c r="BS47" s="263">
        <f>FQ47+'User Input - Correlations'!BS47</f>
        <v>0</v>
      </c>
      <c r="BT47" s="263">
        <f>FR47+'User Input - Correlations'!BT47</f>
        <v>0</v>
      </c>
      <c r="BU47" s="263">
        <f>FS47+'User Input - Correlations'!BU47</f>
        <v>0</v>
      </c>
      <c r="BV47" s="263">
        <f>FT47+'User Input - Correlations'!BV47</f>
        <v>0</v>
      </c>
      <c r="BW47" s="263">
        <f>FU47+'User Input - Correlations'!BW47</f>
        <v>0</v>
      </c>
      <c r="BX47" s="263">
        <f>FV47+'User Input - Correlations'!BX47</f>
        <v>0</v>
      </c>
      <c r="BY47" s="263">
        <f>FW47+'User Input - Correlations'!BY47</f>
        <v>0</v>
      </c>
      <c r="BZ47" s="263">
        <f>FX47+'User Input - Correlations'!BZ47</f>
        <v>0</v>
      </c>
      <c r="CA47" s="263">
        <f>FY47+'User Input - Correlations'!CA47</f>
        <v>0</v>
      </c>
      <c r="CB47" s="263">
        <f>FZ47+'User Input - Correlations'!CB47</f>
        <v>0</v>
      </c>
      <c r="CC47" s="263">
        <f>GA47+'User Input - Correlations'!CC47</f>
        <v>0</v>
      </c>
      <c r="CD47" s="263">
        <f>GB47+'User Input - Correlations'!CD47</f>
        <v>0</v>
      </c>
      <c r="CE47" s="263">
        <f>GC47+'User Input - Correlations'!CE47</f>
        <v>0</v>
      </c>
      <c r="CF47" s="263">
        <f>GD47+'User Input - Correlations'!CF47</f>
        <v>0</v>
      </c>
      <c r="CG47" s="263">
        <f>GE47+'User Input - Correlations'!CG47</f>
        <v>0</v>
      </c>
      <c r="CH47" s="263">
        <f>GF47+'User Input - Correlations'!CH47</f>
        <v>0</v>
      </c>
      <c r="CI47" s="263">
        <f>GG47+'User Input - Correlations'!CI47</f>
        <v>0</v>
      </c>
      <c r="CJ47" s="263">
        <f>GH47+'User Input - Correlations'!CJ47</f>
        <v>0</v>
      </c>
      <c r="CK47" s="263">
        <f>GI47+'User Input - Correlations'!CK47</f>
        <v>0</v>
      </c>
      <c r="CL47" s="263">
        <f>GJ47+'User Input - Correlations'!CL47</f>
        <v>0</v>
      </c>
      <c r="CM47" s="263">
        <f>GK47+'User Input - Correlations'!CM47</f>
        <v>0</v>
      </c>
      <c r="CN47" s="263">
        <f>GL47+'User Input - Correlations'!CN47</f>
        <v>0</v>
      </c>
      <c r="CO47" s="263">
        <f>GM47+'User Input - Correlations'!CO47</f>
        <v>0</v>
      </c>
      <c r="CP47" s="264">
        <f>GN47+'User Input - Correlations'!CP47</f>
        <v>0</v>
      </c>
      <c r="CQ47" s="281">
        <f ca="1">MDETERM(OFFSET($C$11,0,0,ROWS($CQ$11:$CQ47),ROWS($CQ$11:$CQ47)))</f>
        <v>1</v>
      </c>
      <c r="DA47" s="263">
        <v>0</v>
      </c>
      <c r="DB47" s="263">
        <v>0</v>
      </c>
      <c r="DC47" s="263">
        <v>0</v>
      </c>
      <c r="DD47" s="263">
        <v>0</v>
      </c>
      <c r="DE47" s="263">
        <v>0</v>
      </c>
      <c r="DF47" s="263">
        <v>0</v>
      </c>
      <c r="DG47" s="263">
        <v>0</v>
      </c>
      <c r="DH47" s="263">
        <v>0</v>
      </c>
      <c r="DI47" s="263">
        <v>0</v>
      </c>
      <c r="DJ47" s="263">
        <v>0</v>
      </c>
      <c r="DK47" s="263">
        <v>0</v>
      </c>
      <c r="DL47" s="263">
        <v>0</v>
      </c>
      <c r="DM47" s="263">
        <v>0</v>
      </c>
      <c r="DN47" s="263">
        <v>0</v>
      </c>
      <c r="DO47" s="263">
        <v>0</v>
      </c>
      <c r="DP47" s="263">
        <v>0</v>
      </c>
      <c r="DQ47" s="263">
        <v>0</v>
      </c>
      <c r="DR47" s="263">
        <v>0</v>
      </c>
      <c r="DS47" s="263">
        <v>0</v>
      </c>
      <c r="DT47" s="263">
        <v>0</v>
      </c>
      <c r="DU47" s="263">
        <v>0</v>
      </c>
      <c r="DV47" s="263">
        <v>0</v>
      </c>
      <c r="DW47" s="263">
        <v>0</v>
      </c>
      <c r="DX47" s="263">
        <v>0</v>
      </c>
      <c r="DY47" s="263">
        <v>0</v>
      </c>
      <c r="DZ47" s="263">
        <v>0</v>
      </c>
      <c r="EA47" s="263">
        <v>0</v>
      </c>
      <c r="EB47" s="263">
        <v>0</v>
      </c>
      <c r="EC47" s="263">
        <v>0</v>
      </c>
      <c r="ED47" s="263">
        <v>0</v>
      </c>
      <c r="EE47" s="263">
        <v>0</v>
      </c>
      <c r="EF47" s="263">
        <v>0</v>
      </c>
      <c r="EG47" s="263">
        <v>0</v>
      </c>
      <c r="EH47" s="263">
        <v>0</v>
      </c>
      <c r="EI47" s="263">
        <v>0</v>
      </c>
      <c r="EJ47" s="263">
        <v>0</v>
      </c>
      <c r="EK47" s="263">
        <v>1</v>
      </c>
      <c r="EL47" s="263">
        <v>0</v>
      </c>
      <c r="EM47" s="263">
        <v>0</v>
      </c>
      <c r="EN47" s="263">
        <v>0</v>
      </c>
      <c r="EO47" s="263">
        <v>0</v>
      </c>
      <c r="EP47" s="263">
        <v>0</v>
      </c>
      <c r="EQ47" s="263">
        <v>0</v>
      </c>
      <c r="ER47" s="263">
        <v>0</v>
      </c>
      <c r="ES47" s="263">
        <v>0</v>
      </c>
      <c r="ET47" s="263">
        <v>0</v>
      </c>
      <c r="EU47" s="263">
        <v>0</v>
      </c>
      <c r="EV47" s="263">
        <v>0</v>
      </c>
      <c r="EW47" s="263">
        <v>0</v>
      </c>
      <c r="EX47" s="263">
        <v>0</v>
      </c>
      <c r="EY47" s="263">
        <v>0</v>
      </c>
      <c r="EZ47" s="263">
        <v>0</v>
      </c>
      <c r="FA47" s="263">
        <v>0</v>
      </c>
      <c r="FB47" s="263">
        <v>0</v>
      </c>
      <c r="FC47" s="263">
        <v>0</v>
      </c>
      <c r="FD47" s="263">
        <v>0</v>
      </c>
      <c r="FE47" s="263">
        <v>0</v>
      </c>
      <c r="FF47" s="263">
        <v>0</v>
      </c>
      <c r="FG47" s="263">
        <v>0</v>
      </c>
      <c r="FH47" s="263">
        <v>0</v>
      </c>
      <c r="FI47" s="263">
        <v>0</v>
      </c>
      <c r="FJ47" s="263">
        <v>0</v>
      </c>
      <c r="FK47" s="263">
        <v>0</v>
      </c>
      <c r="FL47" s="263">
        <v>0</v>
      </c>
      <c r="FM47" s="263">
        <v>0</v>
      </c>
      <c r="FN47" s="263">
        <v>0</v>
      </c>
      <c r="FO47" s="263">
        <v>0</v>
      </c>
      <c r="FP47" s="263">
        <v>0</v>
      </c>
      <c r="FQ47" s="263">
        <v>0</v>
      </c>
      <c r="FR47" s="263">
        <v>0</v>
      </c>
      <c r="FS47" s="263">
        <v>0</v>
      </c>
      <c r="FT47" s="263">
        <v>0</v>
      </c>
      <c r="FU47" s="263">
        <v>0</v>
      </c>
      <c r="FV47" s="263">
        <v>0</v>
      </c>
      <c r="FW47" s="263">
        <v>0</v>
      </c>
      <c r="FX47" s="263">
        <v>0</v>
      </c>
      <c r="FY47" s="263">
        <v>0</v>
      </c>
      <c r="FZ47" s="263">
        <v>0</v>
      </c>
      <c r="GA47" s="263">
        <v>0</v>
      </c>
      <c r="GB47" s="263">
        <v>0</v>
      </c>
      <c r="GC47" s="263">
        <v>0</v>
      </c>
      <c r="GD47" s="263">
        <v>0</v>
      </c>
      <c r="GE47" s="263">
        <v>0</v>
      </c>
      <c r="GF47" s="263">
        <v>0</v>
      </c>
      <c r="GG47" s="263">
        <v>0</v>
      </c>
      <c r="GH47" s="263">
        <v>0</v>
      </c>
      <c r="GI47" s="263">
        <v>0</v>
      </c>
      <c r="GJ47" s="263">
        <v>0</v>
      </c>
      <c r="GK47" s="263">
        <v>0</v>
      </c>
      <c r="GL47" s="263">
        <v>0</v>
      </c>
      <c r="GM47" s="263">
        <v>0</v>
      </c>
      <c r="GN47" s="263">
        <v>0</v>
      </c>
    </row>
    <row r="48" ht="12.75" customHeight="1">
      <c r="A48" s="285" t="s">
        <v>183</v>
      </c>
      <c r="B48" s="285" t="s">
        <v>185</v>
      </c>
      <c r="C48" s="263">
        <f>DA48+'User Input - Correlations'!C48</f>
        <v>0</v>
      </c>
      <c r="D48" s="263">
        <f>DB48+'User Input - Correlations'!D48</f>
        <v>0</v>
      </c>
      <c r="E48" s="263">
        <f>DC48+'User Input - Correlations'!E48</f>
        <v>0</v>
      </c>
      <c r="F48" s="263">
        <f>DD48+'User Input - Correlations'!F48</f>
        <v>0</v>
      </c>
      <c r="G48" s="263">
        <f>DE48+'User Input - Correlations'!G48</f>
        <v>0</v>
      </c>
      <c r="H48" s="263">
        <f>DF48+'User Input - Correlations'!H48</f>
        <v>0</v>
      </c>
      <c r="I48" s="263">
        <f>DG48+'User Input - Correlations'!I48</f>
        <v>0</v>
      </c>
      <c r="J48" s="263">
        <f>DH48+'User Input - Correlations'!J48</f>
        <v>0</v>
      </c>
      <c r="K48" s="263">
        <f>DI48+'User Input - Correlations'!K48</f>
        <v>0</v>
      </c>
      <c r="L48" s="263">
        <f>DJ48+'User Input - Correlations'!L48</f>
        <v>0</v>
      </c>
      <c r="M48" s="263">
        <f>DK48+'User Input - Correlations'!M48</f>
        <v>0</v>
      </c>
      <c r="N48" s="263">
        <f>DL48+'User Input - Correlations'!N48</f>
        <v>0</v>
      </c>
      <c r="O48" s="263">
        <f>DM48+'User Input - Correlations'!O48</f>
        <v>0</v>
      </c>
      <c r="P48" s="263">
        <f>DN48+'User Input - Correlations'!P48</f>
        <v>0</v>
      </c>
      <c r="Q48" s="263">
        <f>DO48+'User Input - Correlations'!Q48</f>
        <v>0</v>
      </c>
      <c r="R48" s="263">
        <f>DP48+'User Input - Correlations'!R48</f>
        <v>0</v>
      </c>
      <c r="S48" s="263">
        <f>DQ48+'User Input - Correlations'!S48</f>
        <v>0</v>
      </c>
      <c r="T48" s="263">
        <f>DR48+'User Input - Correlations'!T48</f>
        <v>0</v>
      </c>
      <c r="U48" s="263">
        <f>DS48+'User Input - Correlations'!U48</f>
        <v>0</v>
      </c>
      <c r="V48" s="263">
        <f>DT48+'User Input - Correlations'!V48</f>
        <v>0</v>
      </c>
      <c r="W48" s="263">
        <f>DU48+'User Input - Correlations'!W48</f>
        <v>0</v>
      </c>
      <c r="X48" s="263">
        <f>DV48+'User Input - Correlations'!X48</f>
        <v>0</v>
      </c>
      <c r="Y48" s="263">
        <f>DW48+'User Input - Correlations'!Y48</f>
        <v>0</v>
      </c>
      <c r="Z48" s="263">
        <f>DX48+'User Input - Correlations'!Z48</f>
        <v>0</v>
      </c>
      <c r="AA48" s="263">
        <f>DY48+'User Input - Correlations'!AA48</f>
        <v>0</v>
      </c>
      <c r="AB48" s="263">
        <f>DZ48+'User Input - Correlations'!AB48</f>
        <v>0</v>
      </c>
      <c r="AC48" s="263">
        <f>EA48+'User Input - Correlations'!AC48</f>
        <v>0</v>
      </c>
      <c r="AD48" s="263">
        <f>EB48+'User Input - Correlations'!AD48</f>
        <v>0</v>
      </c>
      <c r="AE48" s="263">
        <f>EC48+'User Input - Correlations'!AE48</f>
        <v>0</v>
      </c>
      <c r="AF48" s="263">
        <f>ED48+'User Input - Correlations'!AF48</f>
        <v>0</v>
      </c>
      <c r="AG48" s="263">
        <f>EE48+'User Input - Correlations'!AG48</f>
        <v>0</v>
      </c>
      <c r="AH48" s="263">
        <f>EF48+'User Input - Correlations'!AH48</f>
        <v>0</v>
      </c>
      <c r="AI48" s="263">
        <f>EG48+'User Input - Correlations'!AI48</f>
        <v>0</v>
      </c>
      <c r="AJ48" s="263">
        <f>EH48+'User Input - Correlations'!AJ48</f>
        <v>0</v>
      </c>
      <c r="AK48" s="263">
        <f>EI48+'User Input - Correlations'!AK48</f>
        <v>0</v>
      </c>
      <c r="AL48" s="263">
        <f>EJ48+'User Input - Correlations'!AL48</f>
        <v>0</v>
      </c>
      <c r="AM48" s="263">
        <f>EK48+'User Input - Correlations'!AM48</f>
        <v>0</v>
      </c>
      <c r="AN48" s="263">
        <v>1</v>
      </c>
      <c r="AO48" s="263">
        <f>EM48+'User Input - Correlations'!AO48</f>
        <v>0</v>
      </c>
      <c r="AP48" s="263">
        <f>EN48+'User Input - Correlations'!AP48</f>
        <v>0</v>
      </c>
      <c r="AQ48" s="263">
        <f>EO48+'User Input - Correlations'!AQ48</f>
        <v>0</v>
      </c>
      <c r="AR48" s="263">
        <f>EP48+'User Input - Correlations'!AR48</f>
        <v>0</v>
      </c>
      <c r="AS48" s="263">
        <f>EQ48+'User Input - Correlations'!AS48</f>
        <v>0</v>
      </c>
      <c r="AT48" s="263">
        <f>ER48+'User Input - Correlations'!AT48</f>
        <v>0</v>
      </c>
      <c r="AU48" s="263">
        <f>ES48+'User Input - Correlations'!AU48</f>
        <v>0</v>
      </c>
      <c r="AV48" s="263">
        <f>ET48+'User Input - Correlations'!AV48</f>
        <v>0</v>
      </c>
      <c r="AW48" s="263">
        <f>EU48+'User Input - Correlations'!AW48</f>
        <v>0</v>
      </c>
      <c r="AX48" s="263">
        <f>EV48+'User Input - Correlations'!AX48</f>
        <v>0</v>
      </c>
      <c r="AY48" s="263">
        <f>EW48+'User Input - Correlations'!AY48</f>
        <v>0</v>
      </c>
      <c r="AZ48" s="263">
        <f>EX48+'User Input - Correlations'!AZ48</f>
        <v>0</v>
      </c>
      <c r="BA48" s="263">
        <f>EY48+'User Input - Correlations'!BA48</f>
        <v>0</v>
      </c>
      <c r="BB48" s="263">
        <f>EZ48+'User Input - Correlations'!BB48</f>
        <v>0</v>
      </c>
      <c r="BC48" s="263">
        <f>FA48+'User Input - Correlations'!BC48</f>
        <v>0</v>
      </c>
      <c r="BD48" s="263">
        <f>FB48+'User Input - Correlations'!BD48</f>
        <v>0</v>
      </c>
      <c r="BE48" s="263">
        <f>FC48+'User Input - Correlations'!BE48</f>
        <v>0</v>
      </c>
      <c r="BF48" s="263">
        <f>FD48+'User Input - Correlations'!BF48</f>
        <v>0</v>
      </c>
      <c r="BG48" s="263">
        <f>FE48+'User Input - Correlations'!BG48</f>
        <v>0</v>
      </c>
      <c r="BH48" s="263">
        <f>FF48+'User Input - Correlations'!BH48</f>
        <v>0</v>
      </c>
      <c r="BI48" s="263">
        <f>FG48+'User Input - Correlations'!BI48</f>
        <v>0</v>
      </c>
      <c r="BJ48" s="263">
        <f>FH48+'User Input - Correlations'!BJ48</f>
        <v>0</v>
      </c>
      <c r="BK48" s="263">
        <f>FI48+'User Input - Correlations'!BK48</f>
        <v>0</v>
      </c>
      <c r="BL48" s="263">
        <f>FJ48+'User Input - Correlations'!BL48</f>
        <v>0</v>
      </c>
      <c r="BM48" s="263">
        <f>FK48+'User Input - Correlations'!BM48</f>
        <v>0</v>
      </c>
      <c r="BN48" s="263">
        <f>FL48+'User Input - Correlations'!BN48</f>
        <v>0</v>
      </c>
      <c r="BO48" s="263">
        <f>FM48+'User Input - Correlations'!BO48</f>
        <v>0</v>
      </c>
      <c r="BP48" s="263">
        <f>FN48+'User Input - Correlations'!BP48</f>
        <v>0</v>
      </c>
      <c r="BQ48" s="263">
        <f>FO48+'User Input - Correlations'!BQ48</f>
        <v>0</v>
      </c>
      <c r="BR48" s="263">
        <f>FP48+'User Input - Correlations'!BR48</f>
        <v>0</v>
      </c>
      <c r="BS48" s="263">
        <f>FQ48+'User Input - Correlations'!BS48</f>
        <v>0</v>
      </c>
      <c r="BT48" s="263">
        <f>FR48+'User Input - Correlations'!BT48</f>
        <v>0</v>
      </c>
      <c r="BU48" s="263">
        <f>FS48+'User Input - Correlations'!BU48</f>
        <v>0</v>
      </c>
      <c r="BV48" s="263">
        <f>FT48+'User Input - Correlations'!BV48</f>
        <v>0</v>
      </c>
      <c r="BW48" s="263">
        <f>FU48+'User Input - Correlations'!BW48</f>
        <v>0</v>
      </c>
      <c r="BX48" s="263">
        <f>FV48+'User Input - Correlations'!BX48</f>
        <v>0</v>
      </c>
      <c r="BY48" s="263">
        <f>FW48+'User Input - Correlations'!BY48</f>
        <v>0</v>
      </c>
      <c r="BZ48" s="263">
        <f>FX48+'User Input - Correlations'!BZ48</f>
        <v>0</v>
      </c>
      <c r="CA48" s="263">
        <f>FY48+'User Input - Correlations'!CA48</f>
        <v>0</v>
      </c>
      <c r="CB48" s="263">
        <f>FZ48+'User Input - Correlations'!CB48</f>
        <v>0</v>
      </c>
      <c r="CC48" s="263">
        <f>GA48+'User Input - Correlations'!CC48</f>
        <v>0</v>
      </c>
      <c r="CD48" s="263">
        <f>GB48+'User Input - Correlations'!CD48</f>
        <v>0</v>
      </c>
      <c r="CE48" s="263">
        <f>GC48+'User Input - Correlations'!CE48</f>
        <v>0</v>
      </c>
      <c r="CF48" s="263">
        <f>GD48+'User Input - Correlations'!CF48</f>
        <v>0</v>
      </c>
      <c r="CG48" s="263">
        <f>GE48+'User Input - Correlations'!CG48</f>
        <v>0</v>
      </c>
      <c r="CH48" s="263">
        <f>GF48+'User Input - Correlations'!CH48</f>
        <v>0</v>
      </c>
      <c r="CI48" s="263">
        <f>GG48+'User Input - Correlations'!CI48</f>
        <v>0</v>
      </c>
      <c r="CJ48" s="263">
        <f>GH48+'User Input - Correlations'!CJ48</f>
        <v>0</v>
      </c>
      <c r="CK48" s="263">
        <f>GI48+'User Input - Correlations'!CK48</f>
        <v>0</v>
      </c>
      <c r="CL48" s="263">
        <f>GJ48+'User Input - Correlations'!CL48</f>
        <v>0</v>
      </c>
      <c r="CM48" s="263">
        <f>GK48+'User Input - Correlations'!CM48</f>
        <v>0</v>
      </c>
      <c r="CN48" s="263">
        <f>GL48+'User Input - Correlations'!CN48</f>
        <v>0</v>
      </c>
      <c r="CO48" s="263">
        <f>GM48+'User Input - Correlations'!CO48</f>
        <v>0</v>
      </c>
      <c r="CP48" s="264">
        <f>GN48+'User Input - Correlations'!CP48</f>
        <v>0</v>
      </c>
      <c r="CQ48" s="281">
        <f ca="1">MDETERM(OFFSET($C$11,0,0,ROWS($CQ$11:$CQ48),ROWS($CQ$11:$CQ48)))</f>
        <v>1</v>
      </c>
      <c r="DA48" s="263">
        <v>0</v>
      </c>
      <c r="DB48" s="263">
        <v>0</v>
      </c>
      <c r="DC48" s="263">
        <v>0</v>
      </c>
      <c r="DD48" s="263">
        <v>0</v>
      </c>
      <c r="DE48" s="263">
        <v>0</v>
      </c>
      <c r="DF48" s="263">
        <v>0</v>
      </c>
      <c r="DG48" s="263">
        <v>0</v>
      </c>
      <c r="DH48" s="263">
        <v>0</v>
      </c>
      <c r="DI48" s="263">
        <v>0</v>
      </c>
      <c r="DJ48" s="263">
        <v>0</v>
      </c>
      <c r="DK48" s="263">
        <v>0</v>
      </c>
      <c r="DL48" s="263">
        <v>0</v>
      </c>
      <c r="DM48" s="263">
        <v>0</v>
      </c>
      <c r="DN48" s="263">
        <v>0</v>
      </c>
      <c r="DO48" s="263">
        <v>0</v>
      </c>
      <c r="DP48" s="263">
        <v>0</v>
      </c>
      <c r="DQ48" s="263">
        <v>0</v>
      </c>
      <c r="DR48" s="263">
        <v>0</v>
      </c>
      <c r="DS48" s="263">
        <v>0</v>
      </c>
      <c r="DT48" s="263">
        <v>0</v>
      </c>
      <c r="DU48" s="263">
        <v>0</v>
      </c>
      <c r="DV48" s="263">
        <v>0</v>
      </c>
      <c r="DW48" s="263">
        <v>0</v>
      </c>
      <c r="DX48" s="263">
        <v>0</v>
      </c>
      <c r="DY48" s="263">
        <v>0</v>
      </c>
      <c r="DZ48" s="263">
        <v>0</v>
      </c>
      <c r="EA48" s="263">
        <v>0</v>
      </c>
      <c r="EB48" s="263">
        <v>0</v>
      </c>
      <c r="EC48" s="263">
        <v>0</v>
      </c>
      <c r="ED48" s="263">
        <v>0</v>
      </c>
      <c r="EE48" s="263">
        <v>0</v>
      </c>
      <c r="EF48" s="263">
        <v>0</v>
      </c>
      <c r="EG48" s="263">
        <v>0</v>
      </c>
      <c r="EH48" s="263">
        <v>0</v>
      </c>
      <c r="EI48" s="263">
        <v>0</v>
      </c>
      <c r="EJ48" s="263">
        <v>0</v>
      </c>
      <c r="EK48" s="263">
        <v>0</v>
      </c>
      <c r="EL48" s="263">
        <v>1</v>
      </c>
      <c r="EM48" s="263">
        <v>0</v>
      </c>
      <c r="EN48" s="263">
        <v>0</v>
      </c>
      <c r="EO48" s="263">
        <v>0</v>
      </c>
      <c r="EP48" s="263">
        <v>0</v>
      </c>
      <c r="EQ48" s="263">
        <v>0</v>
      </c>
      <c r="ER48" s="263">
        <v>0</v>
      </c>
      <c r="ES48" s="263">
        <v>0</v>
      </c>
      <c r="ET48" s="263">
        <v>0</v>
      </c>
      <c r="EU48" s="263">
        <v>0</v>
      </c>
      <c r="EV48" s="263">
        <v>0</v>
      </c>
      <c r="EW48" s="263">
        <v>0</v>
      </c>
      <c r="EX48" s="263">
        <v>0</v>
      </c>
      <c r="EY48" s="263">
        <v>0</v>
      </c>
      <c r="EZ48" s="263">
        <v>0</v>
      </c>
      <c r="FA48" s="263">
        <v>0</v>
      </c>
      <c r="FB48" s="263">
        <v>0</v>
      </c>
      <c r="FC48" s="263">
        <v>0</v>
      </c>
      <c r="FD48" s="263">
        <v>0</v>
      </c>
      <c r="FE48" s="263">
        <v>0</v>
      </c>
      <c r="FF48" s="263">
        <v>0</v>
      </c>
      <c r="FG48" s="263">
        <v>0</v>
      </c>
      <c r="FH48" s="263">
        <v>0</v>
      </c>
      <c r="FI48" s="263">
        <v>0</v>
      </c>
      <c r="FJ48" s="263">
        <v>0</v>
      </c>
      <c r="FK48" s="263">
        <v>0</v>
      </c>
      <c r="FL48" s="263">
        <v>0</v>
      </c>
      <c r="FM48" s="263">
        <v>0</v>
      </c>
      <c r="FN48" s="263">
        <v>0</v>
      </c>
      <c r="FO48" s="263">
        <v>0</v>
      </c>
      <c r="FP48" s="263">
        <v>0</v>
      </c>
      <c r="FQ48" s="263">
        <v>0</v>
      </c>
      <c r="FR48" s="263">
        <v>0</v>
      </c>
      <c r="FS48" s="263">
        <v>0</v>
      </c>
      <c r="FT48" s="263">
        <v>0</v>
      </c>
      <c r="FU48" s="263">
        <v>0</v>
      </c>
      <c r="FV48" s="263">
        <v>0</v>
      </c>
      <c r="FW48" s="263">
        <v>0</v>
      </c>
      <c r="FX48" s="263">
        <v>0</v>
      </c>
      <c r="FY48" s="263">
        <v>0</v>
      </c>
      <c r="FZ48" s="263">
        <v>0</v>
      </c>
      <c r="GA48" s="263">
        <v>0</v>
      </c>
      <c r="GB48" s="263">
        <v>0</v>
      </c>
      <c r="GC48" s="263">
        <v>0</v>
      </c>
      <c r="GD48" s="263">
        <v>0</v>
      </c>
      <c r="GE48" s="263">
        <v>0</v>
      </c>
      <c r="GF48" s="263">
        <v>0</v>
      </c>
      <c r="GG48" s="263">
        <v>0</v>
      </c>
      <c r="GH48" s="263">
        <v>0</v>
      </c>
      <c r="GI48" s="263">
        <v>0</v>
      </c>
      <c r="GJ48" s="263">
        <v>0</v>
      </c>
      <c r="GK48" s="263">
        <v>0</v>
      </c>
      <c r="GL48" s="263">
        <v>0</v>
      </c>
      <c r="GM48" s="263">
        <v>0</v>
      </c>
      <c r="GN48" s="263">
        <v>0</v>
      </c>
    </row>
    <row r="49" ht="12.75" customHeight="1">
      <c r="A49" s="285" t="s">
        <v>192</v>
      </c>
      <c r="B49" s="285" t="s">
        <v>185</v>
      </c>
      <c r="C49" s="263">
        <f>DA49+'User Input - Correlations'!C49</f>
        <v>0</v>
      </c>
      <c r="D49" s="263">
        <f>DB49+'User Input - Correlations'!D49</f>
        <v>0</v>
      </c>
      <c r="E49" s="263">
        <f>DC49+'User Input - Correlations'!E49</f>
        <v>0</v>
      </c>
      <c r="F49" s="263">
        <f>DD49+'User Input - Correlations'!F49</f>
        <v>0</v>
      </c>
      <c r="G49" s="263">
        <f>DE49+'User Input - Correlations'!G49</f>
        <v>0</v>
      </c>
      <c r="H49" s="263">
        <f>DF49+'User Input - Correlations'!H49</f>
        <v>0</v>
      </c>
      <c r="I49" s="263">
        <f>DG49+'User Input - Correlations'!I49</f>
        <v>0</v>
      </c>
      <c r="J49" s="263">
        <f>DH49+'User Input - Correlations'!J49</f>
        <v>0</v>
      </c>
      <c r="K49" s="263">
        <f>DI49+'User Input - Correlations'!K49</f>
        <v>0</v>
      </c>
      <c r="L49" s="263">
        <f>DJ49+'User Input - Correlations'!L49</f>
        <v>0</v>
      </c>
      <c r="M49" s="263">
        <f>DK49+'User Input - Correlations'!M49</f>
        <v>0</v>
      </c>
      <c r="N49" s="263">
        <f>DL49+'User Input - Correlations'!N49</f>
        <v>0</v>
      </c>
      <c r="O49" s="263">
        <f>DM49+'User Input - Correlations'!O49</f>
        <v>0</v>
      </c>
      <c r="P49" s="263">
        <f>DN49+'User Input - Correlations'!P49</f>
        <v>0</v>
      </c>
      <c r="Q49" s="263">
        <f>DO49+'User Input - Correlations'!Q49</f>
        <v>0</v>
      </c>
      <c r="R49" s="263">
        <f>DP49+'User Input - Correlations'!R49</f>
        <v>0</v>
      </c>
      <c r="S49" s="263">
        <f>DQ49+'User Input - Correlations'!S49</f>
        <v>0</v>
      </c>
      <c r="T49" s="263">
        <f>DR49+'User Input - Correlations'!T49</f>
        <v>0</v>
      </c>
      <c r="U49" s="263">
        <f>DS49+'User Input - Correlations'!U49</f>
        <v>0</v>
      </c>
      <c r="V49" s="263">
        <f>DT49+'User Input - Correlations'!V49</f>
        <v>0</v>
      </c>
      <c r="W49" s="263">
        <f>DU49+'User Input - Correlations'!W49</f>
        <v>0</v>
      </c>
      <c r="X49" s="263">
        <f>DV49+'User Input - Correlations'!X49</f>
        <v>0</v>
      </c>
      <c r="Y49" s="263">
        <f>DW49+'User Input - Correlations'!Y49</f>
        <v>0</v>
      </c>
      <c r="Z49" s="263">
        <f>DX49+'User Input - Correlations'!Z49</f>
        <v>0</v>
      </c>
      <c r="AA49" s="263">
        <f>DY49+'User Input - Correlations'!AA49</f>
        <v>0</v>
      </c>
      <c r="AB49" s="263">
        <f>DZ49+'User Input - Correlations'!AB49</f>
        <v>0</v>
      </c>
      <c r="AC49" s="263">
        <f>EA49+'User Input - Correlations'!AC49</f>
        <v>0</v>
      </c>
      <c r="AD49" s="263">
        <f>EB49+'User Input - Correlations'!AD49</f>
        <v>0</v>
      </c>
      <c r="AE49" s="263">
        <f>EC49+'User Input - Correlations'!AE49</f>
        <v>0</v>
      </c>
      <c r="AF49" s="263">
        <f>ED49+'User Input - Correlations'!AF49</f>
        <v>0</v>
      </c>
      <c r="AG49" s="263">
        <f>EE49+'User Input - Correlations'!AG49</f>
        <v>0</v>
      </c>
      <c r="AH49" s="263">
        <f>EF49+'User Input - Correlations'!AH49</f>
        <v>0</v>
      </c>
      <c r="AI49" s="263">
        <f>EG49+'User Input - Correlations'!AI49</f>
        <v>0</v>
      </c>
      <c r="AJ49" s="263">
        <f>EH49+'User Input - Correlations'!AJ49</f>
        <v>0</v>
      </c>
      <c r="AK49" s="263">
        <f>EI49+'User Input - Correlations'!AK49</f>
        <v>0</v>
      </c>
      <c r="AL49" s="263">
        <f>EJ49+'User Input - Correlations'!AL49</f>
        <v>0</v>
      </c>
      <c r="AM49" s="263">
        <f>EK49+'User Input - Correlations'!AM49</f>
        <v>0</v>
      </c>
      <c r="AN49" s="263">
        <f>EL49+'User Input - Correlations'!AN49</f>
        <v>0</v>
      </c>
      <c r="AO49" s="263">
        <v>1</v>
      </c>
      <c r="AP49" s="263">
        <f>EN49+'User Input - Correlations'!AP49</f>
        <v>0</v>
      </c>
      <c r="AQ49" s="263">
        <f>EO49+'User Input - Correlations'!AQ49</f>
        <v>0</v>
      </c>
      <c r="AR49" s="263">
        <f>EP49+'User Input - Correlations'!AR49</f>
        <v>0</v>
      </c>
      <c r="AS49" s="263">
        <f>EQ49+'User Input - Correlations'!AS49</f>
        <v>0</v>
      </c>
      <c r="AT49" s="263">
        <f>ER49+'User Input - Correlations'!AT49</f>
        <v>0</v>
      </c>
      <c r="AU49" s="263">
        <f>ES49+'User Input - Correlations'!AU49</f>
        <v>0</v>
      </c>
      <c r="AV49" s="263">
        <f>ET49+'User Input - Correlations'!AV49</f>
        <v>0</v>
      </c>
      <c r="AW49" s="263">
        <f>EU49+'User Input - Correlations'!AW49</f>
        <v>0</v>
      </c>
      <c r="AX49" s="263">
        <f>EV49+'User Input - Correlations'!AX49</f>
        <v>0</v>
      </c>
      <c r="AY49" s="263">
        <f>EW49+'User Input - Correlations'!AY49</f>
        <v>0</v>
      </c>
      <c r="AZ49" s="263">
        <f>EX49+'User Input - Correlations'!AZ49</f>
        <v>0</v>
      </c>
      <c r="BA49" s="263">
        <f>EY49+'User Input - Correlations'!BA49</f>
        <v>0</v>
      </c>
      <c r="BB49" s="263">
        <f>EZ49+'User Input - Correlations'!BB49</f>
        <v>0</v>
      </c>
      <c r="BC49" s="263">
        <f>FA49+'User Input - Correlations'!BC49</f>
        <v>0</v>
      </c>
      <c r="BD49" s="263">
        <f>FB49+'User Input - Correlations'!BD49</f>
        <v>0</v>
      </c>
      <c r="BE49" s="263">
        <f>FC49+'User Input - Correlations'!BE49</f>
        <v>0</v>
      </c>
      <c r="BF49" s="263">
        <f>FD49+'User Input - Correlations'!BF49</f>
        <v>0</v>
      </c>
      <c r="BG49" s="263">
        <f>FE49+'User Input - Correlations'!BG49</f>
        <v>0</v>
      </c>
      <c r="BH49" s="263">
        <f>FF49+'User Input - Correlations'!BH49</f>
        <v>0</v>
      </c>
      <c r="BI49" s="263">
        <f>FG49+'User Input - Correlations'!BI49</f>
        <v>0</v>
      </c>
      <c r="BJ49" s="263">
        <f>FH49+'User Input - Correlations'!BJ49</f>
        <v>0</v>
      </c>
      <c r="BK49" s="263">
        <f>FI49+'User Input - Correlations'!BK49</f>
        <v>0</v>
      </c>
      <c r="BL49" s="263">
        <f>FJ49+'User Input - Correlations'!BL49</f>
        <v>0</v>
      </c>
      <c r="BM49" s="263">
        <f>FK49+'User Input - Correlations'!BM49</f>
        <v>0</v>
      </c>
      <c r="BN49" s="263">
        <f>FL49+'User Input - Correlations'!BN49</f>
        <v>0</v>
      </c>
      <c r="BO49" s="263">
        <f>FM49+'User Input - Correlations'!BO49</f>
        <v>0</v>
      </c>
      <c r="BP49" s="263">
        <f>FN49+'User Input - Correlations'!BP49</f>
        <v>0</v>
      </c>
      <c r="BQ49" s="263">
        <f>FO49+'User Input - Correlations'!BQ49</f>
        <v>0</v>
      </c>
      <c r="BR49" s="263">
        <f>FP49+'User Input - Correlations'!BR49</f>
        <v>0</v>
      </c>
      <c r="BS49" s="263">
        <f>FQ49+'User Input - Correlations'!BS49</f>
        <v>0</v>
      </c>
      <c r="BT49" s="263">
        <f>FR49+'User Input - Correlations'!BT49</f>
        <v>0</v>
      </c>
      <c r="BU49" s="263">
        <f>FS49+'User Input - Correlations'!BU49</f>
        <v>0</v>
      </c>
      <c r="BV49" s="263">
        <f>FT49+'User Input - Correlations'!BV49</f>
        <v>0</v>
      </c>
      <c r="BW49" s="263">
        <f>FU49+'User Input - Correlations'!BW49</f>
        <v>0</v>
      </c>
      <c r="BX49" s="263">
        <f>FV49+'User Input - Correlations'!BX49</f>
        <v>0</v>
      </c>
      <c r="BY49" s="263">
        <f>FW49+'User Input - Correlations'!BY49</f>
        <v>0</v>
      </c>
      <c r="BZ49" s="263">
        <f>FX49+'User Input - Correlations'!BZ49</f>
        <v>0</v>
      </c>
      <c r="CA49" s="263">
        <f>FY49+'User Input - Correlations'!CA49</f>
        <v>0</v>
      </c>
      <c r="CB49" s="263">
        <f>FZ49+'User Input - Correlations'!CB49</f>
        <v>0</v>
      </c>
      <c r="CC49" s="263">
        <f>GA49+'User Input - Correlations'!CC49</f>
        <v>0</v>
      </c>
      <c r="CD49" s="263">
        <f>GB49+'User Input - Correlations'!CD49</f>
        <v>0</v>
      </c>
      <c r="CE49" s="263">
        <f>GC49+'User Input - Correlations'!CE49</f>
        <v>0</v>
      </c>
      <c r="CF49" s="263">
        <f>GD49+'User Input - Correlations'!CF49</f>
        <v>0</v>
      </c>
      <c r="CG49" s="263">
        <f>GE49+'User Input - Correlations'!CG49</f>
        <v>0</v>
      </c>
      <c r="CH49" s="263">
        <f>GF49+'User Input - Correlations'!CH49</f>
        <v>0</v>
      </c>
      <c r="CI49" s="263">
        <f>GG49+'User Input - Correlations'!CI49</f>
        <v>0</v>
      </c>
      <c r="CJ49" s="263">
        <f>GH49+'User Input - Correlations'!CJ49</f>
        <v>0</v>
      </c>
      <c r="CK49" s="263">
        <f>GI49+'User Input - Correlations'!CK49</f>
        <v>0</v>
      </c>
      <c r="CL49" s="263">
        <f>GJ49+'User Input - Correlations'!CL49</f>
        <v>0</v>
      </c>
      <c r="CM49" s="263">
        <f>GK49+'User Input - Correlations'!CM49</f>
        <v>0</v>
      </c>
      <c r="CN49" s="263">
        <f>GL49+'User Input - Correlations'!CN49</f>
        <v>0</v>
      </c>
      <c r="CO49" s="263">
        <f>GM49+'User Input - Correlations'!CO49</f>
        <v>0</v>
      </c>
      <c r="CP49" s="264">
        <f>GN49+'User Input - Correlations'!CP49</f>
        <v>0</v>
      </c>
      <c r="CQ49" s="281">
        <f ca="1">MDETERM(OFFSET($C$11,0,0,ROWS($CQ$11:$CQ49),ROWS($CQ$11:$CQ49)))</f>
        <v>1</v>
      </c>
      <c r="DA49" s="263">
        <v>0</v>
      </c>
      <c r="DB49" s="263">
        <v>0</v>
      </c>
      <c r="DC49" s="263">
        <v>0</v>
      </c>
      <c r="DD49" s="263">
        <v>0</v>
      </c>
      <c r="DE49" s="263">
        <v>0</v>
      </c>
      <c r="DF49" s="263">
        <v>0</v>
      </c>
      <c r="DG49" s="263">
        <v>0</v>
      </c>
      <c r="DH49" s="263">
        <v>0</v>
      </c>
      <c r="DI49" s="263">
        <v>0</v>
      </c>
      <c r="DJ49" s="263">
        <v>0</v>
      </c>
      <c r="DK49" s="263">
        <v>0</v>
      </c>
      <c r="DL49" s="263">
        <v>0</v>
      </c>
      <c r="DM49" s="263">
        <v>0</v>
      </c>
      <c r="DN49" s="263">
        <v>0</v>
      </c>
      <c r="DO49" s="263">
        <v>0</v>
      </c>
      <c r="DP49" s="263">
        <v>0</v>
      </c>
      <c r="DQ49" s="263">
        <v>0</v>
      </c>
      <c r="DR49" s="263">
        <v>0</v>
      </c>
      <c r="DS49" s="263">
        <v>0</v>
      </c>
      <c r="DT49" s="263">
        <v>0</v>
      </c>
      <c r="DU49" s="263">
        <v>0</v>
      </c>
      <c r="DV49" s="263">
        <v>0</v>
      </c>
      <c r="DW49" s="263">
        <v>0</v>
      </c>
      <c r="DX49" s="263">
        <v>0</v>
      </c>
      <c r="DY49" s="263">
        <v>0</v>
      </c>
      <c r="DZ49" s="263">
        <v>0</v>
      </c>
      <c r="EA49" s="263">
        <v>0</v>
      </c>
      <c r="EB49" s="263">
        <v>0</v>
      </c>
      <c r="EC49" s="263">
        <v>0</v>
      </c>
      <c r="ED49" s="263">
        <v>0</v>
      </c>
      <c r="EE49" s="263">
        <v>0</v>
      </c>
      <c r="EF49" s="263">
        <v>0</v>
      </c>
      <c r="EG49" s="263">
        <v>0</v>
      </c>
      <c r="EH49" s="263">
        <v>0</v>
      </c>
      <c r="EI49" s="263">
        <v>0</v>
      </c>
      <c r="EJ49" s="263">
        <v>0</v>
      </c>
      <c r="EK49" s="263">
        <v>0</v>
      </c>
      <c r="EL49" s="263">
        <v>0</v>
      </c>
      <c r="EM49" s="263">
        <v>1</v>
      </c>
      <c r="EN49" s="263">
        <v>0</v>
      </c>
      <c r="EO49" s="263">
        <v>0</v>
      </c>
      <c r="EP49" s="263">
        <v>0</v>
      </c>
      <c r="EQ49" s="263">
        <v>0</v>
      </c>
      <c r="ER49" s="263">
        <v>0</v>
      </c>
      <c r="ES49" s="263">
        <v>0</v>
      </c>
      <c r="ET49" s="263">
        <v>0</v>
      </c>
      <c r="EU49" s="263">
        <v>0</v>
      </c>
      <c r="EV49" s="263">
        <v>0</v>
      </c>
      <c r="EW49" s="263">
        <v>0</v>
      </c>
      <c r="EX49" s="263">
        <v>0</v>
      </c>
      <c r="EY49" s="263">
        <v>0</v>
      </c>
      <c r="EZ49" s="263">
        <v>0</v>
      </c>
      <c r="FA49" s="263">
        <v>0</v>
      </c>
      <c r="FB49" s="263">
        <v>0</v>
      </c>
      <c r="FC49" s="263">
        <v>0</v>
      </c>
      <c r="FD49" s="263">
        <v>0</v>
      </c>
      <c r="FE49" s="263">
        <v>0</v>
      </c>
      <c r="FF49" s="263">
        <v>0</v>
      </c>
      <c r="FG49" s="263">
        <v>0</v>
      </c>
      <c r="FH49" s="263">
        <v>0</v>
      </c>
      <c r="FI49" s="263">
        <v>0</v>
      </c>
      <c r="FJ49" s="263">
        <v>0</v>
      </c>
      <c r="FK49" s="263">
        <v>0</v>
      </c>
      <c r="FL49" s="263">
        <v>0</v>
      </c>
      <c r="FM49" s="263">
        <v>0</v>
      </c>
      <c r="FN49" s="263">
        <v>0</v>
      </c>
      <c r="FO49" s="263">
        <v>0</v>
      </c>
      <c r="FP49" s="263">
        <v>0</v>
      </c>
      <c r="FQ49" s="263">
        <v>0</v>
      </c>
      <c r="FR49" s="263">
        <v>0</v>
      </c>
      <c r="FS49" s="263">
        <v>0</v>
      </c>
      <c r="FT49" s="263">
        <v>0</v>
      </c>
      <c r="FU49" s="263">
        <v>0</v>
      </c>
      <c r="FV49" s="263">
        <v>0</v>
      </c>
      <c r="FW49" s="263">
        <v>0</v>
      </c>
      <c r="FX49" s="263">
        <v>0</v>
      </c>
      <c r="FY49" s="263">
        <v>0</v>
      </c>
      <c r="FZ49" s="263">
        <v>0</v>
      </c>
      <c r="GA49" s="263">
        <v>0</v>
      </c>
      <c r="GB49" s="263">
        <v>0</v>
      </c>
      <c r="GC49" s="263">
        <v>0</v>
      </c>
      <c r="GD49" s="263">
        <v>0</v>
      </c>
      <c r="GE49" s="263">
        <v>0</v>
      </c>
      <c r="GF49" s="263">
        <v>0</v>
      </c>
      <c r="GG49" s="263">
        <v>0</v>
      </c>
      <c r="GH49" s="263">
        <v>0</v>
      </c>
      <c r="GI49" s="263">
        <v>0</v>
      </c>
      <c r="GJ49" s="263">
        <v>0</v>
      </c>
      <c r="GK49" s="263">
        <v>0</v>
      </c>
      <c r="GL49" s="263">
        <v>0</v>
      </c>
      <c r="GM49" s="263">
        <v>0</v>
      </c>
      <c r="GN49" s="263">
        <v>0</v>
      </c>
    </row>
    <row r="50" ht="12.75" customHeight="1">
      <c r="A50" s="285" t="s">
        <v>193</v>
      </c>
      <c r="B50" s="285" t="s">
        <v>185</v>
      </c>
      <c r="C50" s="263">
        <f>DA50+'User Input - Correlations'!C50</f>
        <v>0</v>
      </c>
      <c r="D50" s="263">
        <f>DB50+'User Input - Correlations'!D50</f>
        <v>0</v>
      </c>
      <c r="E50" s="263">
        <f>DC50+'User Input - Correlations'!E50</f>
        <v>0</v>
      </c>
      <c r="F50" s="263">
        <f>DD50+'User Input - Correlations'!F50</f>
        <v>0</v>
      </c>
      <c r="G50" s="263">
        <f>DE50+'User Input - Correlations'!G50</f>
        <v>0</v>
      </c>
      <c r="H50" s="263">
        <f>DF50+'User Input - Correlations'!H50</f>
        <v>0</v>
      </c>
      <c r="I50" s="263">
        <f>DG50+'User Input - Correlations'!I50</f>
        <v>0</v>
      </c>
      <c r="J50" s="263">
        <f>DH50+'User Input - Correlations'!J50</f>
        <v>0</v>
      </c>
      <c r="K50" s="263">
        <f>DI50+'User Input - Correlations'!K50</f>
        <v>0</v>
      </c>
      <c r="L50" s="263">
        <f>DJ50+'User Input - Correlations'!L50</f>
        <v>0</v>
      </c>
      <c r="M50" s="263">
        <f>DK50+'User Input - Correlations'!M50</f>
        <v>0</v>
      </c>
      <c r="N50" s="263">
        <f>DL50+'User Input - Correlations'!N50</f>
        <v>0</v>
      </c>
      <c r="O50" s="263">
        <f>DM50+'User Input - Correlations'!O50</f>
        <v>0</v>
      </c>
      <c r="P50" s="263">
        <f>DN50+'User Input - Correlations'!P50</f>
        <v>0</v>
      </c>
      <c r="Q50" s="263">
        <f>DO50+'User Input - Correlations'!Q50</f>
        <v>0</v>
      </c>
      <c r="R50" s="263">
        <f>DP50+'User Input - Correlations'!R50</f>
        <v>0</v>
      </c>
      <c r="S50" s="263">
        <f>DQ50+'User Input - Correlations'!S50</f>
        <v>0</v>
      </c>
      <c r="T50" s="263">
        <f>DR50+'User Input - Correlations'!T50</f>
        <v>0</v>
      </c>
      <c r="U50" s="263">
        <f>DS50+'User Input - Correlations'!U50</f>
        <v>0</v>
      </c>
      <c r="V50" s="263">
        <f>DT50+'User Input - Correlations'!V50</f>
        <v>0</v>
      </c>
      <c r="W50" s="263">
        <f>DU50+'User Input - Correlations'!W50</f>
        <v>0</v>
      </c>
      <c r="X50" s="263">
        <f>DV50+'User Input - Correlations'!X50</f>
        <v>0</v>
      </c>
      <c r="Y50" s="263">
        <f>DW50+'User Input - Correlations'!Y50</f>
        <v>0</v>
      </c>
      <c r="Z50" s="263">
        <f>DX50+'User Input - Correlations'!Z50</f>
        <v>0</v>
      </c>
      <c r="AA50" s="263">
        <f>DY50+'User Input - Correlations'!AA50</f>
        <v>0</v>
      </c>
      <c r="AB50" s="263">
        <f>DZ50+'User Input - Correlations'!AB50</f>
        <v>0</v>
      </c>
      <c r="AC50" s="263">
        <f>EA50+'User Input - Correlations'!AC50</f>
        <v>0</v>
      </c>
      <c r="AD50" s="263">
        <f>EB50+'User Input - Correlations'!AD50</f>
        <v>0</v>
      </c>
      <c r="AE50" s="263">
        <f>EC50+'User Input - Correlations'!AE50</f>
        <v>0</v>
      </c>
      <c r="AF50" s="263">
        <f>ED50+'User Input - Correlations'!AF50</f>
        <v>0</v>
      </c>
      <c r="AG50" s="263">
        <f>EE50+'User Input - Correlations'!AG50</f>
        <v>0</v>
      </c>
      <c r="AH50" s="263">
        <f>EF50+'User Input - Correlations'!AH50</f>
        <v>0</v>
      </c>
      <c r="AI50" s="263">
        <f>EG50+'User Input - Correlations'!AI50</f>
        <v>0</v>
      </c>
      <c r="AJ50" s="263">
        <f>EH50+'User Input - Correlations'!AJ50</f>
        <v>0</v>
      </c>
      <c r="AK50" s="263">
        <f>EI50+'User Input - Correlations'!AK50</f>
        <v>0</v>
      </c>
      <c r="AL50" s="263">
        <f>EJ50+'User Input - Correlations'!AL50</f>
        <v>0</v>
      </c>
      <c r="AM50" s="263">
        <f>EK50+'User Input - Correlations'!AM50</f>
        <v>0</v>
      </c>
      <c r="AN50" s="263">
        <f>EL50+'User Input - Correlations'!AN50</f>
        <v>0</v>
      </c>
      <c r="AO50" s="263">
        <f>EM50+'User Input - Correlations'!AO50</f>
        <v>0</v>
      </c>
      <c r="AP50" s="263">
        <v>1</v>
      </c>
      <c r="AQ50" s="263">
        <f>EO50+'User Input - Correlations'!AQ50</f>
        <v>0</v>
      </c>
      <c r="AR50" s="263">
        <f>EP50+'User Input - Correlations'!AR50</f>
        <v>0</v>
      </c>
      <c r="AS50" s="263">
        <f>EQ50+'User Input - Correlations'!AS50</f>
        <v>0</v>
      </c>
      <c r="AT50" s="263">
        <f>ER50+'User Input - Correlations'!AT50</f>
        <v>0</v>
      </c>
      <c r="AU50" s="263">
        <f>ES50+'User Input - Correlations'!AU50</f>
        <v>0</v>
      </c>
      <c r="AV50" s="263">
        <f>ET50+'User Input - Correlations'!AV50</f>
        <v>0</v>
      </c>
      <c r="AW50" s="263">
        <f>EU50+'User Input - Correlations'!AW50</f>
        <v>0</v>
      </c>
      <c r="AX50" s="263">
        <f>EV50+'User Input - Correlations'!AX50</f>
        <v>0</v>
      </c>
      <c r="AY50" s="263">
        <f>EW50+'User Input - Correlations'!AY50</f>
        <v>0</v>
      </c>
      <c r="AZ50" s="263">
        <f>EX50+'User Input - Correlations'!AZ50</f>
        <v>0</v>
      </c>
      <c r="BA50" s="263">
        <f>EY50+'User Input - Correlations'!BA50</f>
        <v>0</v>
      </c>
      <c r="BB50" s="263">
        <f>EZ50+'User Input - Correlations'!BB50</f>
        <v>0</v>
      </c>
      <c r="BC50" s="263">
        <f>FA50+'User Input - Correlations'!BC50</f>
        <v>0</v>
      </c>
      <c r="BD50" s="263">
        <f>FB50+'User Input - Correlations'!BD50</f>
        <v>0</v>
      </c>
      <c r="BE50" s="263">
        <f>FC50+'User Input - Correlations'!BE50</f>
        <v>0</v>
      </c>
      <c r="BF50" s="263">
        <f>FD50+'User Input - Correlations'!BF50</f>
        <v>0</v>
      </c>
      <c r="BG50" s="263">
        <f>FE50+'User Input - Correlations'!BG50</f>
        <v>0</v>
      </c>
      <c r="BH50" s="263">
        <f>FF50+'User Input - Correlations'!BH50</f>
        <v>0</v>
      </c>
      <c r="BI50" s="263">
        <f>FG50+'User Input - Correlations'!BI50</f>
        <v>0</v>
      </c>
      <c r="BJ50" s="263">
        <f>FH50+'User Input - Correlations'!BJ50</f>
        <v>0</v>
      </c>
      <c r="BK50" s="263">
        <f>FI50+'User Input - Correlations'!BK50</f>
        <v>0</v>
      </c>
      <c r="BL50" s="263">
        <f>FJ50+'User Input - Correlations'!BL50</f>
        <v>0</v>
      </c>
      <c r="BM50" s="263">
        <f>FK50+'User Input - Correlations'!BM50</f>
        <v>0</v>
      </c>
      <c r="BN50" s="263">
        <f>FL50+'User Input - Correlations'!BN50</f>
        <v>0</v>
      </c>
      <c r="BO50" s="263">
        <f>FM50+'User Input - Correlations'!BO50</f>
        <v>0</v>
      </c>
      <c r="BP50" s="263">
        <f>FN50+'User Input - Correlations'!BP50</f>
        <v>0</v>
      </c>
      <c r="BQ50" s="263">
        <f>FO50+'User Input - Correlations'!BQ50</f>
        <v>0</v>
      </c>
      <c r="BR50" s="263">
        <f>FP50+'User Input - Correlations'!BR50</f>
        <v>0</v>
      </c>
      <c r="BS50" s="263">
        <f>FQ50+'User Input - Correlations'!BS50</f>
        <v>0</v>
      </c>
      <c r="BT50" s="263">
        <f>FR50+'User Input - Correlations'!BT50</f>
        <v>0</v>
      </c>
      <c r="BU50" s="263">
        <f>FS50+'User Input - Correlations'!BU50</f>
        <v>0</v>
      </c>
      <c r="BV50" s="263">
        <f>FT50+'User Input - Correlations'!BV50</f>
        <v>0</v>
      </c>
      <c r="BW50" s="263">
        <f>FU50+'User Input - Correlations'!BW50</f>
        <v>0</v>
      </c>
      <c r="BX50" s="263">
        <f>FV50+'User Input - Correlations'!BX50</f>
        <v>0</v>
      </c>
      <c r="BY50" s="263">
        <f>FW50+'User Input - Correlations'!BY50</f>
        <v>0</v>
      </c>
      <c r="BZ50" s="263">
        <f>FX50+'User Input - Correlations'!BZ50</f>
        <v>0</v>
      </c>
      <c r="CA50" s="263">
        <f>FY50+'User Input - Correlations'!CA50</f>
        <v>0</v>
      </c>
      <c r="CB50" s="263">
        <f>FZ50+'User Input - Correlations'!CB50</f>
        <v>0</v>
      </c>
      <c r="CC50" s="263">
        <f>GA50+'User Input - Correlations'!CC50</f>
        <v>0</v>
      </c>
      <c r="CD50" s="263">
        <f>GB50+'User Input - Correlations'!CD50</f>
        <v>0</v>
      </c>
      <c r="CE50" s="263">
        <f>GC50+'User Input - Correlations'!CE50</f>
        <v>0</v>
      </c>
      <c r="CF50" s="263">
        <f>GD50+'User Input - Correlations'!CF50</f>
        <v>0</v>
      </c>
      <c r="CG50" s="263">
        <f>GE50+'User Input - Correlations'!CG50</f>
        <v>0</v>
      </c>
      <c r="CH50" s="263">
        <f>GF50+'User Input - Correlations'!CH50</f>
        <v>0</v>
      </c>
      <c r="CI50" s="263">
        <f>GG50+'User Input - Correlations'!CI50</f>
        <v>0</v>
      </c>
      <c r="CJ50" s="263">
        <f>GH50+'User Input - Correlations'!CJ50</f>
        <v>0</v>
      </c>
      <c r="CK50" s="263">
        <f>GI50+'User Input - Correlations'!CK50</f>
        <v>0</v>
      </c>
      <c r="CL50" s="263">
        <f>GJ50+'User Input - Correlations'!CL50</f>
        <v>0</v>
      </c>
      <c r="CM50" s="263">
        <f>GK50+'User Input - Correlations'!CM50</f>
        <v>0</v>
      </c>
      <c r="CN50" s="263">
        <f>GL50+'User Input - Correlations'!CN50</f>
        <v>0</v>
      </c>
      <c r="CO50" s="263">
        <f>GM50+'User Input - Correlations'!CO50</f>
        <v>0</v>
      </c>
      <c r="CP50" s="264">
        <f>GN50+'User Input - Correlations'!CP50</f>
        <v>0</v>
      </c>
      <c r="CQ50" s="281">
        <f ca="1">MDETERM(OFFSET($C$11,0,0,ROWS($CQ$11:$CQ50),ROWS($CQ$11:$CQ50)))</f>
        <v>1</v>
      </c>
      <c r="DA50" s="263">
        <v>0</v>
      </c>
      <c r="DB50" s="263">
        <v>0</v>
      </c>
      <c r="DC50" s="263">
        <v>0</v>
      </c>
      <c r="DD50" s="263">
        <v>0</v>
      </c>
      <c r="DE50" s="263">
        <v>0</v>
      </c>
      <c r="DF50" s="263">
        <v>0</v>
      </c>
      <c r="DG50" s="263">
        <v>0</v>
      </c>
      <c r="DH50" s="263">
        <v>0</v>
      </c>
      <c r="DI50" s="263">
        <v>0</v>
      </c>
      <c r="DJ50" s="263">
        <v>0</v>
      </c>
      <c r="DK50" s="263">
        <v>0</v>
      </c>
      <c r="DL50" s="263">
        <v>0</v>
      </c>
      <c r="DM50" s="263">
        <v>0</v>
      </c>
      <c r="DN50" s="263">
        <v>0</v>
      </c>
      <c r="DO50" s="263">
        <v>0</v>
      </c>
      <c r="DP50" s="263">
        <v>0</v>
      </c>
      <c r="DQ50" s="263">
        <v>0</v>
      </c>
      <c r="DR50" s="263">
        <v>0</v>
      </c>
      <c r="DS50" s="263">
        <v>0</v>
      </c>
      <c r="DT50" s="263">
        <v>0</v>
      </c>
      <c r="DU50" s="263">
        <v>0</v>
      </c>
      <c r="DV50" s="263">
        <v>0</v>
      </c>
      <c r="DW50" s="263">
        <v>0</v>
      </c>
      <c r="DX50" s="263">
        <v>0</v>
      </c>
      <c r="DY50" s="263">
        <v>0</v>
      </c>
      <c r="DZ50" s="263">
        <v>0</v>
      </c>
      <c r="EA50" s="263">
        <v>0</v>
      </c>
      <c r="EB50" s="263">
        <v>0</v>
      </c>
      <c r="EC50" s="263">
        <v>0</v>
      </c>
      <c r="ED50" s="263">
        <v>0</v>
      </c>
      <c r="EE50" s="263">
        <v>0</v>
      </c>
      <c r="EF50" s="263">
        <v>0</v>
      </c>
      <c r="EG50" s="263">
        <v>0</v>
      </c>
      <c r="EH50" s="263">
        <v>0</v>
      </c>
      <c r="EI50" s="263">
        <v>0</v>
      </c>
      <c r="EJ50" s="263">
        <v>0</v>
      </c>
      <c r="EK50" s="263">
        <v>0</v>
      </c>
      <c r="EL50" s="263">
        <v>0</v>
      </c>
      <c r="EM50" s="263">
        <v>0</v>
      </c>
      <c r="EN50" s="263">
        <v>1</v>
      </c>
      <c r="EO50" s="263">
        <v>0</v>
      </c>
      <c r="EP50" s="263">
        <v>0</v>
      </c>
      <c r="EQ50" s="263">
        <v>0</v>
      </c>
      <c r="ER50" s="263">
        <v>0</v>
      </c>
      <c r="ES50" s="263">
        <v>0</v>
      </c>
      <c r="ET50" s="263">
        <v>0</v>
      </c>
      <c r="EU50" s="263">
        <v>0</v>
      </c>
      <c r="EV50" s="263">
        <v>0</v>
      </c>
      <c r="EW50" s="263">
        <v>0</v>
      </c>
      <c r="EX50" s="263">
        <v>0</v>
      </c>
      <c r="EY50" s="263">
        <v>0</v>
      </c>
      <c r="EZ50" s="263">
        <v>0</v>
      </c>
      <c r="FA50" s="263">
        <v>0</v>
      </c>
      <c r="FB50" s="263">
        <v>0</v>
      </c>
      <c r="FC50" s="263">
        <v>0</v>
      </c>
      <c r="FD50" s="263">
        <v>0</v>
      </c>
      <c r="FE50" s="263">
        <v>0</v>
      </c>
      <c r="FF50" s="263">
        <v>0</v>
      </c>
      <c r="FG50" s="263">
        <v>0</v>
      </c>
      <c r="FH50" s="263">
        <v>0</v>
      </c>
      <c r="FI50" s="263">
        <v>0</v>
      </c>
      <c r="FJ50" s="263">
        <v>0</v>
      </c>
      <c r="FK50" s="263">
        <v>0</v>
      </c>
      <c r="FL50" s="263">
        <v>0</v>
      </c>
      <c r="FM50" s="263">
        <v>0</v>
      </c>
      <c r="FN50" s="263">
        <v>0</v>
      </c>
      <c r="FO50" s="263">
        <v>0</v>
      </c>
      <c r="FP50" s="263">
        <v>0</v>
      </c>
      <c r="FQ50" s="263">
        <v>0</v>
      </c>
      <c r="FR50" s="263">
        <v>0</v>
      </c>
      <c r="FS50" s="263">
        <v>0</v>
      </c>
      <c r="FT50" s="263">
        <v>0</v>
      </c>
      <c r="FU50" s="263">
        <v>0</v>
      </c>
      <c r="FV50" s="263">
        <v>0</v>
      </c>
      <c r="FW50" s="263">
        <v>0</v>
      </c>
      <c r="FX50" s="263">
        <v>0</v>
      </c>
      <c r="FY50" s="263">
        <v>0</v>
      </c>
      <c r="FZ50" s="263">
        <v>0</v>
      </c>
      <c r="GA50" s="263">
        <v>0</v>
      </c>
      <c r="GB50" s="263">
        <v>0</v>
      </c>
      <c r="GC50" s="263">
        <v>0</v>
      </c>
      <c r="GD50" s="263">
        <v>0</v>
      </c>
      <c r="GE50" s="263">
        <v>0</v>
      </c>
      <c r="GF50" s="263">
        <v>0</v>
      </c>
      <c r="GG50" s="263">
        <v>0</v>
      </c>
      <c r="GH50" s="263">
        <v>0</v>
      </c>
      <c r="GI50" s="263">
        <v>0</v>
      </c>
      <c r="GJ50" s="263">
        <v>0</v>
      </c>
      <c r="GK50" s="263">
        <v>0</v>
      </c>
      <c r="GL50" s="263">
        <v>0</v>
      </c>
      <c r="GM50" s="263">
        <v>0</v>
      </c>
      <c r="GN50" s="263">
        <v>0</v>
      </c>
    </row>
    <row r="51" ht="12.75" customHeight="1">
      <c r="A51" s="285" t="s">
        <v>194</v>
      </c>
      <c r="B51" s="285" t="s">
        <v>185</v>
      </c>
      <c r="C51" s="263">
        <f>DA51+'User Input - Correlations'!C51</f>
        <v>0</v>
      </c>
      <c r="D51" s="263">
        <f>DB51+'User Input - Correlations'!D51</f>
        <v>0</v>
      </c>
      <c r="E51" s="263">
        <f>DC51+'User Input - Correlations'!E51</f>
        <v>0</v>
      </c>
      <c r="F51" s="263">
        <f>DD51+'User Input - Correlations'!F51</f>
        <v>0</v>
      </c>
      <c r="G51" s="263">
        <f>DE51+'User Input - Correlations'!G51</f>
        <v>0</v>
      </c>
      <c r="H51" s="263">
        <f>DF51+'User Input - Correlations'!H51</f>
        <v>0</v>
      </c>
      <c r="I51" s="263">
        <f>DG51+'User Input - Correlations'!I51</f>
        <v>0</v>
      </c>
      <c r="J51" s="263">
        <f>DH51+'User Input - Correlations'!J51</f>
        <v>0</v>
      </c>
      <c r="K51" s="263">
        <f>DI51+'User Input - Correlations'!K51</f>
        <v>0</v>
      </c>
      <c r="L51" s="263">
        <f>DJ51+'User Input - Correlations'!L51</f>
        <v>0</v>
      </c>
      <c r="M51" s="263">
        <f>DK51+'User Input - Correlations'!M51</f>
        <v>0</v>
      </c>
      <c r="N51" s="263">
        <f>DL51+'User Input - Correlations'!N51</f>
        <v>0</v>
      </c>
      <c r="O51" s="263">
        <f>DM51+'User Input - Correlations'!O51</f>
        <v>0</v>
      </c>
      <c r="P51" s="263">
        <f>DN51+'User Input - Correlations'!P51</f>
        <v>0</v>
      </c>
      <c r="Q51" s="263">
        <f>DO51+'User Input - Correlations'!Q51</f>
        <v>0</v>
      </c>
      <c r="R51" s="263">
        <f>DP51+'User Input - Correlations'!R51</f>
        <v>0</v>
      </c>
      <c r="S51" s="263">
        <f>DQ51+'User Input - Correlations'!S51</f>
        <v>0</v>
      </c>
      <c r="T51" s="263">
        <f>DR51+'User Input - Correlations'!T51</f>
        <v>0</v>
      </c>
      <c r="U51" s="263">
        <f>DS51+'User Input - Correlations'!U51</f>
        <v>0</v>
      </c>
      <c r="V51" s="263">
        <f>DT51+'User Input - Correlations'!V51</f>
        <v>0</v>
      </c>
      <c r="W51" s="263">
        <f>DU51+'User Input - Correlations'!W51</f>
        <v>0</v>
      </c>
      <c r="X51" s="263">
        <f>DV51+'User Input - Correlations'!X51</f>
        <v>0</v>
      </c>
      <c r="Y51" s="263">
        <f>DW51+'User Input - Correlations'!Y51</f>
        <v>0</v>
      </c>
      <c r="Z51" s="263">
        <f>DX51+'User Input - Correlations'!Z51</f>
        <v>0</v>
      </c>
      <c r="AA51" s="263">
        <f>DY51+'User Input - Correlations'!AA51</f>
        <v>0</v>
      </c>
      <c r="AB51" s="263">
        <f>DZ51+'User Input - Correlations'!AB51</f>
        <v>0</v>
      </c>
      <c r="AC51" s="263">
        <f>EA51+'User Input - Correlations'!AC51</f>
        <v>0</v>
      </c>
      <c r="AD51" s="263">
        <f>EB51+'User Input - Correlations'!AD51</f>
        <v>0</v>
      </c>
      <c r="AE51" s="263">
        <f>EC51+'User Input - Correlations'!AE51</f>
        <v>0</v>
      </c>
      <c r="AF51" s="263">
        <f>ED51+'User Input - Correlations'!AF51</f>
        <v>0</v>
      </c>
      <c r="AG51" s="263">
        <f>EE51+'User Input - Correlations'!AG51</f>
        <v>0</v>
      </c>
      <c r="AH51" s="263">
        <f>EF51+'User Input - Correlations'!AH51</f>
        <v>0</v>
      </c>
      <c r="AI51" s="263">
        <f>EG51+'User Input - Correlations'!AI51</f>
        <v>0</v>
      </c>
      <c r="AJ51" s="263">
        <f>EH51+'User Input - Correlations'!AJ51</f>
        <v>0</v>
      </c>
      <c r="AK51" s="263">
        <f>EI51+'User Input - Correlations'!AK51</f>
        <v>0</v>
      </c>
      <c r="AL51" s="263">
        <f>EJ51+'User Input - Correlations'!AL51</f>
        <v>0</v>
      </c>
      <c r="AM51" s="263">
        <f>EK51+'User Input - Correlations'!AM51</f>
        <v>0</v>
      </c>
      <c r="AN51" s="263">
        <f>EL51+'User Input - Correlations'!AN51</f>
        <v>0</v>
      </c>
      <c r="AO51" s="263">
        <f>EM51+'User Input - Correlations'!AO51</f>
        <v>0</v>
      </c>
      <c r="AP51" s="263">
        <f>EN51+'User Input - Correlations'!AP51</f>
        <v>0</v>
      </c>
      <c r="AQ51" s="263">
        <v>1</v>
      </c>
      <c r="AR51" s="263">
        <f>EP51+'User Input - Correlations'!AR51</f>
        <v>0</v>
      </c>
      <c r="AS51" s="263">
        <f>EQ51+'User Input - Correlations'!AS51</f>
        <v>0</v>
      </c>
      <c r="AT51" s="263">
        <f>ER51+'User Input - Correlations'!AT51</f>
        <v>0</v>
      </c>
      <c r="AU51" s="263">
        <f>ES51+'User Input - Correlations'!AU51</f>
        <v>0</v>
      </c>
      <c r="AV51" s="263">
        <f>ET51+'User Input - Correlations'!AV51</f>
        <v>0</v>
      </c>
      <c r="AW51" s="263">
        <f>EU51+'User Input - Correlations'!AW51</f>
        <v>0</v>
      </c>
      <c r="AX51" s="263">
        <f>EV51+'User Input - Correlations'!AX51</f>
        <v>0</v>
      </c>
      <c r="AY51" s="263">
        <f>EW51+'User Input - Correlations'!AY51</f>
        <v>0</v>
      </c>
      <c r="AZ51" s="263">
        <f>EX51+'User Input - Correlations'!AZ51</f>
        <v>0</v>
      </c>
      <c r="BA51" s="263">
        <f>EY51+'User Input - Correlations'!BA51</f>
        <v>0</v>
      </c>
      <c r="BB51" s="263">
        <f>EZ51+'User Input - Correlations'!BB51</f>
        <v>0</v>
      </c>
      <c r="BC51" s="263">
        <f>FA51+'User Input - Correlations'!BC51</f>
        <v>0</v>
      </c>
      <c r="BD51" s="263">
        <f>FB51+'User Input - Correlations'!BD51</f>
        <v>0</v>
      </c>
      <c r="BE51" s="263">
        <f>FC51+'User Input - Correlations'!BE51</f>
        <v>0</v>
      </c>
      <c r="BF51" s="263">
        <f>FD51+'User Input - Correlations'!BF51</f>
        <v>0</v>
      </c>
      <c r="BG51" s="263">
        <f>FE51+'User Input - Correlations'!BG51</f>
        <v>0</v>
      </c>
      <c r="BH51" s="263">
        <f>FF51+'User Input - Correlations'!BH51</f>
        <v>0</v>
      </c>
      <c r="BI51" s="263">
        <f>FG51+'User Input - Correlations'!BI51</f>
        <v>0</v>
      </c>
      <c r="BJ51" s="263">
        <f>FH51+'User Input - Correlations'!BJ51</f>
        <v>0</v>
      </c>
      <c r="BK51" s="263">
        <f>FI51+'User Input - Correlations'!BK51</f>
        <v>0</v>
      </c>
      <c r="BL51" s="263">
        <f>FJ51+'User Input - Correlations'!BL51</f>
        <v>0</v>
      </c>
      <c r="BM51" s="263">
        <f>FK51+'User Input - Correlations'!BM51</f>
        <v>0</v>
      </c>
      <c r="BN51" s="263">
        <f>FL51+'User Input - Correlations'!BN51</f>
        <v>0</v>
      </c>
      <c r="BO51" s="263">
        <f>FM51+'User Input - Correlations'!BO51</f>
        <v>0</v>
      </c>
      <c r="BP51" s="263">
        <f>FN51+'User Input - Correlations'!BP51</f>
        <v>0</v>
      </c>
      <c r="BQ51" s="263">
        <f>FO51+'User Input - Correlations'!BQ51</f>
        <v>0</v>
      </c>
      <c r="BR51" s="263">
        <f>FP51+'User Input - Correlations'!BR51</f>
        <v>0</v>
      </c>
      <c r="BS51" s="263">
        <f>FQ51+'User Input - Correlations'!BS51</f>
        <v>0</v>
      </c>
      <c r="BT51" s="263">
        <f>FR51+'User Input - Correlations'!BT51</f>
        <v>0</v>
      </c>
      <c r="BU51" s="263">
        <f>FS51+'User Input - Correlations'!BU51</f>
        <v>0</v>
      </c>
      <c r="BV51" s="263">
        <f>FT51+'User Input - Correlations'!BV51</f>
        <v>0</v>
      </c>
      <c r="BW51" s="263">
        <f>FU51+'User Input - Correlations'!BW51</f>
        <v>0</v>
      </c>
      <c r="BX51" s="263">
        <f>FV51+'User Input - Correlations'!BX51</f>
        <v>0</v>
      </c>
      <c r="BY51" s="263">
        <f>FW51+'User Input - Correlations'!BY51</f>
        <v>0</v>
      </c>
      <c r="BZ51" s="263">
        <f>FX51+'User Input - Correlations'!BZ51</f>
        <v>0</v>
      </c>
      <c r="CA51" s="263">
        <f>FY51+'User Input - Correlations'!CA51</f>
        <v>0</v>
      </c>
      <c r="CB51" s="263">
        <f>FZ51+'User Input - Correlations'!CB51</f>
        <v>0</v>
      </c>
      <c r="CC51" s="263">
        <f>GA51+'User Input - Correlations'!CC51</f>
        <v>0</v>
      </c>
      <c r="CD51" s="263">
        <f>GB51+'User Input - Correlations'!CD51</f>
        <v>0</v>
      </c>
      <c r="CE51" s="263">
        <f>GC51+'User Input - Correlations'!CE51</f>
        <v>0</v>
      </c>
      <c r="CF51" s="263">
        <f>GD51+'User Input - Correlations'!CF51</f>
        <v>0</v>
      </c>
      <c r="CG51" s="263">
        <f>GE51+'User Input - Correlations'!CG51</f>
        <v>0</v>
      </c>
      <c r="CH51" s="263">
        <f>GF51+'User Input - Correlations'!CH51</f>
        <v>0</v>
      </c>
      <c r="CI51" s="263">
        <f>GG51+'User Input - Correlations'!CI51</f>
        <v>0</v>
      </c>
      <c r="CJ51" s="263">
        <f>GH51+'User Input - Correlations'!CJ51</f>
        <v>0</v>
      </c>
      <c r="CK51" s="263">
        <f>GI51+'User Input - Correlations'!CK51</f>
        <v>0</v>
      </c>
      <c r="CL51" s="263">
        <f>GJ51+'User Input - Correlations'!CL51</f>
        <v>0</v>
      </c>
      <c r="CM51" s="263">
        <f>GK51+'User Input - Correlations'!CM51</f>
        <v>0</v>
      </c>
      <c r="CN51" s="263">
        <f>GL51+'User Input - Correlations'!CN51</f>
        <v>0</v>
      </c>
      <c r="CO51" s="263">
        <f>GM51+'User Input - Correlations'!CO51</f>
        <v>0</v>
      </c>
      <c r="CP51" s="264">
        <f>GN51+'User Input - Correlations'!CP51</f>
        <v>0</v>
      </c>
      <c r="CQ51" s="281">
        <f ca="1">MDETERM(OFFSET($C$11,0,0,ROWS($CQ$11:$CQ51),ROWS($CQ$11:$CQ51)))</f>
        <v>1</v>
      </c>
      <c r="DA51" s="263">
        <v>0</v>
      </c>
      <c r="DB51" s="263">
        <v>0</v>
      </c>
      <c r="DC51" s="263">
        <v>0</v>
      </c>
      <c r="DD51" s="263">
        <v>0</v>
      </c>
      <c r="DE51" s="263">
        <v>0</v>
      </c>
      <c r="DF51" s="263">
        <v>0</v>
      </c>
      <c r="DG51" s="263">
        <v>0</v>
      </c>
      <c r="DH51" s="263">
        <v>0</v>
      </c>
      <c r="DI51" s="263">
        <v>0</v>
      </c>
      <c r="DJ51" s="263">
        <v>0</v>
      </c>
      <c r="DK51" s="263">
        <v>0</v>
      </c>
      <c r="DL51" s="263">
        <v>0</v>
      </c>
      <c r="DM51" s="263">
        <v>0</v>
      </c>
      <c r="DN51" s="263">
        <v>0</v>
      </c>
      <c r="DO51" s="263">
        <v>0</v>
      </c>
      <c r="DP51" s="263">
        <v>0</v>
      </c>
      <c r="DQ51" s="263">
        <v>0</v>
      </c>
      <c r="DR51" s="263">
        <v>0</v>
      </c>
      <c r="DS51" s="263">
        <v>0</v>
      </c>
      <c r="DT51" s="263">
        <v>0</v>
      </c>
      <c r="DU51" s="263">
        <v>0</v>
      </c>
      <c r="DV51" s="263">
        <v>0</v>
      </c>
      <c r="DW51" s="263">
        <v>0</v>
      </c>
      <c r="DX51" s="263">
        <v>0</v>
      </c>
      <c r="DY51" s="263">
        <v>0</v>
      </c>
      <c r="DZ51" s="263">
        <v>0</v>
      </c>
      <c r="EA51" s="263">
        <v>0</v>
      </c>
      <c r="EB51" s="263">
        <v>0</v>
      </c>
      <c r="EC51" s="263">
        <v>0</v>
      </c>
      <c r="ED51" s="263">
        <v>0</v>
      </c>
      <c r="EE51" s="263">
        <v>0</v>
      </c>
      <c r="EF51" s="263">
        <v>0</v>
      </c>
      <c r="EG51" s="263">
        <v>0</v>
      </c>
      <c r="EH51" s="263">
        <v>0</v>
      </c>
      <c r="EI51" s="263">
        <v>0</v>
      </c>
      <c r="EJ51" s="263">
        <v>0</v>
      </c>
      <c r="EK51" s="263">
        <v>0</v>
      </c>
      <c r="EL51" s="263">
        <v>0</v>
      </c>
      <c r="EM51" s="263">
        <v>0</v>
      </c>
      <c r="EN51" s="263">
        <v>0</v>
      </c>
      <c r="EO51" s="263">
        <v>1</v>
      </c>
      <c r="EP51" s="263">
        <v>0</v>
      </c>
      <c r="EQ51" s="263">
        <v>0</v>
      </c>
      <c r="ER51" s="263">
        <v>0</v>
      </c>
      <c r="ES51" s="263">
        <v>0</v>
      </c>
      <c r="ET51" s="263">
        <v>0</v>
      </c>
      <c r="EU51" s="263">
        <v>0</v>
      </c>
      <c r="EV51" s="263">
        <v>0</v>
      </c>
      <c r="EW51" s="263">
        <v>0</v>
      </c>
      <c r="EX51" s="263">
        <v>0</v>
      </c>
      <c r="EY51" s="263">
        <v>0</v>
      </c>
      <c r="EZ51" s="263">
        <v>0</v>
      </c>
      <c r="FA51" s="263">
        <v>0</v>
      </c>
      <c r="FB51" s="263">
        <v>0</v>
      </c>
      <c r="FC51" s="263">
        <v>0</v>
      </c>
      <c r="FD51" s="263">
        <v>0</v>
      </c>
      <c r="FE51" s="263">
        <v>0</v>
      </c>
      <c r="FF51" s="263">
        <v>0</v>
      </c>
      <c r="FG51" s="263">
        <v>0</v>
      </c>
      <c r="FH51" s="263">
        <v>0</v>
      </c>
      <c r="FI51" s="263">
        <v>0</v>
      </c>
      <c r="FJ51" s="263">
        <v>0</v>
      </c>
      <c r="FK51" s="263">
        <v>0</v>
      </c>
      <c r="FL51" s="263">
        <v>0</v>
      </c>
      <c r="FM51" s="263">
        <v>0</v>
      </c>
      <c r="FN51" s="263">
        <v>0</v>
      </c>
      <c r="FO51" s="263">
        <v>0</v>
      </c>
      <c r="FP51" s="263">
        <v>0</v>
      </c>
      <c r="FQ51" s="263">
        <v>0</v>
      </c>
      <c r="FR51" s="263">
        <v>0</v>
      </c>
      <c r="FS51" s="263">
        <v>0</v>
      </c>
      <c r="FT51" s="263">
        <v>0</v>
      </c>
      <c r="FU51" s="263">
        <v>0</v>
      </c>
      <c r="FV51" s="263">
        <v>0</v>
      </c>
      <c r="FW51" s="263">
        <v>0</v>
      </c>
      <c r="FX51" s="263">
        <v>0</v>
      </c>
      <c r="FY51" s="263">
        <v>0</v>
      </c>
      <c r="FZ51" s="263">
        <v>0</v>
      </c>
      <c r="GA51" s="263">
        <v>0</v>
      </c>
      <c r="GB51" s="263">
        <v>0</v>
      </c>
      <c r="GC51" s="263">
        <v>0</v>
      </c>
      <c r="GD51" s="263">
        <v>0</v>
      </c>
      <c r="GE51" s="263">
        <v>0</v>
      </c>
      <c r="GF51" s="263">
        <v>0</v>
      </c>
      <c r="GG51" s="263">
        <v>0</v>
      </c>
      <c r="GH51" s="263">
        <v>0</v>
      </c>
      <c r="GI51" s="263">
        <v>0</v>
      </c>
      <c r="GJ51" s="263">
        <v>0</v>
      </c>
      <c r="GK51" s="263">
        <v>0</v>
      </c>
      <c r="GL51" s="263">
        <v>0</v>
      </c>
      <c r="GM51" s="263">
        <v>0</v>
      </c>
      <c r="GN51" s="263">
        <v>0</v>
      </c>
    </row>
    <row r="52" ht="12.75" customHeight="1">
      <c r="A52" s="285" t="s">
        <v>84</v>
      </c>
      <c r="B52" s="285" t="s">
        <v>185</v>
      </c>
      <c r="C52" s="263">
        <f>DA52+'User Input - Correlations'!C52</f>
        <v>0</v>
      </c>
      <c r="D52" s="263">
        <f>DB52+'User Input - Correlations'!D52</f>
        <v>0</v>
      </c>
      <c r="E52" s="263">
        <f>DC52+'User Input - Correlations'!E52</f>
        <v>0</v>
      </c>
      <c r="F52" s="263">
        <f>DD52+'User Input - Correlations'!F52</f>
        <v>0</v>
      </c>
      <c r="G52" s="263">
        <f>DE52+'User Input - Correlations'!G52</f>
        <v>0</v>
      </c>
      <c r="H52" s="263">
        <f>DF52+'User Input - Correlations'!H52</f>
        <v>0</v>
      </c>
      <c r="I52" s="263">
        <f>DG52+'User Input - Correlations'!I52</f>
        <v>0</v>
      </c>
      <c r="J52" s="263">
        <f>DH52+'User Input - Correlations'!J52</f>
        <v>0</v>
      </c>
      <c r="K52" s="263">
        <f>DI52+'User Input - Correlations'!K52</f>
        <v>0</v>
      </c>
      <c r="L52" s="263">
        <f>DJ52+'User Input - Correlations'!L52</f>
        <v>0</v>
      </c>
      <c r="M52" s="263">
        <f>DK52+'User Input - Correlations'!M52</f>
        <v>0</v>
      </c>
      <c r="N52" s="263">
        <f>DL52+'User Input - Correlations'!N52</f>
        <v>0</v>
      </c>
      <c r="O52" s="263">
        <f>DM52+'User Input - Correlations'!O52</f>
        <v>0</v>
      </c>
      <c r="P52" s="263">
        <f>DN52+'User Input - Correlations'!P52</f>
        <v>0</v>
      </c>
      <c r="Q52" s="263">
        <f>DO52+'User Input - Correlations'!Q52</f>
        <v>0</v>
      </c>
      <c r="R52" s="263">
        <f>DP52+'User Input - Correlations'!R52</f>
        <v>0</v>
      </c>
      <c r="S52" s="263">
        <f>DQ52+'User Input - Correlations'!S52</f>
        <v>0</v>
      </c>
      <c r="T52" s="263">
        <f>DR52+'User Input - Correlations'!T52</f>
        <v>0</v>
      </c>
      <c r="U52" s="263">
        <f>DS52+'User Input - Correlations'!U52</f>
        <v>0</v>
      </c>
      <c r="V52" s="263">
        <f>DT52+'User Input - Correlations'!V52</f>
        <v>0</v>
      </c>
      <c r="W52" s="263">
        <f>DU52+'User Input - Correlations'!W52</f>
        <v>0</v>
      </c>
      <c r="X52" s="263">
        <f>DV52+'User Input - Correlations'!X52</f>
        <v>0</v>
      </c>
      <c r="Y52" s="263">
        <f>DW52+'User Input - Correlations'!Y52</f>
        <v>0</v>
      </c>
      <c r="Z52" s="263">
        <f>DX52+'User Input - Correlations'!Z52</f>
        <v>0</v>
      </c>
      <c r="AA52" s="263">
        <f>DY52+'User Input - Correlations'!AA52</f>
        <v>0</v>
      </c>
      <c r="AB52" s="263">
        <f>DZ52+'User Input - Correlations'!AB52</f>
        <v>0</v>
      </c>
      <c r="AC52" s="263">
        <f>EA52+'User Input - Correlations'!AC52</f>
        <v>0</v>
      </c>
      <c r="AD52" s="263">
        <f>EB52+'User Input - Correlations'!AD52</f>
        <v>0</v>
      </c>
      <c r="AE52" s="263">
        <f>EC52+'User Input - Correlations'!AE52</f>
        <v>0</v>
      </c>
      <c r="AF52" s="263">
        <f>ED52+'User Input - Correlations'!AF52</f>
        <v>0</v>
      </c>
      <c r="AG52" s="263">
        <f>EE52+'User Input - Correlations'!AG52</f>
        <v>0</v>
      </c>
      <c r="AH52" s="263">
        <f>EF52+'User Input - Correlations'!AH52</f>
        <v>0</v>
      </c>
      <c r="AI52" s="263">
        <f>EG52+'User Input - Correlations'!AI52</f>
        <v>0</v>
      </c>
      <c r="AJ52" s="263">
        <f>EH52+'User Input - Correlations'!AJ52</f>
        <v>0</v>
      </c>
      <c r="AK52" s="263">
        <f>EI52+'User Input - Correlations'!AK52</f>
        <v>0</v>
      </c>
      <c r="AL52" s="263">
        <f>EJ52+'User Input - Correlations'!AL52</f>
        <v>0</v>
      </c>
      <c r="AM52" s="263">
        <f>EK52+'User Input - Correlations'!AM52</f>
        <v>0</v>
      </c>
      <c r="AN52" s="263">
        <f>EL52+'User Input - Correlations'!AN52</f>
        <v>0</v>
      </c>
      <c r="AO52" s="263">
        <f>EM52+'User Input - Correlations'!AO52</f>
        <v>0</v>
      </c>
      <c r="AP52" s="263">
        <f>EN52+'User Input - Correlations'!AP52</f>
        <v>0</v>
      </c>
      <c r="AQ52" s="263">
        <f>EO52+'User Input - Correlations'!AQ52</f>
        <v>0</v>
      </c>
      <c r="AR52" s="263">
        <v>1</v>
      </c>
      <c r="AS52" s="263">
        <f>EQ52+'User Input - Correlations'!AS52</f>
        <v>0</v>
      </c>
      <c r="AT52" s="263">
        <f>ER52+'User Input - Correlations'!AT52</f>
        <v>0</v>
      </c>
      <c r="AU52" s="263">
        <f>ES52+'User Input - Correlations'!AU52</f>
        <v>0</v>
      </c>
      <c r="AV52" s="263">
        <f>ET52+'User Input - Correlations'!AV52</f>
        <v>0</v>
      </c>
      <c r="AW52" s="263">
        <f>EU52+'User Input - Correlations'!AW52</f>
        <v>0</v>
      </c>
      <c r="AX52" s="263">
        <f>EV52+'User Input - Correlations'!AX52</f>
        <v>0</v>
      </c>
      <c r="AY52" s="263">
        <f>EW52+'User Input - Correlations'!AY52</f>
        <v>0</v>
      </c>
      <c r="AZ52" s="263">
        <f>EX52+'User Input - Correlations'!AZ52</f>
        <v>0</v>
      </c>
      <c r="BA52" s="263">
        <f>EY52+'User Input - Correlations'!BA52</f>
        <v>0</v>
      </c>
      <c r="BB52" s="263">
        <f>EZ52+'User Input - Correlations'!BB52</f>
        <v>0</v>
      </c>
      <c r="BC52" s="263">
        <f>FA52+'User Input - Correlations'!BC52</f>
        <v>0</v>
      </c>
      <c r="BD52" s="263">
        <f>FB52+'User Input - Correlations'!BD52</f>
        <v>0</v>
      </c>
      <c r="BE52" s="263">
        <f>FC52+'User Input - Correlations'!BE52</f>
        <v>0</v>
      </c>
      <c r="BF52" s="263">
        <f>FD52+'User Input - Correlations'!BF52</f>
        <v>0</v>
      </c>
      <c r="BG52" s="263">
        <f>FE52+'User Input - Correlations'!BG52</f>
        <v>0</v>
      </c>
      <c r="BH52" s="263">
        <f>FF52+'User Input - Correlations'!BH52</f>
        <v>0</v>
      </c>
      <c r="BI52" s="263">
        <f>FG52+'User Input - Correlations'!BI52</f>
        <v>0</v>
      </c>
      <c r="BJ52" s="263">
        <f>FH52+'User Input - Correlations'!BJ52</f>
        <v>0</v>
      </c>
      <c r="BK52" s="263">
        <f>FI52+'User Input - Correlations'!BK52</f>
        <v>0</v>
      </c>
      <c r="BL52" s="263">
        <f>FJ52+'User Input - Correlations'!BL52</f>
        <v>0</v>
      </c>
      <c r="BM52" s="263">
        <f>FK52+'User Input - Correlations'!BM52</f>
        <v>0</v>
      </c>
      <c r="BN52" s="263">
        <f>FL52+'User Input - Correlations'!BN52</f>
        <v>0</v>
      </c>
      <c r="BO52" s="263">
        <f>FM52+'User Input - Correlations'!BO52</f>
        <v>0</v>
      </c>
      <c r="BP52" s="263">
        <f>FN52+'User Input - Correlations'!BP52</f>
        <v>0</v>
      </c>
      <c r="BQ52" s="263">
        <f>FO52+'User Input - Correlations'!BQ52</f>
        <v>0</v>
      </c>
      <c r="BR52" s="263">
        <f>FP52+'User Input - Correlations'!BR52</f>
        <v>0</v>
      </c>
      <c r="BS52" s="263">
        <f>FQ52+'User Input - Correlations'!BS52</f>
        <v>0</v>
      </c>
      <c r="BT52" s="263">
        <f>FR52+'User Input - Correlations'!BT52</f>
        <v>0</v>
      </c>
      <c r="BU52" s="263">
        <f>FS52+'User Input - Correlations'!BU52</f>
        <v>0</v>
      </c>
      <c r="BV52" s="263">
        <f>FT52+'User Input - Correlations'!BV52</f>
        <v>0</v>
      </c>
      <c r="BW52" s="263">
        <f>FU52+'User Input - Correlations'!BW52</f>
        <v>0</v>
      </c>
      <c r="BX52" s="263">
        <f>FV52+'User Input - Correlations'!BX52</f>
        <v>0</v>
      </c>
      <c r="BY52" s="263">
        <f>FW52+'User Input - Correlations'!BY52</f>
        <v>0</v>
      </c>
      <c r="BZ52" s="263">
        <f>FX52+'User Input - Correlations'!BZ52</f>
        <v>0</v>
      </c>
      <c r="CA52" s="263">
        <f>FY52+'User Input - Correlations'!CA52</f>
        <v>0</v>
      </c>
      <c r="CB52" s="263">
        <f>FZ52+'User Input - Correlations'!CB52</f>
        <v>0</v>
      </c>
      <c r="CC52" s="263">
        <f>GA52+'User Input - Correlations'!CC52</f>
        <v>0</v>
      </c>
      <c r="CD52" s="263">
        <f>GB52+'User Input - Correlations'!CD52</f>
        <v>0</v>
      </c>
      <c r="CE52" s="263">
        <f>GC52+'User Input - Correlations'!CE52</f>
        <v>0</v>
      </c>
      <c r="CF52" s="263">
        <f>GD52+'User Input - Correlations'!CF52</f>
        <v>0</v>
      </c>
      <c r="CG52" s="263">
        <f>GE52+'User Input - Correlations'!CG52</f>
        <v>0</v>
      </c>
      <c r="CH52" s="263">
        <f>GF52+'User Input - Correlations'!CH52</f>
        <v>0</v>
      </c>
      <c r="CI52" s="263">
        <f>GG52+'User Input - Correlations'!CI52</f>
        <v>0</v>
      </c>
      <c r="CJ52" s="263">
        <f>GH52+'User Input - Correlations'!CJ52</f>
        <v>0</v>
      </c>
      <c r="CK52" s="263">
        <f>GI52+'User Input - Correlations'!CK52</f>
        <v>0</v>
      </c>
      <c r="CL52" s="263">
        <f>GJ52+'User Input - Correlations'!CL52</f>
        <v>0</v>
      </c>
      <c r="CM52" s="263">
        <f>GK52+'User Input - Correlations'!CM52</f>
        <v>0</v>
      </c>
      <c r="CN52" s="263">
        <f>GL52+'User Input - Correlations'!CN52</f>
        <v>0</v>
      </c>
      <c r="CO52" s="263">
        <f>GM52+'User Input - Correlations'!CO52</f>
        <v>0</v>
      </c>
      <c r="CP52" s="264">
        <f>GN52+'User Input - Correlations'!CP52</f>
        <v>0</v>
      </c>
      <c r="CQ52" s="281">
        <f ca="1">MDETERM(OFFSET($C$11,0,0,ROWS($CQ$11:$CQ52),ROWS($CQ$11:$CQ52)))</f>
        <v>1</v>
      </c>
      <c r="DA52" s="263">
        <v>0</v>
      </c>
      <c r="DB52" s="263">
        <v>0</v>
      </c>
      <c r="DC52" s="263">
        <v>0</v>
      </c>
      <c r="DD52" s="263">
        <v>0</v>
      </c>
      <c r="DE52" s="263">
        <v>0</v>
      </c>
      <c r="DF52" s="263">
        <v>0</v>
      </c>
      <c r="DG52" s="263">
        <v>0</v>
      </c>
      <c r="DH52" s="263">
        <v>0</v>
      </c>
      <c r="DI52" s="263">
        <v>0</v>
      </c>
      <c r="DJ52" s="263">
        <v>0</v>
      </c>
      <c r="DK52" s="263">
        <v>0</v>
      </c>
      <c r="DL52" s="263">
        <v>0</v>
      </c>
      <c r="DM52" s="263">
        <v>0</v>
      </c>
      <c r="DN52" s="263">
        <v>0</v>
      </c>
      <c r="DO52" s="263">
        <v>0</v>
      </c>
      <c r="DP52" s="263">
        <v>0</v>
      </c>
      <c r="DQ52" s="263">
        <v>0</v>
      </c>
      <c r="DR52" s="263">
        <v>0</v>
      </c>
      <c r="DS52" s="263">
        <v>0</v>
      </c>
      <c r="DT52" s="263">
        <v>0</v>
      </c>
      <c r="DU52" s="263">
        <v>0</v>
      </c>
      <c r="DV52" s="263">
        <v>0</v>
      </c>
      <c r="DW52" s="263">
        <v>0</v>
      </c>
      <c r="DX52" s="263">
        <v>0</v>
      </c>
      <c r="DY52" s="263">
        <v>0</v>
      </c>
      <c r="DZ52" s="263">
        <v>0</v>
      </c>
      <c r="EA52" s="263">
        <v>0</v>
      </c>
      <c r="EB52" s="263">
        <v>0</v>
      </c>
      <c r="EC52" s="263">
        <v>0</v>
      </c>
      <c r="ED52" s="263">
        <v>0</v>
      </c>
      <c r="EE52" s="263">
        <v>0</v>
      </c>
      <c r="EF52" s="263">
        <v>0</v>
      </c>
      <c r="EG52" s="263">
        <v>0</v>
      </c>
      <c r="EH52" s="263">
        <v>0</v>
      </c>
      <c r="EI52" s="263">
        <v>0</v>
      </c>
      <c r="EJ52" s="263">
        <v>0</v>
      </c>
      <c r="EK52" s="263">
        <v>0</v>
      </c>
      <c r="EL52" s="263">
        <v>0</v>
      </c>
      <c r="EM52" s="263">
        <v>0</v>
      </c>
      <c r="EN52" s="263">
        <v>0</v>
      </c>
      <c r="EO52" s="263">
        <v>0</v>
      </c>
      <c r="EP52" s="263">
        <v>1</v>
      </c>
      <c r="EQ52" s="263">
        <v>0</v>
      </c>
      <c r="ER52" s="263">
        <v>0</v>
      </c>
      <c r="ES52" s="263">
        <v>0</v>
      </c>
      <c r="ET52" s="263">
        <v>0</v>
      </c>
      <c r="EU52" s="263">
        <v>0</v>
      </c>
      <c r="EV52" s="263">
        <v>0</v>
      </c>
      <c r="EW52" s="263">
        <v>0</v>
      </c>
      <c r="EX52" s="263">
        <v>0</v>
      </c>
      <c r="EY52" s="263">
        <v>0</v>
      </c>
      <c r="EZ52" s="263">
        <v>0</v>
      </c>
      <c r="FA52" s="263">
        <v>0</v>
      </c>
      <c r="FB52" s="263">
        <v>0</v>
      </c>
      <c r="FC52" s="263">
        <v>0</v>
      </c>
      <c r="FD52" s="263">
        <v>0</v>
      </c>
      <c r="FE52" s="263">
        <v>0</v>
      </c>
      <c r="FF52" s="263">
        <v>0</v>
      </c>
      <c r="FG52" s="263">
        <v>0</v>
      </c>
      <c r="FH52" s="263">
        <v>0</v>
      </c>
      <c r="FI52" s="263">
        <v>0</v>
      </c>
      <c r="FJ52" s="263">
        <v>0</v>
      </c>
      <c r="FK52" s="263">
        <v>0</v>
      </c>
      <c r="FL52" s="263">
        <v>0</v>
      </c>
      <c r="FM52" s="263">
        <v>0</v>
      </c>
      <c r="FN52" s="263">
        <v>0</v>
      </c>
      <c r="FO52" s="263">
        <v>0</v>
      </c>
      <c r="FP52" s="263">
        <v>0</v>
      </c>
      <c r="FQ52" s="263">
        <v>0</v>
      </c>
      <c r="FR52" s="263">
        <v>0</v>
      </c>
      <c r="FS52" s="263">
        <v>0</v>
      </c>
      <c r="FT52" s="263">
        <v>0</v>
      </c>
      <c r="FU52" s="263">
        <v>0</v>
      </c>
      <c r="FV52" s="263">
        <v>0</v>
      </c>
      <c r="FW52" s="263">
        <v>0</v>
      </c>
      <c r="FX52" s="263">
        <v>0</v>
      </c>
      <c r="FY52" s="263">
        <v>0</v>
      </c>
      <c r="FZ52" s="263">
        <v>0</v>
      </c>
      <c r="GA52" s="263">
        <v>0</v>
      </c>
      <c r="GB52" s="263">
        <v>0</v>
      </c>
      <c r="GC52" s="263">
        <v>0</v>
      </c>
      <c r="GD52" s="263">
        <v>0</v>
      </c>
      <c r="GE52" s="263">
        <v>0</v>
      </c>
      <c r="GF52" s="263">
        <v>0</v>
      </c>
      <c r="GG52" s="263">
        <v>0</v>
      </c>
      <c r="GH52" s="263">
        <v>0</v>
      </c>
      <c r="GI52" s="263">
        <v>0</v>
      </c>
      <c r="GJ52" s="263">
        <v>0</v>
      </c>
      <c r="GK52" s="263">
        <v>0</v>
      </c>
      <c r="GL52" s="263">
        <v>0</v>
      </c>
      <c r="GM52" s="263">
        <v>0</v>
      </c>
      <c r="GN52" s="263">
        <v>0</v>
      </c>
    </row>
    <row r="53" ht="12.75" customHeight="1">
      <c r="A53" s="286" t="s">
        <v>171</v>
      </c>
      <c r="B53" s="286" t="s">
        <v>86</v>
      </c>
      <c r="C53" s="263">
        <f>DA53+'User Input - Correlations'!C53</f>
        <v>0</v>
      </c>
      <c r="D53" s="263">
        <f>DB53+'User Input - Correlations'!D53</f>
        <v>0</v>
      </c>
      <c r="E53" s="263">
        <f>DC53+'User Input - Correlations'!E53</f>
        <v>0</v>
      </c>
      <c r="F53" s="263">
        <f>DD53+'User Input - Correlations'!F53</f>
        <v>0</v>
      </c>
      <c r="G53" s="263">
        <f>DE53+'User Input - Correlations'!G53</f>
        <v>0</v>
      </c>
      <c r="H53" s="263">
        <f>DF53+'User Input - Correlations'!H53</f>
        <v>0</v>
      </c>
      <c r="I53" s="263">
        <f>DG53+'User Input - Correlations'!I53</f>
        <v>0</v>
      </c>
      <c r="J53" s="263">
        <f>DH53+'User Input - Correlations'!J53</f>
        <v>0</v>
      </c>
      <c r="K53" s="263">
        <f>DI53+'User Input - Correlations'!K53</f>
        <v>0</v>
      </c>
      <c r="L53" s="263">
        <f>DJ53+'User Input - Correlations'!L53</f>
        <v>0</v>
      </c>
      <c r="M53" s="263">
        <f>DK53+'User Input - Correlations'!M53</f>
        <v>0</v>
      </c>
      <c r="N53" s="263">
        <f>DL53+'User Input - Correlations'!N53</f>
        <v>0</v>
      </c>
      <c r="O53" s="263">
        <f>DM53+'User Input - Correlations'!O53</f>
        <v>0</v>
      </c>
      <c r="P53" s="263">
        <f>DN53+'User Input - Correlations'!P53</f>
        <v>0</v>
      </c>
      <c r="Q53" s="263">
        <f>DO53+'User Input - Correlations'!Q53</f>
        <v>0</v>
      </c>
      <c r="R53" s="263">
        <f>DP53+'User Input - Correlations'!R53</f>
        <v>0</v>
      </c>
      <c r="S53" s="263">
        <f>DQ53+'User Input - Correlations'!S53</f>
        <v>0</v>
      </c>
      <c r="T53" s="263">
        <f>DR53+'User Input - Correlations'!T53</f>
        <v>0</v>
      </c>
      <c r="U53" s="263">
        <f>DS53+'User Input - Correlations'!U53</f>
        <v>0</v>
      </c>
      <c r="V53" s="263">
        <f>DT53+'User Input - Correlations'!V53</f>
        <v>0</v>
      </c>
      <c r="W53" s="263">
        <f>DU53+'User Input - Correlations'!W53</f>
        <v>0</v>
      </c>
      <c r="X53" s="263">
        <f>DV53+'User Input - Correlations'!X53</f>
        <v>0</v>
      </c>
      <c r="Y53" s="263">
        <f>DW53+'User Input - Correlations'!Y53</f>
        <v>0</v>
      </c>
      <c r="Z53" s="263">
        <f>DX53+'User Input - Correlations'!Z53</f>
        <v>0</v>
      </c>
      <c r="AA53" s="263">
        <f>DY53+'User Input - Correlations'!AA53</f>
        <v>0</v>
      </c>
      <c r="AB53" s="263">
        <f>DZ53+'User Input - Correlations'!AB53</f>
        <v>0</v>
      </c>
      <c r="AC53" s="263">
        <f>EA53+'User Input - Correlations'!AC53</f>
        <v>0</v>
      </c>
      <c r="AD53" s="263">
        <f>EB53+'User Input - Correlations'!AD53</f>
        <v>0</v>
      </c>
      <c r="AE53" s="263">
        <f>EC53+'User Input - Correlations'!AE53</f>
        <v>0</v>
      </c>
      <c r="AF53" s="263">
        <f>ED53+'User Input - Correlations'!AF53</f>
        <v>0</v>
      </c>
      <c r="AG53" s="263">
        <f>EE53+'User Input - Correlations'!AG53</f>
        <v>0</v>
      </c>
      <c r="AH53" s="263">
        <f>EF53+'User Input - Correlations'!AH53</f>
        <v>0</v>
      </c>
      <c r="AI53" s="263">
        <f>EG53+'User Input - Correlations'!AI53</f>
        <v>0</v>
      </c>
      <c r="AJ53" s="263">
        <f>EH53+'User Input - Correlations'!AJ53</f>
        <v>0</v>
      </c>
      <c r="AK53" s="263">
        <f>EI53+'User Input - Correlations'!AK53</f>
        <v>0</v>
      </c>
      <c r="AL53" s="263">
        <f>EJ53+'User Input - Correlations'!AL53</f>
        <v>0</v>
      </c>
      <c r="AM53" s="263">
        <f>EK53+'User Input - Correlations'!AM53</f>
        <v>0</v>
      </c>
      <c r="AN53" s="263">
        <f>EL53+'User Input - Correlations'!AN53</f>
        <v>0</v>
      </c>
      <c r="AO53" s="263">
        <f>EM53+'User Input - Correlations'!AO53</f>
        <v>0</v>
      </c>
      <c r="AP53" s="263">
        <f>EN53+'User Input - Correlations'!AP53</f>
        <v>0</v>
      </c>
      <c r="AQ53" s="263">
        <f>EO53+'User Input - Correlations'!AQ53</f>
        <v>0</v>
      </c>
      <c r="AR53" s="263">
        <f>EP53+'User Input - Correlations'!AR53</f>
        <v>0</v>
      </c>
      <c r="AS53" s="263">
        <v>1</v>
      </c>
      <c r="AT53" s="263">
        <f>ER53+'User Input - Correlations'!AT53</f>
        <v>0</v>
      </c>
      <c r="AU53" s="263">
        <f>ES53+'User Input - Correlations'!AU53</f>
        <v>0</v>
      </c>
      <c r="AV53" s="263">
        <f>ET53+'User Input - Correlations'!AV53</f>
        <v>0</v>
      </c>
      <c r="AW53" s="263">
        <f>EU53+'User Input - Correlations'!AW53</f>
        <v>0</v>
      </c>
      <c r="AX53" s="263">
        <f>EV53+'User Input - Correlations'!AX53</f>
        <v>0</v>
      </c>
      <c r="AY53" s="263">
        <f>EW53+'User Input - Correlations'!AY53</f>
        <v>0</v>
      </c>
      <c r="AZ53" s="263">
        <f>EX53+'User Input - Correlations'!AZ53</f>
        <v>0</v>
      </c>
      <c r="BA53" s="263">
        <f>EY53+'User Input - Correlations'!BA53</f>
        <v>0</v>
      </c>
      <c r="BB53" s="263">
        <f>EZ53+'User Input - Correlations'!BB53</f>
        <v>0</v>
      </c>
      <c r="BC53" s="263">
        <f>FA53+'User Input - Correlations'!BC53</f>
        <v>0</v>
      </c>
      <c r="BD53" s="263">
        <f>FB53+'User Input - Correlations'!BD53</f>
        <v>0</v>
      </c>
      <c r="BE53" s="263">
        <f>FC53+'User Input - Correlations'!BE53</f>
        <v>0</v>
      </c>
      <c r="BF53" s="263">
        <f>FD53+'User Input - Correlations'!BF53</f>
        <v>0</v>
      </c>
      <c r="BG53" s="263">
        <f>FE53+'User Input - Correlations'!BG53</f>
        <v>0</v>
      </c>
      <c r="BH53" s="263">
        <f>FF53+'User Input - Correlations'!BH53</f>
        <v>0</v>
      </c>
      <c r="BI53" s="263">
        <f>FG53+'User Input - Correlations'!BI53</f>
        <v>0</v>
      </c>
      <c r="BJ53" s="263">
        <f>FH53+'User Input - Correlations'!BJ53</f>
        <v>0</v>
      </c>
      <c r="BK53" s="263">
        <f>FI53+'User Input - Correlations'!BK53</f>
        <v>0</v>
      </c>
      <c r="BL53" s="263">
        <f>FJ53+'User Input - Correlations'!BL53</f>
        <v>0</v>
      </c>
      <c r="BM53" s="263">
        <f>FK53+'User Input - Correlations'!BM53</f>
        <v>0</v>
      </c>
      <c r="BN53" s="263">
        <f>FL53+'User Input - Correlations'!BN53</f>
        <v>0</v>
      </c>
      <c r="BO53" s="263">
        <f>FM53+'User Input - Correlations'!BO53</f>
        <v>0</v>
      </c>
      <c r="BP53" s="263">
        <f>FN53+'User Input - Correlations'!BP53</f>
        <v>0</v>
      </c>
      <c r="BQ53" s="263">
        <f>FO53+'User Input - Correlations'!BQ53</f>
        <v>0</v>
      </c>
      <c r="BR53" s="263">
        <f>FP53+'User Input - Correlations'!BR53</f>
        <v>0</v>
      </c>
      <c r="BS53" s="263">
        <f>FQ53+'User Input - Correlations'!BS53</f>
        <v>0</v>
      </c>
      <c r="BT53" s="263">
        <f>FR53+'User Input - Correlations'!BT53</f>
        <v>0</v>
      </c>
      <c r="BU53" s="263">
        <f>FS53+'User Input - Correlations'!BU53</f>
        <v>0</v>
      </c>
      <c r="BV53" s="263">
        <f>FT53+'User Input - Correlations'!BV53</f>
        <v>0</v>
      </c>
      <c r="BW53" s="263">
        <f>FU53+'User Input - Correlations'!BW53</f>
        <v>0</v>
      </c>
      <c r="BX53" s="263">
        <f>FV53+'User Input - Correlations'!BX53</f>
        <v>0</v>
      </c>
      <c r="BY53" s="263">
        <f>FW53+'User Input - Correlations'!BY53</f>
        <v>0</v>
      </c>
      <c r="BZ53" s="263">
        <f>FX53+'User Input - Correlations'!BZ53</f>
        <v>0</v>
      </c>
      <c r="CA53" s="263">
        <f>FY53+'User Input - Correlations'!CA53</f>
        <v>0</v>
      </c>
      <c r="CB53" s="263">
        <f>FZ53+'User Input - Correlations'!CB53</f>
        <v>0</v>
      </c>
      <c r="CC53" s="263">
        <f>GA53+'User Input - Correlations'!CC53</f>
        <v>0</v>
      </c>
      <c r="CD53" s="263">
        <f>GB53+'User Input - Correlations'!CD53</f>
        <v>0</v>
      </c>
      <c r="CE53" s="263">
        <f>GC53+'User Input - Correlations'!CE53</f>
        <v>0</v>
      </c>
      <c r="CF53" s="263">
        <f>GD53+'User Input - Correlations'!CF53</f>
        <v>0</v>
      </c>
      <c r="CG53" s="263">
        <f>GE53+'User Input - Correlations'!CG53</f>
        <v>0</v>
      </c>
      <c r="CH53" s="263">
        <f>GF53+'User Input - Correlations'!CH53</f>
        <v>0</v>
      </c>
      <c r="CI53" s="263">
        <f>GG53+'User Input - Correlations'!CI53</f>
        <v>0</v>
      </c>
      <c r="CJ53" s="263">
        <f>GH53+'User Input - Correlations'!CJ53</f>
        <v>0</v>
      </c>
      <c r="CK53" s="263">
        <f>GI53+'User Input - Correlations'!CK53</f>
        <v>0</v>
      </c>
      <c r="CL53" s="263">
        <f>GJ53+'User Input - Correlations'!CL53</f>
        <v>0</v>
      </c>
      <c r="CM53" s="263">
        <f>GK53+'User Input - Correlations'!CM53</f>
        <v>0</v>
      </c>
      <c r="CN53" s="263">
        <f>GL53+'User Input - Correlations'!CN53</f>
        <v>0</v>
      </c>
      <c r="CO53" s="263">
        <f>GM53+'User Input - Correlations'!CO53</f>
        <v>0</v>
      </c>
      <c r="CP53" s="264">
        <f>GN53+'User Input - Correlations'!CP53</f>
        <v>0</v>
      </c>
      <c r="CQ53" s="281">
        <f ca="1">MDETERM(OFFSET($C$11,0,0,ROWS($CQ$11:$CQ53),ROWS($CQ$11:$CQ53)))</f>
        <v>1</v>
      </c>
      <c r="DA53" s="263">
        <v>0</v>
      </c>
      <c r="DB53" s="263">
        <v>0</v>
      </c>
      <c r="DC53" s="263">
        <v>0</v>
      </c>
      <c r="DD53" s="263">
        <v>0</v>
      </c>
      <c r="DE53" s="263">
        <v>0</v>
      </c>
      <c r="DF53" s="263">
        <v>0</v>
      </c>
      <c r="DG53" s="263">
        <v>0</v>
      </c>
      <c r="DH53" s="263">
        <v>0</v>
      </c>
      <c r="DI53" s="263">
        <v>0</v>
      </c>
      <c r="DJ53" s="263">
        <v>0</v>
      </c>
      <c r="DK53" s="263">
        <v>0</v>
      </c>
      <c r="DL53" s="263">
        <v>0</v>
      </c>
      <c r="DM53" s="263">
        <v>0</v>
      </c>
      <c r="DN53" s="263">
        <v>0</v>
      </c>
      <c r="DO53" s="263">
        <v>0</v>
      </c>
      <c r="DP53" s="263">
        <v>0</v>
      </c>
      <c r="DQ53" s="263">
        <v>0</v>
      </c>
      <c r="DR53" s="263">
        <v>0</v>
      </c>
      <c r="DS53" s="263">
        <v>0</v>
      </c>
      <c r="DT53" s="263">
        <v>0</v>
      </c>
      <c r="DU53" s="263">
        <v>0</v>
      </c>
      <c r="DV53" s="263">
        <v>0</v>
      </c>
      <c r="DW53" s="263">
        <v>0</v>
      </c>
      <c r="DX53" s="263">
        <v>0</v>
      </c>
      <c r="DY53" s="263">
        <v>0</v>
      </c>
      <c r="DZ53" s="263">
        <v>0</v>
      </c>
      <c r="EA53" s="263">
        <v>0</v>
      </c>
      <c r="EB53" s="263">
        <v>0</v>
      </c>
      <c r="EC53" s="263">
        <v>0</v>
      </c>
      <c r="ED53" s="263">
        <v>0</v>
      </c>
      <c r="EE53" s="263">
        <v>0</v>
      </c>
      <c r="EF53" s="263">
        <v>0</v>
      </c>
      <c r="EG53" s="263">
        <v>0</v>
      </c>
      <c r="EH53" s="263">
        <v>0</v>
      </c>
      <c r="EI53" s="263">
        <v>0</v>
      </c>
      <c r="EJ53" s="263">
        <v>0</v>
      </c>
      <c r="EK53" s="263">
        <v>0</v>
      </c>
      <c r="EL53" s="263">
        <v>0</v>
      </c>
      <c r="EM53" s="263">
        <v>0</v>
      </c>
      <c r="EN53" s="263">
        <v>0</v>
      </c>
      <c r="EO53" s="263">
        <v>0</v>
      </c>
      <c r="EP53" s="263">
        <v>0</v>
      </c>
      <c r="EQ53" s="263">
        <v>1</v>
      </c>
      <c r="ER53" s="263">
        <v>0</v>
      </c>
      <c r="ES53" s="263">
        <v>0</v>
      </c>
      <c r="ET53" s="263">
        <v>0</v>
      </c>
      <c r="EU53" s="263">
        <v>0</v>
      </c>
      <c r="EV53" s="263">
        <v>0</v>
      </c>
      <c r="EW53" s="263">
        <v>0</v>
      </c>
      <c r="EX53" s="263">
        <v>0</v>
      </c>
      <c r="EY53" s="263">
        <v>0</v>
      </c>
      <c r="EZ53" s="263">
        <v>0</v>
      </c>
      <c r="FA53" s="263">
        <v>0</v>
      </c>
      <c r="FB53" s="263">
        <v>0</v>
      </c>
      <c r="FC53" s="263">
        <v>0</v>
      </c>
      <c r="FD53" s="263">
        <v>0</v>
      </c>
      <c r="FE53" s="263">
        <v>0</v>
      </c>
      <c r="FF53" s="263">
        <v>0</v>
      </c>
      <c r="FG53" s="263">
        <v>0</v>
      </c>
      <c r="FH53" s="263">
        <v>0</v>
      </c>
      <c r="FI53" s="263">
        <v>0</v>
      </c>
      <c r="FJ53" s="263">
        <v>0</v>
      </c>
      <c r="FK53" s="263">
        <v>0</v>
      </c>
      <c r="FL53" s="263">
        <v>0</v>
      </c>
      <c r="FM53" s="263">
        <v>0</v>
      </c>
      <c r="FN53" s="263">
        <v>0</v>
      </c>
      <c r="FO53" s="263">
        <v>0</v>
      </c>
      <c r="FP53" s="263">
        <v>0</v>
      </c>
      <c r="FQ53" s="263">
        <v>0</v>
      </c>
      <c r="FR53" s="263">
        <v>0</v>
      </c>
      <c r="FS53" s="263">
        <v>0</v>
      </c>
      <c r="FT53" s="263">
        <v>0</v>
      </c>
      <c r="FU53" s="263">
        <v>0</v>
      </c>
      <c r="FV53" s="263">
        <v>0</v>
      </c>
      <c r="FW53" s="263">
        <v>0</v>
      </c>
      <c r="FX53" s="263">
        <v>0</v>
      </c>
      <c r="FY53" s="263">
        <v>0</v>
      </c>
      <c r="FZ53" s="263">
        <v>0</v>
      </c>
      <c r="GA53" s="263">
        <v>0</v>
      </c>
      <c r="GB53" s="263">
        <v>0</v>
      </c>
      <c r="GC53" s="263">
        <v>0</v>
      </c>
      <c r="GD53" s="263">
        <v>0</v>
      </c>
      <c r="GE53" s="263">
        <v>0</v>
      </c>
      <c r="GF53" s="263">
        <v>0</v>
      </c>
      <c r="GG53" s="263">
        <v>0</v>
      </c>
      <c r="GH53" s="263">
        <v>0</v>
      </c>
      <c r="GI53" s="263">
        <v>0</v>
      </c>
      <c r="GJ53" s="263">
        <v>0</v>
      </c>
      <c r="GK53" s="263">
        <v>0</v>
      </c>
      <c r="GL53" s="263">
        <v>0</v>
      </c>
      <c r="GM53" s="263">
        <v>0</v>
      </c>
      <c r="GN53" s="263">
        <v>0</v>
      </c>
    </row>
    <row r="54" ht="12.75" customHeight="1">
      <c r="A54" s="286" t="s">
        <v>172</v>
      </c>
      <c r="B54" s="286" t="s">
        <v>86</v>
      </c>
      <c r="C54" s="263">
        <f>DA54+'User Input - Correlations'!C54</f>
        <v>0</v>
      </c>
      <c r="D54" s="263">
        <f>DB54+'User Input - Correlations'!D54</f>
        <v>0</v>
      </c>
      <c r="E54" s="263">
        <f>DC54+'User Input - Correlations'!E54</f>
        <v>0</v>
      </c>
      <c r="F54" s="263">
        <f>DD54+'User Input - Correlations'!F54</f>
        <v>0</v>
      </c>
      <c r="G54" s="263">
        <f>DE54+'User Input - Correlations'!G54</f>
        <v>0</v>
      </c>
      <c r="H54" s="263">
        <f>DF54+'User Input - Correlations'!H54</f>
        <v>0</v>
      </c>
      <c r="I54" s="263">
        <f>DG54+'User Input - Correlations'!I54</f>
        <v>0</v>
      </c>
      <c r="J54" s="263">
        <f>DH54+'User Input - Correlations'!J54</f>
        <v>0</v>
      </c>
      <c r="K54" s="263">
        <f>DI54+'User Input - Correlations'!K54</f>
        <v>0</v>
      </c>
      <c r="L54" s="263">
        <f>DJ54+'User Input - Correlations'!L54</f>
        <v>0</v>
      </c>
      <c r="M54" s="263">
        <f>DK54+'User Input - Correlations'!M54</f>
        <v>0</v>
      </c>
      <c r="N54" s="263">
        <f>DL54+'User Input - Correlations'!N54</f>
        <v>0</v>
      </c>
      <c r="O54" s="263">
        <f>DM54+'User Input - Correlations'!O54</f>
        <v>0</v>
      </c>
      <c r="P54" s="263">
        <f>DN54+'User Input - Correlations'!P54</f>
        <v>0</v>
      </c>
      <c r="Q54" s="263">
        <f>DO54+'User Input - Correlations'!Q54</f>
        <v>0</v>
      </c>
      <c r="R54" s="263">
        <f>DP54+'User Input - Correlations'!R54</f>
        <v>0</v>
      </c>
      <c r="S54" s="263">
        <f>DQ54+'User Input - Correlations'!S54</f>
        <v>0</v>
      </c>
      <c r="T54" s="263">
        <f>DR54+'User Input - Correlations'!T54</f>
        <v>0</v>
      </c>
      <c r="U54" s="263">
        <f>DS54+'User Input - Correlations'!U54</f>
        <v>0</v>
      </c>
      <c r="V54" s="263">
        <f>DT54+'User Input - Correlations'!V54</f>
        <v>0</v>
      </c>
      <c r="W54" s="263">
        <f>DU54+'User Input - Correlations'!W54</f>
        <v>0</v>
      </c>
      <c r="X54" s="263">
        <f>DV54+'User Input - Correlations'!X54</f>
        <v>0</v>
      </c>
      <c r="Y54" s="263">
        <f>DW54+'User Input - Correlations'!Y54</f>
        <v>0</v>
      </c>
      <c r="Z54" s="263">
        <f>DX54+'User Input - Correlations'!Z54</f>
        <v>0</v>
      </c>
      <c r="AA54" s="263">
        <f>DY54+'User Input - Correlations'!AA54</f>
        <v>0</v>
      </c>
      <c r="AB54" s="263">
        <f>DZ54+'User Input - Correlations'!AB54</f>
        <v>0</v>
      </c>
      <c r="AC54" s="263">
        <f>EA54+'User Input - Correlations'!AC54</f>
        <v>0</v>
      </c>
      <c r="AD54" s="263">
        <f>EB54+'User Input - Correlations'!AD54</f>
        <v>0</v>
      </c>
      <c r="AE54" s="263">
        <f>EC54+'User Input - Correlations'!AE54</f>
        <v>0</v>
      </c>
      <c r="AF54" s="263">
        <f>ED54+'User Input - Correlations'!AF54</f>
        <v>0</v>
      </c>
      <c r="AG54" s="263">
        <f>EE54+'User Input - Correlations'!AG54</f>
        <v>0</v>
      </c>
      <c r="AH54" s="263">
        <f>EF54+'User Input - Correlations'!AH54</f>
        <v>0</v>
      </c>
      <c r="AI54" s="263">
        <f>EG54+'User Input - Correlations'!AI54</f>
        <v>0</v>
      </c>
      <c r="AJ54" s="263">
        <f>EH54+'User Input - Correlations'!AJ54</f>
        <v>0</v>
      </c>
      <c r="AK54" s="263">
        <f>EI54+'User Input - Correlations'!AK54</f>
        <v>0</v>
      </c>
      <c r="AL54" s="263">
        <f>EJ54+'User Input - Correlations'!AL54</f>
        <v>0</v>
      </c>
      <c r="AM54" s="263">
        <f>EK54+'User Input - Correlations'!AM54</f>
        <v>0</v>
      </c>
      <c r="AN54" s="263">
        <f>EL54+'User Input - Correlations'!AN54</f>
        <v>0</v>
      </c>
      <c r="AO54" s="263">
        <f>EM54+'User Input - Correlations'!AO54</f>
        <v>0</v>
      </c>
      <c r="AP54" s="263">
        <f>EN54+'User Input - Correlations'!AP54</f>
        <v>0</v>
      </c>
      <c r="AQ54" s="263">
        <f>EO54+'User Input - Correlations'!AQ54</f>
        <v>0</v>
      </c>
      <c r="AR54" s="263">
        <f>EP54+'User Input - Correlations'!AR54</f>
        <v>0</v>
      </c>
      <c r="AS54" s="263">
        <f>EQ54+'User Input - Correlations'!AS54</f>
        <v>0</v>
      </c>
      <c r="AT54" s="263">
        <v>1</v>
      </c>
      <c r="AU54" s="263">
        <f>ES54+'User Input - Correlations'!AU54</f>
        <v>0</v>
      </c>
      <c r="AV54" s="263">
        <f>ET54+'User Input - Correlations'!AV54</f>
        <v>0</v>
      </c>
      <c r="AW54" s="263">
        <f>EU54+'User Input - Correlations'!AW54</f>
        <v>0</v>
      </c>
      <c r="AX54" s="263">
        <f>EV54+'User Input - Correlations'!AX54</f>
        <v>0</v>
      </c>
      <c r="AY54" s="263">
        <f>EW54+'User Input - Correlations'!AY54</f>
        <v>0</v>
      </c>
      <c r="AZ54" s="263">
        <f>EX54+'User Input - Correlations'!AZ54</f>
        <v>0</v>
      </c>
      <c r="BA54" s="263">
        <f>EY54+'User Input - Correlations'!BA54</f>
        <v>0</v>
      </c>
      <c r="BB54" s="263">
        <f>EZ54+'User Input - Correlations'!BB54</f>
        <v>0</v>
      </c>
      <c r="BC54" s="263">
        <f>FA54+'User Input - Correlations'!BC54</f>
        <v>0</v>
      </c>
      <c r="BD54" s="263">
        <f>FB54+'User Input - Correlations'!BD54</f>
        <v>0</v>
      </c>
      <c r="BE54" s="263">
        <f>FC54+'User Input - Correlations'!BE54</f>
        <v>0</v>
      </c>
      <c r="BF54" s="263">
        <f>FD54+'User Input - Correlations'!BF54</f>
        <v>0</v>
      </c>
      <c r="BG54" s="263">
        <f>FE54+'User Input - Correlations'!BG54</f>
        <v>0</v>
      </c>
      <c r="BH54" s="263">
        <f>FF54+'User Input - Correlations'!BH54</f>
        <v>0</v>
      </c>
      <c r="BI54" s="263">
        <f>FG54+'User Input - Correlations'!BI54</f>
        <v>0</v>
      </c>
      <c r="BJ54" s="263">
        <f>FH54+'User Input - Correlations'!BJ54</f>
        <v>0</v>
      </c>
      <c r="BK54" s="263">
        <f>FI54+'User Input - Correlations'!BK54</f>
        <v>0</v>
      </c>
      <c r="BL54" s="263">
        <f>FJ54+'User Input - Correlations'!BL54</f>
        <v>0</v>
      </c>
      <c r="BM54" s="263">
        <f>FK54+'User Input - Correlations'!BM54</f>
        <v>0</v>
      </c>
      <c r="BN54" s="263">
        <f>FL54+'User Input - Correlations'!BN54</f>
        <v>0</v>
      </c>
      <c r="BO54" s="263">
        <f>FM54+'User Input - Correlations'!BO54</f>
        <v>0</v>
      </c>
      <c r="BP54" s="263">
        <f>FN54+'User Input - Correlations'!BP54</f>
        <v>0</v>
      </c>
      <c r="BQ54" s="263">
        <f>FO54+'User Input - Correlations'!BQ54</f>
        <v>0</v>
      </c>
      <c r="BR54" s="263">
        <f>FP54+'User Input - Correlations'!BR54</f>
        <v>0</v>
      </c>
      <c r="BS54" s="263">
        <f>FQ54+'User Input - Correlations'!BS54</f>
        <v>0</v>
      </c>
      <c r="BT54" s="263">
        <f>FR54+'User Input - Correlations'!BT54</f>
        <v>0</v>
      </c>
      <c r="BU54" s="263">
        <f>FS54+'User Input - Correlations'!BU54</f>
        <v>0</v>
      </c>
      <c r="BV54" s="263">
        <f>FT54+'User Input - Correlations'!BV54</f>
        <v>0</v>
      </c>
      <c r="BW54" s="263">
        <f>FU54+'User Input - Correlations'!BW54</f>
        <v>0</v>
      </c>
      <c r="BX54" s="263">
        <f>FV54+'User Input - Correlations'!BX54</f>
        <v>0</v>
      </c>
      <c r="BY54" s="263">
        <f>FW54+'User Input - Correlations'!BY54</f>
        <v>0</v>
      </c>
      <c r="BZ54" s="263">
        <f>FX54+'User Input - Correlations'!BZ54</f>
        <v>0</v>
      </c>
      <c r="CA54" s="263">
        <f>FY54+'User Input - Correlations'!CA54</f>
        <v>0</v>
      </c>
      <c r="CB54" s="263">
        <f>FZ54+'User Input - Correlations'!CB54</f>
        <v>0</v>
      </c>
      <c r="CC54" s="263">
        <f>GA54+'User Input - Correlations'!CC54</f>
        <v>0</v>
      </c>
      <c r="CD54" s="263">
        <f>GB54+'User Input - Correlations'!CD54</f>
        <v>0</v>
      </c>
      <c r="CE54" s="263">
        <f>GC54+'User Input - Correlations'!CE54</f>
        <v>0</v>
      </c>
      <c r="CF54" s="263">
        <f>GD54+'User Input - Correlations'!CF54</f>
        <v>0</v>
      </c>
      <c r="CG54" s="263">
        <f>GE54+'User Input - Correlations'!CG54</f>
        <v>0</v>
      </c>
      <c r="CH54" s="263">
        <f>GF54+'User Input - Correlations'!CH54</f>
        <v>0</v>
      </c>
      <c r="CI54" s="263">
        <f>GG54+'User Input - Correlations'!CI54</f>
        <v>0</v>
      </c>
      <c r="CJ54" s="263">
        <f>GH54+'User Input - Correlations'!CJ54</f>
        <v>0</v>
      </c>
      <c r="CK54" s="263">
        <f>GI54+'User Input - Correlations'!CK54</f>
        <v>0</v>
      </c>
      <c r="CL54" s="263">
        <f>GJ54+'User Input - Correlations'!CL54</f>
        <v>0</v>
      </c>
      <c r="CM54" s="263">
        <f>GK54+'User Input - Correlations'!CM54</f>
        <v>0</v>
      </c>
      <c r="CN54" s="263">
        <f>GL54+'User Input - Correlations'!CN54</f>
        <v>0</v>
      </c>
      <c r="CO54" s="263">
        <f>GM54+'User Input - Correlations'!CO54</f>
        <v>0</v>
      </c>
      <c r="CP54" s="264">
        <f>GN54+'User Input - Correlations'!CP54</f>
        <v>0</v>
      </c>
      <c r="CQ54" s="281">
        <f ca="1">MDETERM(OFFSET($C$11,0,0,ROWS($CQ$11:$CQ54),ROWS($CQ$11:$CQ54)))</f>
        <v>1</v>
      </c>
      <c r="DA54" s="263">
        <v>0</v>
      </c>
      <c r="DB54" s="263">
        <v>0</v>
      </c>
      <c r="DC54" s="263">
        <v>0</v>
      </c>
      <c r="DD54" s="263">
        <v>0</v>
      </c>
      <c r="DE54" s="263">
        <v>0</v>
      </c>
      <c r="DF54" s="263">
        <v>0</v>
      </c>
      <c r="DG54" s="263">
        <v>0</v>
      </c>
      <c r="DH54" s="263">
        <v>0</v>
      </c>
      <c r="DI54" s="263">
        <v>0</v>
      </c>
      <c r="DJ54" s="263">
        <v>0</v>
      </c>
      <c r="DK54" s="263">
        <v>0</v>
      </c>
      <c r="DL54" s="263">
        <v>0</v>
      </c>
      <c r="DM54" s="263">
        <v>0</v>
      </c>
      <c r="DN54" s="263">
        <v>0</v>
      </c>
      <c r="DO54" s="263">
        <v>0</v>
      </c>
      <c r="DP54" s="263">
        <v>0</v>
      </c>
      <c r="DQ54" s="263">
        <v>0</v>
      </c>
      <c r="DR54" s="263">
        <v>0</v>
      </c>
      <c r="DS54" s="263">
        <v>0</v>
      </c>
      <c r="DT54" s="263">
        <v>0</v>
      </c>
      <c r="DU54" s="263">
        <v>0</v>
      </c>
      <c r="DV54" s="263">
        <v>0</v>
      </c>
      <c r="DW54" s="263">
        <v>0</v>
      </c>
      <c r="DX54" s="263">
        <v>0</v>
      </c>
      <c r="DY54" s="263">
        <v>0</v>
      </c>
      <c r="DZ54" s="263">
        <v>0</v>
      </c>
      <c r="EA54" s="263">
        <v>0</v>
      </c>
      <c r="EB54" s="263">
        <v>0</v>
      </c>
      <c r="EC54" s="263">
        <v>0</v>
      </c>
      <c r="ED54" s="263">
        <v>0</v>
      </c>
      <c r="EE54" s="263">
        <v>0</v>
      </c>
      <c r="EF54" s="263">
        <v>0</v>
      </c>
      <c r="EG54" s="263">
        <v>0</v>
      </c>
      <c r="EH54" s="263">
        <v>0</v>
      </c>
      <c r="EI54" s="263">
        <v>0</v>
      </c>
      <c r="EJ54" s="263">
        <v>0</v>
      </c>
      <c r="EK54" s="263">
        <v>0</v>
      </c>
      <c r="EL54" s="263">
        <v>0</v>
      </c>
      <c r="EM54" s="263">
        <v>0</v>
      </c>
      <c r="EN54" s="263">
        <v>0</v>
      </c>
      <c r="EO54" s="263">
        <v>0</v>
      </c>
      <c r="EP54" s="263">
        <v>0</v>
      </c>
      <c r="EQ54" s="263">
        <v>0</v>
      </c>
      <c r="ER54" s="263">
        <v>1</v>
      </c>
      <c r="ES54" s="263">
        <v>0</v>
      </c>
      <c r="ET54" s="263">
        <v>0</v>
      </c>
      <c r="EU54" s="263">
        <v>0</v>
      </c>
      <c r="EV54" s="263">
        <v>0</v>
      </c>
      <c r="EW54" s="263">
        <v>0</v>
      </c>
      <c r="EX54" s="263">
        <v>0</v>
      </c>
      <c r="EY54" s="263">
        <v>0</v>
      </c>
      <c r="EZ54" s="263">
        <v>0</v>
      </c>
      <c r="FA54" s="263">
        <v>0</v>
      </c>
      <c r="FB54" s="263">
        <v>0</v>
      </c>
      <c r="FC54" s="263">
        <v>0</v>
      </c>
      <c r="FD54" s="263">
        <v>0</v>
      </c>
      <c r="FE54" s="263">
        <v>0</v>
      </c>
      <c r="FF54" s="263">
        <v>0</v>
      </c>
      <c r="FG54" s="263">
        <v>0</v>
      </c>
      <c r="FH54" s="263">
        <v>0</v>
      </c>
      <c r="FI54" s="263">
        <v>0</v>
      </c>
      <c r="FJ54" s="263">
        <v>0</v>
      </c>
      <c r="FK54" s="263">
        <v>0</v>
      </c>
      <c r="FL54" s="263">
        <v>0</v>
      </c>
      <c r="FM54" s="263">
        <v>0</v>
      </c>
      <c r="FN54" s="263">
        <v>0</v>
      </c>
      <c r="FO54" s="263">
        <v>0</v>
      </c>
      <c r="FP54" s="263">
        <v>0</v>
      </c>
      <c r="FQ54" s="263">
        <v>0</v>
      </c>
      <c r="FR54" s="263">
        <v>0</v>
      </c>
      <c r="FS54" s="263">
        <v>0</v>
      </c>
      <c r="FT54" s="263">
        <v>0</v>
      </c>
      <c r="FU54" s="263">
        <v>0</v>
      </c>
      <c r="FV54" s="263">
        <v>0</v>
      </c>
      <c r="FW54" s="263">
        <v>0</v>
      </c>
      <c r="FX54" s="263">
        <v>0</v>
      </c>
      <c r="FY54" s="263">
        <v>0</v>
      </c>
      <c r="FZ54" s="263">
        <v>0</v>
      </c>
      <c r="GA54" s="263">
        <v>0</v>
      </c>
      <c r="GB54" s="263">
        <v>0</v>
      </c>
      <c r="GC54" s="263">
        <v>0</v>
      </c>
      <c r="GD54" s="263">
        <v>0</v>
      </c>
      <c r="GE54" s="263">
        <v>0</v>
      </c>
      <c r="GF54" s="263">
        <v>0</v>
      </c>
      <c r="GG54" s="263">
        <v>0</v>
      </c>
      <c r="GH54" s="263">
        <v>0</v>
      </c>
      <c r="GI54" s="263">
        <v>0</v>
      </c>
      <c r="GJ54" s="263">
        <v>0</v>
      </c>
      <c r="GK54" s="263">
        <v>0</v>
      </c>
      <c r="GL54" s="263">
        <v>0</v>
      </c>
      <c r="GM54" s="263">
        <v>0</v>
      </c>
      <c r="GN54" s="263">
        <v>0</v>
      </c>
    </row>
    <row r="55" ht="12.75" customHeight="1">
      <c r="A55" s="286" t="s">
        <v>175</v>
      </c>
      <c r="B55" s="286" t="s">
        <v>86</v>
      </c>
      <c r="C55" s="263">
        <f>DA55+'User Input - Correlations'!C55</f>
        <v>0</v>
      </c>
      <c r="D55" s="263">
        <f>DB55+'User Input - Correlations'!D55</f>
        <v>0</v>
      </c>
      <c r="E55" s="263">
        <f>DC55+'User Input - Correlations'!E55</f>
        <v>0</v>
      </c>
      <c r="F55" s="263">
        <f>DD55+'User Input - Correlations'!F55</f>
        <v>0</v>
      </c>
      <c r="G55" s="263">
        <f>DE55+'User Input - Correlations'!G55</f>
        <v>0</v>
      </c>
      <c r="H55" s="263">
        <f>DF55+'User Input - Correlations'!H55</f>
        <v>0</v>
      </c>
      <c r="I55" s="263">
        <f>DG55+'User Input - Correlations'!I55</f>
        <v>0</v>
      </c>
      <c r="J55" s="263">
        <f>DH55+'User Input - Correlations'!J55</f>
        <v>0</v>
      </c>
      <c r="K55" s="263">
        <f>DI55+'User Input - Correlations'!K55</f>
        <v>0</v>
      </c>
      <c r="L55" s="263">
        <f>DJ55+'User Input - Correlations'!L55</f>
        <v>0</v>
      </c>
      <c r="M55" s="263">
        <f>DK55+'User Input - Correlations'!M55</f>
        <v>0</v>
      </c>
      <c r="N55" s="263">
        <f>DL55+'User Input - Correlations'!N55</f>
        <v>0</v>
      </c>
      <c r="O55" s="263">
        <f>DM55+'User Input - Correlations'!O55</f>
        <v>0</v>
      </c>
      <c r="P55" s="263">
        <f>DN55+'User Input - Correlations'!P55</f>
        <v>0</v>
      </c>
      <c r="Q55" s="263">
        <f>DO55+'User Input - Correlations'!Q55</f>
        <v>0</v>
      </c>
      <c r="R55" s="263">
        <f>DP55+'User Input - Correlations'!R55</f>
        <v>0</v>
      </c>
      <c r="S55" s="263">
        <f>DQ55+'User Input - Correlations'!S55</f>
        <v>0</v>
      </c>
      <c r="T55" s="263">
        <f>DR55+'User Input - Correlations'!T55</f>
        <v>0</v>
      </c>
      <c r="U55" s="263">
        <f>DS55+'User Input - Correlations'!U55</f>
        <v>0</v>
      </c>
      <c r="V55" s="263">
        <f>DT55+'User Input - Correlations'!V55</f>
        <v>0</v>
      </c>
      <c r="W55" s="263">
        <f>DU55+'User Input - Correlations'!W55</f>
        <v>0</v>
      </c>
      <c r="X55" s="263">
        <f>DV55+'User Input - Correlations'!X55</f>
        <v>0</v>
      </c>
      <c r="Y55" s="263">
        <f>DW55+'User Input - Correlations'!Y55</f>
        <v>0</v>
      </c>
      <c r="Z55" s="263">
        <f>DX55+'User Input - Correlations'!Z55</f>
        <v>0</v>
      </c>
      <c r="AA55" s="263">
        <f>DY55+'User Input - Correlations'!AA55</f>
        <v>0</v>
      </c>
      <c r="AB55" s="263">
        <f>DZ55+'User Input - Correlations'!AB55</f>
        <v>0</v>
      </c>
      <c r="AC55" s="263">
        <f>EA55+'User Input - Correlations'!AC55</f>
        <v>0</v>
      </c>
      <c r="AD55" s="263">
        <f>EB55+'User Input - Correlations'!AD55</f>
        <v>0</v>
      </c>
      <c r="AE55" s="263">
        <f>EC55+'User Input - Correlations'!AE55</f>
        <v>0</v>
      </c>
      <c r="AF55" s="263">
        <f>ED55+'User Input - Correlations'!AF55</f>
        <v>0</v>
      </c>
      <c r="AG55" s="263">
        <f>EE55+'User Input - Correlations'!AG55</f>
        <v>0</v>
      </c>
      <c r="AH55" s="263">
        <f>EF55+'User Input - Correlations'!AH55</f>
        <v>0</v>
      </c>
      <c r="AI55" s="263">
        <f>EG55+'User Input - Correlations'!AI55</f>
        <v>0</v>
      </c>
      <c r="AJ55" s="263">
        <f>EH55+'User Input - Correlations'!AJ55</f>
        <v>0</v>
      </c>
      <c r="AK55" s="263">
        <f>EI55+'User Input - Correlations'!AK55</f>
        <v>0</v>
      </c>
      <c r="AL55" s="263">
        <f>EJ55+'User Input - Correlations'!AL55</f>
        <v>0</v>
      </c>
      <c r="AM55" s="263">
        <f>EK55+'User Input - Correlations'!AM55</f>
        <v>0</v>
      </c>
      <c r="AN55" s="263">
        <f>EL55+'User Input - Correlations'!AN55</f>
        <v>0</v>
      </c>
      <c r="AO55" s="263">
        <f>EM55+'User Input - Correlations'!AO55</f>
        <v>0</v>
      </c>
      <c r="AP55" s="263">
        <f>EN55+'User Input - Correlations'!AP55</f>
        <v>0</v>
      </c>
      <c r="AQ55" s="263">
        <f>EO55+'User Input - Correlations'!AQ55</f>
        <v>0</v>
      </c>
      <c r="AR55" s="263">
        <f>EP55+'User Input - Correlations'!AR55</f>
        <v>0</v>
      </c>
      <c r="AS55" s="263">
        <f>EQ55+'User Input - Correlations'!AS55</f>
        <v>0</v>
      </c>
      <c r="AT55" s="263">
        <f>ER55+'User Input - Correlations'!AT55</f>
        <v>0</v>
      </c>
      <c r="AU55" s="263">
        <v>1</v>
      </c>
      <c r="AV55" s="263">
        <f>ET55+'User Input - Correlations'!AV55</f>
        <v>0</v>
      </c>
      <c r="AW55" s="263">
        <f>EU55+'User Input - Correlations'!AW55</f>
        <v>0</v>
      </c>
      <c r="AX55" s="263">
        <f>EV55+'User Input - Correlations'!AX55</f>
        <v>0</v>
      </c>
      <c r="AY55" s="263">
        <f>EW55+'User Input - Correlations'!AY55</f>
        <v>0</v>
      </c>
      <c r="AZ55" s="263">
        <f>EX55+'User Input - Correlations'!AZ55</f>
        <v>0</v>
      </c>
      <c r="BA55" s="263">
        <f>EY55+'User Input - Correlations'!BA55</f>
        <v>0</v>
      </c>
      <c r="BB55" s="263">
        <f>EZ55+'User Input - Correlations'!BB55</f>
        <v>0</v>
      </c>
      <c r="BC55" s="263">
        <f>FA55+'User Input - Correlations'!BC55</f>
        <v>0</v>
      </c>
      <c r="BD55" s="263">
        <f>FB55+'User Input - Correlations'!BD55</f>
        <v>0</v>
      </c>
      <c r="BE55" s="263">
        <f>FC55+'User Input - Correlations'!BE55</f>
        <v>0</v>
      </c>
      <c r="BF55" s="263">
        <f>FD55+'User Input - Correlations'!BF55</f>
        <v>0</v>
      </c>
      <c r="BG55" s="263">
        <f>FE55+'User Input - Correlations'!BG55</f>
        <v>0</v>
      </c>
      <c r="BH55" s="263">
        <f>FF55+'User Input - Correlations'!BH55</f>
        <v>0</v>
      </c>
      <c r="BI55" s="263">
        <f>FG55+'User Input - Correlations'!BI55</f>
        <v>0</v>
      </c>
      <c r="BJ55" s="263">
        <f>FH55+'User Input - Correlations'!BJ55</f>
        <v>0</v>
      </c>
      <c r="BK55" s="263">
        <f>FI55+'User Input - Correlations'!BK55</f>
        <v>0</v>
      </c>
      <c r="BL55" s="263">
        <f>FJ55+'User Input - Correlations'!BL55</f>
        <v>0</v>
      </c>
      <c r="BM55" s="263">
        <f>FK55+'User Input - Correlations'!BM55</f>
        <v>0</v>
      </c>
      <c r="BN55" s="263">
        <f>FL55+'User Input - Correlations'!BN55</f>
        <v>0</v>
      </c>
      <c r="BO55" s="263">
        <f>FM55+'User Input - Correlations'!BO55</f>
        <v>0</v>
      </c>
      <c r="BP55" s="263">
        <f>FN55+'User Input - Correlations'!BP55</f>
        <v>0</v>
      </c>
      <c r="BQ55" s="263">
        <f>FO55+'User Input - Correlations'!BQ55</f>
        <v>0</v>
      </c>
      <c r="BR55" s="263">
        <f>FP55+'User Input - Correlations'!BR55</f>
        <v>0</v>
      </c>
      <c r="BS55" s="263">
        <f>FQ55+'User Input - Correlations'!BS55</f>
        <v>0</v>
      </c>
      <c r="BT55" s="263">
        <f>FR55+'User Input - Correlations'!BT55</f>
        <v>0</v>
      </c>
      <c r="BU55" s="263">
        <f>FS55+'User Input - Correlations'!BU55</f>
        <v>0</v>
      </c>
      <c r="BV55" s="263">
        <f>FT55+'User Input - Correlations'!BV55</f>
        <v>0</v>
      </c>
      <c r="BW55" s="263">
        <f>FU55+'User Input - Correlations'!BW55</f>
        <v>0</v>
      </c>
      <c r="BX55" s="263">
        <f>FV55+'User Input - Correlations'!BX55</f>
        <v>0</v>
      </c>
      <c r="BY55" s="263">
        <f>FW55+'User Input - Correlations'!BY55</f>
        <v>0</v>
      </c>
      <c r="BZ55" s="263">
        <f>FX55+'User Input - Correlations'!BZ55</f>
        <v>0</v>
      </c>
      <c r="CA55" s="263">
        <f>FY55+'User Input - Correlations'!CA55</f>
        <v>0</v>
      </c>
      <c r="CB55" s="263">
        <f>FZ55+'User Input - Correlations'!CB55</f>
        <v>0</v>
      </c>
      <c r="CC55" s="263">
        <f>GA55+'User Input - Correlations'!CC55</f>
        <v>0</v>
      </c>
      <c r="CD55" s="263">
        <f>GB55+'User Input - Correlations'!CD55</f>
        <v>0</v>
      </c>
      <c r="CE55" s="263">
        <f>GC55+'User Input - Correlations'!CE55</f>
        <v>0</v>
      </c>
      <c r="CF55" s="263">
        <f>GD55+'User Input - Correlations'!CF55</f>
        <v>0</v>
      </c>
      <c r="CG55" s="263">
        <f>GE55+'User Input - Correlations'!CG55</f>
        <v>0</v>
      </c>
      <c r="CH55" s="263">
        <f>GF55+'User Input - Correlations'!CH55</f>
        <v>0</v>
      </c>
      <c r="CI55" s="263">
        <f>GG55+'User Input - Correlations'!CI55</f>
        <v>0</v>
      </c>
      <c r="CJ55" s="263">
        <f>GH55+'User Input - Correlations'!CJ55</f>
        <v>0</v>
      </c>
      <c r="CK55" s="263">
        <f>GI55+'User Input - Correlations'!CK55</f>
        <v>0</v>
      </c>
      <c r="CL55" s="263">
        <f>GJ55+'User Input - Correlations'!CL55</f>
        <v>0</v>
      </c>
      <c r="CM55" s="263">
        <f>GK55+'User Input - Correlations'!CM55</f>
        <v>0</v>
      </c>
      <c r="CN55" s="263">
        <f>GL55+'User Input - Correlations'!CN55</f>
        <v>0</v>
      </c>
      <c r="CO55" s="263">
        <f>GM55+'User Input - Correlations'!CO55</f>
        <v>0</v>
      </c>
      <c r="CP55" s="264">
        <f>GN55+'User Input - Correlations'!CP55</f>
        <v>0</v>
      </c>
      <c r="CQ55" s="281">
        <f ca="1">MDETERM(OFFSET($C$11,0,0,ROWS($CQ$11:$CQ55),ROWS($CQ$11:$CQ55)))</f>
        <v>1</v>
      </c>
      <c r="DA55" s="263">
        <v>0</v>
      </c>
      <c r="DB55" s="263">
        <v>0</v>
      </c>
      <c r="DC55" s="263">
        <v>0</v>
      </c>
      <c r="DD55" s="263">
        <v>0</v>
      </c>
      <c r="DE55" s="263">
        <v>0</v>
      </c>
      <c r="DF55" s="263">
        <v>0</v>
      </c>
      <c r="DG55" s="263">
        <v>0</v>
      </c>
      <c r="DH55" s="263">
        <v>0</v>
      </c>
      <c r="DI55" s="263">
        <v>0</v>
      </c>
      <c r="DJ55" s="263">
        <v>0</v>
      </c>
      <c r="DK55" s="263">
        <v>0</v>
      </c>
      <c r="DL55" s="263">
        <v>0</v>
      </c>
      <c r="DM55" s="263">
        <v>0</v>
      </c>
      <c r="DN55" s="263">
        <v>0</v>
      </c>
      <c r="DO55" s="263">
        <v>0</v>
      </c>
      <c r="DP55" s="263">
        <v>0</v>
      </c>
      <c r="DQ55" s="263">
        <v>0</v>
      </c>
      <c r="DR55" s="263">
        <v>0</v>
      </c>
      <c r="DS55" s="263">
        <v>0</v>
      </c>
      <c r="DT55" s="263">
        <v>0</v>
      </c>
      <c r="DU55" s="263">
        <v>0</v>
      </c>
      <c r="DV55" s="263">
        <v>0</v>
      </c>
      <c r="DW55" s="263">
        <v>0</v>
      </c>
      <c r="DX55" s="263">
        <v>0</v>
      </c>
      <c r="DY55" s="263">
        <v>0</v>
      </c>
      <c r="DZ55" s="263">
        <v>0</v>
      </c>
      <c r="EA55" s="263">
        <v>0</v>
      </c>
      <c r="EB55" s="263">
        <v>0</v>
      </c>
      <c r="EC55" s="263">
        <v>0</v>
      </c>
      <c r="ED55" s="263">
        <v>0</v>
      </c>
      <c r="EE55" s="263">
        <v>0</v>
      </c>
      <c r="EF55" s="263">
        <v>0</v>
      </c>
      <c r="EG55" s="263">
        <v>0</v>
      </c>
      <c r="EH55" s="263">
        <v>0</v>
      </c>
      <c r="EI55" s="263">
        <v>0</v>
      </c>
      <c r="EJ55" s="263">
        <v>0</v>
      </c>
      <c r="EK55" s="263">
        <v>0</v>
      </c>
      <c r="EL55" s="263">
        <v>0</v>
      </c>
      <c r="EM55" s="263">
        <v>0</v>
      </c>
      <c r="EN55" s="263">
        <v>0</v>
      </c>
      <c r="EO55" s="263">
        <v>0</v>
      </c>
      <c r="EP55" s="263">
        <v>0</v>
      </c>
      <c r="EQ55" s="263">
        <v>0</v>
      </c>
      <c r="ER55" s="263">
        <v>0</v>
      </c>
      <c r="ES55" s="263">
        <v>1</v>
      </c>
      <c r="ET55" s="263">
        <v>0</v>
      </c>
      <c r="EU55" s="263">
        <v>0</v>
      </c>
      <c r="EV55" s="263">
        <v>0</v>
      </c>
      <c r="EW55" s="263">
        <v>0</v>
      </c>
      <c r="EX55" s="263">
        <v>0</v>
      </c>
      <c r="EY55" s="263">
        <v>0</v>
      </c>
      <c r="EZ55" s="263">
        <v>0</v>
      </c>
      <c r="FA55" s="263">
        <v>0</v>
      </c>
      <c r="FB55" s="263">
        <v>0</v>
      </c>
      <c r="FC55" s="263">
        <v>0</v>
      </c>
      <c r="FD55" s="263">
        <v>0</v>
      </c>
      <c r="FE55" s="263">
        <v>0</v>
      </c>
      <c r="FF55" s="263">
        <v>0</v>
      </c>
      <c r="FG55" s="263">
        <v>0</v>
      </c>
      <c r="FH55" s="263">
        <v>0</v>
      </c>
      <c r="FI55" s="263">
        <v>0</v>
      </c>
      <c r="FJ55" s="263">
        <v>0</v>
      </c>
      <c r="FK55" s="263">
        <v>0</v>
      </c>
      <c r="FL55" s="263">
        <v>0</v>
      </c>
      <c r="FM55" s="263">
        <v>0</v>
      </c>
      <c r="FN55" s="263">
        <v>0</v>
      </c>
      <c r="FO55" s="263">
        <v>0</v>
      </c>
      <c r="FP55" s="263">
        <v>0</v>
      </c>
      <c r="FQ55" s="263">
        <v>0</v>
      </c>
      <c r="FR55" s="263">
        <v>0</v>
      </c>
      <c r="FS55" s="263">
        <v>0</v>
      </c>
      <c r="FT55" s="263">
        <v>0</v>
      </c>
      <c r="FU55" s="263">
        <v>0</v>
      </c>
      <c r="FV55" s="263">
        <v>0</v>
      </c>
      <c r="FW55" s="263">
        <v>0</v>
      </c>
      <c r="FX55" s="263">
        <v>0</v>
      </c>
      <c r="FY55" s="263">
        <v>0</v>
      </c>
      <c r="FZ55" s="263">
        <v>0</v>
      </c>
      <c r="GA55" s="263">
        <v>0</v>
      </c>
      <c r="GB55" s="263">
        <v>0</v>
      </c>
      <c r="GC55" s="263">
        <v>0</v>
      </c>
      <c r="GD55" s="263">
        <v>0</v>
      </c>
      <c r="GE55" s="263">
        <v>0</v>
      </c>
      <c r="GF55" s="263">
        <v>0</v>
      </c>
      <c r="GG55" s="263">
        <v>0</v>
      </c>
      <c r="GH55" s="263">
        <v>0</v>
      </c>
      <c r="GI55" s="263">
        <v>0</v>
      </c>
      <c r="GJ55" s="263">
        <v>0</v>
      </c>
      <c r="GK55" s="263">
        <v>0</v>
      </c>
      <c r="GL55" s="263">
        <v>0</v>
      </c>
      <c r="GM55" s="263">
        <v>0</v>
      </c>
      <c r="GN55" s="263">
        <v>0</v>
      </c>
    </row>
    <row r="56" ht="12.75" customHeight="1">
      <c r="A56" s="286" t="s">
        <v>173</v>
      </c>
      <c r="B56" s="286" t="s">
        <v>86</v>
      </c>
      <c r="C56" s="263">
        <f>DA56+'User Input - Correlations'!C56</f>
        <v>0</v>
      </c>
      <c r="D56" s="263">
        <f>DB56+'User Input - Correlations'!D56</f>
        <v>0</v>
      </c>
      <c r="E56" s="263">
        <f>DC56+'User Input - Correlations'!E56</f>
        <v>0</v>
      </c>
      <c r="F56" s="263">
        <f>DD56+'User Input - Correlations'!F56</f>
        <v>0</v>
      </c>
      <c r="G56" s="263">
        <f>DE56+'User Input - Correlations'!G56</f>
        <v>0</v>
      </c>
      <c r="H56" s="263">
        <f>DF56+'User Input - Correlations'!H56</f>
        <v>0</v>
      </c>
      <c r="I56" s="263">
        <f>DG56+'User Input - Correlations'!I56</f>
        <v>0</v>
      </c>
      <c r="J56" s="263">
        <f>DH56+'User Input - Correlations'!J56</f>
        <v>0</v>
      </c>
      <c r="K56" s="263">
        <f>DI56+'User Input - Correlations'!K56</f>
        <v>0</v>
      </c>
      <c r="L56" s="263">
        <f>DJ56+'User Input - Correlations'!L56</f>
        <v>0</v>
      </c>
      <c r="M56" s="263">
        <f>DK56+'User Input - Correlations'!M56</f>
        <v>0</v>
      </c>
      <c r="N56" s="263">
        <f>DL56+'User Input - Correlations'!N56</f>
        <v>0</v>
      </c>
      <c r="O56" s="263">
        <f>DM56+'User Input - Correlations'!O56</f>
        <v>0</v>
      </c>
      <c r="P56" s="263">
        <f>DN56+'User Input - Correlations'!P56</f>
        <v>0</v>
      </c>
      <c r="Q56" s="263">
        <f>DO56+'User Input - Correlations'!Q56</f>
        <v>0</v>
      </c>
      <c r="R56" s="263">
        <f>DP56+'User Input - Correlations'!R56</f>
        <v>0</v>
      </c>
      <c r="S56" s="263">
        <f>DQ56+'User Input - Correlations'!S56</f>
        <v>0</v>
      </c>
      <c r="T56" s="263">
        <f>DR56+'User Input - Correlations'!T56</f>
        <v>0</v>
      </c>
      <c r="U56" s="263">
        <f>DS56+'User Input - Correlations'!U56</f>
        <v>0</v>
      </c>
      <c r="V56" s="263">
        <f>DT56+'User Input - Correlations'!V56</f>
        <v>0</v>
      </c>
      <c r="W56" s="263">
        <f>DU56+'User Input - Correlations'!W56</f>
        <v>0</v>
      </c>
      <c r="X56" s="263">
        <f>DV56+'User Input - Correlations'!X56</f>
        <v>0</v>
      </c>
      <c r="Y56" s="263">
        <f>DW56+'User Input - Correlations'!Y56</f>
        <v>0</v>
      </c>
      <c r="Z56" s="263">
        <f>DX56+'User Input - Correlations'!Z56</f>
        <v>0</v>
      </c>
      <c r="AA56" s="263">
        <f>DY56+'User Input - Correlations'!AA56</f>
        <v>0</v>
      </c>
      <c r="AB56" s="263">
        <f>DZ56+'User Input - Correlations'!AB56</f>
        <v>0</v>
      </c>
      <c r="AC56" s="263">
        <f>EA56+'User Input - Correlations'!AC56</f>
        <v>0</v>
      </c>
      <c r="AD56" s="263">
        <f>EB56+'User Input - Correlations'!AD56</f>
        <v>0</v>
      </c>
      <c r="AE56" s="263">
        <f>EC56+'User Input - Correlations'!AE56</f>
        <v>0</v>
      </c>
      <c r="AF56" s="263">
        <f>ED56+'User Input - Correlations'!AF56</f>
        <v>0</v>
      </c>
      <c r="AG56" s="263">
        <f>EE56+'User Input - Correlations'!AG56</f>
        <v>0</v>
      </c>
      <c r="AH56" s="263">
        <f>EF56+'User Input - Correlations'!AH56</f>
        <v>0</v>
      </c>
      <c r="AI56" s="263">
        <f>EG56+'User Input - Correlations'!AI56</f>
        <v>0</v>
      </c>
      <c r="AJ56" s="263">
        <f>EH56+'User Input - Correlations'!AJ56</f>
        <v>0</v>
      </c>
      <c r="AK56" s="263">
        <f>EI56+'User Input - Correlations'!AK56</f>
        <v>0</v>
      </c>
      <c r="AL56" s="263">
        <f>EJ56+'User Input - Correlations'!AL56</f>
        <v>0</v>
      </c>
      <c r="AM56" s="263">
        <f>EK56+'User Input - Correlations'!AM56</f>
        <v>0</v>
      </c>
      <c r="AN56" s="263">
        <f>EL56+'User Input - Correlations'!AN56</f>
        <v>0</v>
      </c>
      <c r="AO56" s="263">
        <f>EM56+'User Input - Correlations'!AO56</f>
        <v>0</v>
      </c>
      <c r="AP56" s="263">
        <f>EN56+'User Input - Correlations'!AP56</f>
        <v>0</v>
      </c>
      <c r="AQ56" s="263">
        <f>EO56+'User Input - Correlations'!AQ56</f>
        <v>0</v>
      </c>
      <c r="AR56" s="263">
        <f>EP56+'User Input - Correlations'!AR56</f>
        <v>0</v>
      </c>
      <c r="AS56" s="263">
        <f>EQ56+'User Input - Correlations'!AS56</f>
        <v>0</v>
      </c>
      <c r="AT56" s="263">
        <f>ER56+'User Input - Correlations'!AT56</f>
        <v>0</v>
      </c>
      <c r="AU56" s="263">
        <f>ES56+'User Input - Correlations'!AU56</f>
        <v>0</v>
      </c>
      <c r="AV56" s="263">
        <v>1</v>
      </c>
      <c r="AW56" s="263">
        <f>EU56+'User Input - Correlations'!AW56</f>
        <v>0</v>
      </c>
      <c r="AX56" s="263">
        <f>EV56+'User Input - Correlations'!AX56</f>
        <v>0</v>
      </c>
      <c r="AY56" s="263">
        <f>EW56+'User Input - Correlations'!AY56</f>
        <v>0</v>
      </c>
      <c r="AZ56" s="263">
        <f>EX56+'User Input - Correlations'!AZ56</f>
        <v>0</v>
      </c>
      <c r="BA56" s="263">
        <f>EY56+'User Input - Correlations'!BA56</f>
        <v>0</v>
      </c>
      <c r="BB56" s="263">
        <f>EZ56+'User Input - Correlations'!BB56</f>
        <v>0</v>
      </c>
      <c r="BC56" s="263">
        <f>FA56+'User Input - Correlations'!BC56</f>
        <v>0</v>
      </c>
      <c r="BD56" s="263">
        <f>FB56+'User Input - Correlations'!BD56</f>
        <v>0</v>
      </c>
      <c r="BE56" s="263">
        <f>FC56+'User Input - Correlations'!BE56</f>
        <v>0</v>
      </c>
      <c r="BF56" s="263">
        <f>FD56+'User Input - Correlations'!BF56</f>
        <v>0</v>
      </c>
      <c r="BG56" s="263">
        <f>FE56+'User Input - Correlations'!BG56</f>
        <v>0</v>
      </c>
      <c r="BH56" s="263">
        <f>FF56+'User Input - Correlations'!BH56</f>
        <v>0</v>
      </c>
      <c r="BI56" s="263">
        <f>FG56+'User Input - Correlations'!BI56</f>
        <v>0</v>
      </c>
      <c r="BJ56" s="263">
        <f>FH56+'User Input - Correlations'!BJ56</f>
        <v>0</v>
      </c>
      <c r="BK56" s="263">
        <f>FI56+'User Input - Correlations'!BK56</f>
        <v>0</v>
      </c>
      <c r="BL56" s="263">
        <f>FJ56+'User Input - Correlations'!BL56</f>
        <v>0</v>
      </c>
      <c r="BM56" s="263">
        <f>FK56+'User Input - Correlations'!BM56</f>
        <v>0</v>
      </c>
      <c r="BN56" s="263">
        <f>FL56+'User Input - Correlations'!BN56</f>
        <v>0</v>
      </c>
      <c r="BO56" s="263">
        <f>FM56+'User Input - Correlations'!BO56</f>
        <v>0</v>
      </c>
      <c r="BP56" s="263">
        <f>FN56+'User Input - Correlations'!BP56</f>
        <v>0</v>
      </c>
      <c r="BQ56" s="263">
        <f>FO56+'User Input - Correlations'!BQ56</f>
        <v>0</v>
      </c>
      <c r="BR56" s="263">
        <f>FP56+'User Input - Correlations'!BR56</f>
        <v>0</v>
      </c>
      <c r="BS56" s="263">
        <f>FQ56+'User Input - Correlations'!BS56</f>
        <v>0</v>
      </c>
      <c r="BT56" s="263">
        <f>FR56+'User Input - Correlations'!BT56</f>
        <v>0</v>
      </c>
      <c r="BU56" s="263">
        <f>FS56+'User Input - Correlations'!BU56</f>
        <v>0</v>
      </c>
      <c r="BV56" s="263">
        <f>FT56+'User Input - Correlations'!BV56</f>
        <v>0</v>
      </c>
      <c r="BW56" s="263">
        <f>FU56+'User Input - Correlations'!BW56</f>
        <v>0</v>
      </c>
      <c r="BX56" s="263">
        <f>FV56+'User Input - Correlations'!BX56</f>
        <v>0</v>
      </c>
      <c r="BY56" s="263">
        <f>FW56+'User Input - Correlations'!BY56</f>
        <v>0</v>
      </c>
      <c r="BZ56" s="263">
        <f>FX56+'User Input - Correlations'!BZ56</f>
        <v>0</v>
      </c>
      <c r="CA56" s="263">
        <f>FY56+'User Input - Correlations'!CA56</f>
        <v>0</v>
      </c>
      <c r="CB56" s="263">
        <f>FZ56+'User Input - Correlations'!CB56</f>
        <v>0</v>
      </c>
      <c r="CC56" s="263">
        <f>GA56+'User Input - Correlations'!CC56</f>
        <v>0</v>
      </c>
      <c r="CD56" s="263">
        <f>GB56+'User Input - Correlations'!CD56</f>
        <v>0</v>
      </c>
      <c r="CE56" s="263">
        <f>GC56+'User Input - Correlations'!CE56</f>
        <v>0</v>
      </c>
      <c r="CF56" s="263">
        <f>GD56+'User Input - Correlations'!CF56</f>
        <v>0</v>
      </c>
      <c r="CG56" s="263">
        <f>GE56+'User Input - Correlations'!CG56</f>
        <v>0</v>
      </c>
      <c r="CH56" s="263">
        <f>GF56+'User Input - Correlations'!CH56</f>
        <v>0</v>
      </c>
      <c r="CI56" s="263">
        <f>GG56+'User Input - Correlations'!CI56</f>
        <v>0</v>
      </c>
      <c r="CJ56" s="263">
        <f>GH56+'User Input - Correlations'!CJ56</f>
        <v>0</v>
      </c>
      <c r="CK56" s="263">
        <f>GI56+'User Input - Correlations'!CK56</f>
        <v>0</v>
      </c>
      <c r="CL56" s="263">
        <f>GJ56+'User Input - Correlations'!CL56</f>
        <v>0</v>
      </c>
      <c r="CM56" s="263">
        <f>GK56+'User Input - Correlations'!CM56</f>
        <v>0</v>
      </c>
      <c r="CN56" s="263">
        <f>GL56+'User Input - Correlations'!CN56</f>
        <v>0</v>
      </c>
      <c r="CO56" s="263">
        <f>GM56+'User Input - Correlations'!CO56</f>
        <v>0</v>
      </c>
      <c r="CP56" s="264">
        <f>GN56+'User Input - Correlations'!CP56</f>
        <v>0</v>
      </c>
      <c r="CQ56" s="281">
        <f ca="1">MDETERM(OFFSET($C$11,0,0,ROWS($CQ$11:$CQ56),ROWS($CQ$11:$CQ56)))</f>
        <v>1</v>
      </c>
      <c r="DA56" s="263">
        <v>0</v>
      </c>
      <c r="DB56" s="263">
        <v>0</v>
      </c>
      <c r="DC56" s="263">
        <v>0</v>
      </c>
      <c r="DD56" s="263">
        <v>0</v>
      </c>
      <c r="DE56" s="263">
        <v>0</v>
      </c>
      <c r="DF56" s="263">
        <v>0</v>
      </c>
      <c r="DG56" s="263">
        <v>0</v>
      </c>
      <c r="DH56" s="263">
        <v>0</v>
      </c>
      <c r="DI56" s="263">
        <v>0</v>
      </c>
      <c r="DJ56" s="263">
        <v>0</v>
      </c>
      <c r="DK56" s="263">
        <v>0</v>
      </c>
      <c r="DL56" s="263">
        <v>0</v>
      </c>
      <c r="DM56" s="263">
        <v>0</v>
      </c>
      <c r="DN56" s="263">
        <v>0</v>
      </c>
      <c r="DO56" s="263">
        <v>0</v>
      </c>
      <c r="DP56" s="263">
        <v>0</v>
      </c>
      <c r="DQ56" s="263">
        <v>0</v>
      </c>
      <c r="DR56" s="263">
        <v>0</v>
      </c>
      <c r="DS56" s="263">
        <v>0</v>
      </c>
      <c r="DT56" s="263">
        <v>0</v>
      </c>
      <c r="DU56" s="263">
        <v>0</v>
      </c>
      <c r="DV56" s="263">
        <v>0</v>
      </c>
      <c r="DW56" s="263">
        <v>0</v>
      </c>
      <c r="DX56" s="263">
        <v>0</v>
      </c>
      <c r="DY56" s="263">
        <v>0</v>
      </c>
      <c r="DZ56" s="263">
        <v>0</v>
      </c>
      <c r="EA56" s="263">
        <v>0</v>
      </c>
      <c r="EB56" s="263">
        <v>0</v>
      </c>
      <c r="EC56" s="263">
        <v>0</v>
      </c>
      <c r="ED56" s="263">
        <v>0</v>
      </c>
      <c r="EE56" s="263">
        <v>0</v>
      </c>
      <c r="EF56" s="263">
        <v>0</v>
      </c>
      <c r="EG56" s="263">
        <v>0</v>
      </c>
      <c r="EH56" s="263">
        <v>0</v>
      </c>
      <c r="EI56" s="263">
        <v>0</v>
      </c>
      <c r="EJ56" s="263">
        <v>0</v>
      </c>
      <c r="EK56" s="263">
        <v>0</v>
      </c>
      <c r="EL56" s="263">
        <v>0</v>
      </c>
      <c r="EM56" s="263">
        <v>0</v>
      </c>
      <c r="EN56" s="263">
        <v>0</v>
      </c>
      <c r="EO56" s="263">
        <v>0</v>
      </c>
      <c r="EP56" s="263">
        <v>0</v>
      </c>
      <c r="EQ56" s="263">
        <v>0</v>
      </c>
      <c r="ER56" s="263">
        <v>0</v>
      </c>
      <c r="ES56" s="263">
        <v>0</v>
      </c>
      <c r="ET56" s="263">
        <v>1</v>
      </c>
      <c r="EU56" s="263">
        <v>0</v>
      </c>
      <c r="EV56" s="263">
        <v>0</v>
      </c>
      <c r="EW56" s="263">
        <v>0</v>
      </c>
      <c r="EX56" s="263">
        <v>0</v>
      </c>
      <c r="EY56" s="263">
        <v>0</v>
      </c>
      <c r="EZ56" s="263">
        <v>0</v>
      </c>
      <c r="FA56" s="263">
        <v>0</v>
      </c>
      <c r="FB56" s="263">
        <v>0</v>
      </c>
      <c r="FC56" s="263">
        <v>0</v>
      </c>
      <c r="FD56" s="263">
        <v>0</v>
      </c>
      <c r="FE56" s="263">
        <v>0</v>
      </c>
      <c r="FF56" s="263">
        <v>0</v>
      </c>
      <c r="FG56" s="263">
        <v>0</v>
      </c>
      <c r="FH56" s="263">
        <v>0</v>
      </c>
      <c r="FI56" s="263">
        <v>0</v>
      </c>
      <c r="FJ56" s="263">
        <v>0</v>
      </c>
      <c r="FK56" s="263">
        <v>0</v>
      </c>
      <c r="FL56" s="263">
        <v>0</v>
      </c>
      <c r="FM56" s="263">
        <v>0</v>
      </c>
      <c r="FN56" s="263">
        <v>0</v>
      </c>
      <c r="FO56" s="263">
        <v>0</v>
      </c>
      <c r="FP56" s="263">
        <v>0</v>
      </c>
      <c r="FQ56" s="263">
        <v>0</v>
      </c>
      <c r="FR56" s="263">
        <v>0</v>
      </c>
      <c r="FS56" s="263">
        <v>0</v>
      </c>
      <c r="FT56" s="263">
        <v>0</v>
      </c>
      <c r="FU56" s="263">
        <v>0</v>
      </c>
      <c r="FV56" s="263">
        <v>0</v>
      </c>
      <c r="FW56" s="263">
        <v>0</v>
      </c>
      <c r="FX56" s="263">
        <v>0</v>
      </c>
      <c r="FY56" s="263">
        <v>0</v>
      </c>
      <c r="FZ56" s="263">
        <v>0</v>
      </c>
      <c r="GA56" s="263">
        <v>0</v>
      </c>
      <c r="GB56" s="263">
        <v>0</v>
      </c>
      <c r="GC56" s="263">
        <v>0</v>
      </c>
      <c r="GD56" s="263">
        <v>0</v>
      </c>
      <c r="GE56" s="263">
        <v>0</v>
      </c>
      <c r="GF56" s="263">
        <v>0</v>
      </c>
      <c r="GG56" s="263">
        <v>0</v>
      </c>
      <c r="GH56" s="263">
        <v>0</v>
      </c>
      <c r="GI56" s="263">
        <v>0</v>
      </c>
      <c r="GJ56" s="263">
        <v>0</v>
      </c>
      <c r="GK56" s="263">
        <v>0</v>
      </c>
      <c r="GL56" s="263">
        <v>0</v>
      </c>
      <c r="GM56" s="263">
        <v>0</v>
      </c>
      <c r="GN56" s="263">
        <v>0</v>
      </c>
    </row>
    <row r="57" ht="12.75" customHeight="1">
      <c r="A57" s="286" t="s">
        <v>176</v>
      </c>
      <c r="B57" s="286" t="s">
        <v>86</v>
      </c>
      <c r="C57" s="263">
        <f>DA57+'User Input - Correlations'!C57</f>
        <v>0</v>
      </c>
      <c r="D57" s="263">
        <f>DB57+'User Input - Correlations'!D57</f>
        <v>0</v>
      </c>
      <c r="E57" s="263">
        <f>DC57+'User Input - Correlations'!E57</f>
        <v>0</v>
      </c>
      <c r="F57" s="263">
        <f>DD57+'User Input - Correlations'!F57</f>
        <v>0</v>
      </c>
      <c r="G57" s="263">
        <f>DE57+'User Input - Correlations'!G57</f>
        <v>0</v>
      </c>
      <c r="H57" s="263">
        <f>DF57+'User Input - Correlations'!H57</f>
        <v>0</v>
      </c>
      <c r="I57" s="263">
        <f>DG57+'User Input - Correlations'!I57</f>
        <v>0</v>
      </c>
      <c r="J57" s="263">
        <f>DH57+'User Input - Correlations'!J57</f>
        <v>0</v>
      </c>
      <c r="K57" s="263">
        <f>DI57+'User Input - Correlations'!K57</f>
        <v>0</v>
      </c>
      <c r="L57" s="263">
        <f>DJ57+'User Input - Correlations'!L57</f>
        <v>0</v>
      </c>
      <c r="M57" s="263">
        <f>DK57+'User Input - Correlations'!M57</f>
        <v>0</v>
      </c>
      <c r="N57" s="263">
        <f>DL57+'User Input - Correlations'!N57</f>
        <v>0</v>
      </c>
      <c r="O57" s="263">
        <f>DM57+'User Input - Correlations'!O57</f>
        <v>0</v>
      </c>
      <c r="P57" s="263">
        <f>DN57+'User Input - Correlations'!P57</f>
        <v>0</v>
      </c>
      <c r="Q57" s="263">
        <f>DO57+'User Input - Correlations'!Q57</f>
        <v>0</v>
      </c>
      <c r="R57" s="263">
        <f>DP57+'User Input - Correlations'!R57</f>
        <v>0</v>
      </c>
      <c r="S57" s="263">
        <f>DQ57+'User Input - Correlations'!S57</f>
        <v>0</v>
      </c>
      <c r="T57" s="263">
        <f>DR57+'User Input - Correlations'!T57</f>
        <v>0</v>
      </c>
      <c r="U57" s="263">
        <f>DS57+'User Input - Correlations'!U57</f>
        <v>0</v>
      </c>
      <c r="V57" s="263">
        <f>DT57+'User Input - Correlations'!V57</f>
        <v>0</v>
      </c>
      <c r="W57" s="263">
        <f>DU57+'User Input - Correlations'!W57</f>
        <v>0</v>
      </c>
      <c r="X57" s="263">
        <f>DV57+'User Input - Correlations'!X57</f>
        <v>0</v>
      </c>
      <c r="Y57" s="263">
        <f>DW57+'User Input - Correlations'!Y57</f>
        <v>0</v>
      </c>
      <c r="Z57" s="263">
        <f>DX57+'User Input - Correlations'!Z57</f>
        <v>0</v>
      </c>
      <c r="AA57" s="263">
        <f>DY57+'User Input - Correlations'!AA57</f>
        <v>0</v>
      </c>
      <c r="AB57" s="263">
        <f>DZ57+'User Input - Correlations'!AB57</f>
        <v>0</v>
      </c>
      <c r="AC57" s="263">
        <f>EA57+'User Input - Correlations'!AC57</f>
        <v>0</v>
      </c>
      <c r="AD57" s="263">
        <f>EB57+'User Input - Correlations'!AD57</f>
        <v>0</v>
      </c>
      <c r="AE57" s="263">
        <f>EC57+'User Input - Correlations'!AE57</f>
        <v>0</v>
      </c>
      <c r="AF57" s="263">
        <f>ED57+'User Input - Correlations'!AF57</f>
        <v>0</v>
      </c>
      <c r="AG57" s="263">
        <f>EE57+'User Input - Correlations'!AG57</f>
        <v>0</v>
      </c>
      <c r="AH57" s="263">
        <f>EF57+'User Input - Correlations'!AH57</f>
        <v>0</v>
      </c>
      <c r="AI57" s="263">
        <f>EG57+'User Input - Correlations'!AI57</f>
        <v>0</v>
      </c>
      <c r="AJ57" s="263">
        <f>EH57+'User Input - Correlations'!AJ57</f>
        <v>0</v>
      </c>
      <c r="AK57" s="263">
        <f>EI57+'User Input - Correlations'!AK57</f>
        <v>0</v>
      </c>
      <c r="AL57" s="263">
        <f>EJ57+'User Input - Correlations'!AL57</f>
        <v>0</v>
      </c>
      <c r="AM57" s="263">
        <f>EK57+'User Input - Correlations'!AM57</f>
        <v>0</v>
      </c>
      <c r="AN57" s="263">
        <f>EL57+'User Input - Correlations'!AN57</f>
        <v>0</v>
      </c>
      <c r="AO57" s="263">
        <f>EM57+'User Input - Correlations'!AO57</f>
        <v>0</v>
      </c>
      <c r="AP57" s="263">
        <f>EN57+'User Input - Correlations'!AP57</f>
        <v>0</v>
      </c>
      <c r="AQ57" s="263">
        <f>EO57+'User Input - Correlations'!AQ57</f>
        <v>0</v>
      </c>
      <c r="AR57" s="263">
        <f>EP57+'User Input - Correlations'!AR57</f>
        <v>0</v>
      </c>
      <c r="AS57" s="263">
        <f>EQ57+'User Input - Correlations'!AS57</f>
        <v>0</v>
      </c>
      <c r="AT57" s="263">
        <f>ER57+'User Input - Correlations'!AT57</f>
        <v>0</v>
      </c>
      <c r="AU57" s="263">
        <f>ES57+'User Input - Correlations'!AU57</f>
        <v>0</v>
      </c>
      <c r="AV57" s="263">
        <f>ET57+'User Input - Correlations'!AV57</f>
        <v>0</v>
      </c>
      <c r="AW57" s="263">
        <v>1</v>
      </c>
      <c r="AX57" s="263">
        <f>EV57+'User Input - Correlations'!AX57</f>
        <v>0</v>
      </c>
      <c r="AY57" s="263">
        <f>EW57+'User Input - Correlations'!AY57</f>
        <v>0</v>
      </c>
      <c r="AZ57" s="263">
        <f>EX57+'User Input - Correlations'!AZ57</f>
        <v>0</v>
      </c>
      <c r="BA57" s="263">
        <f>EY57+'User Input - Correlations'!BA57</f>
        <v>0</v>
      </c>
      <c r="BB57" s="263">
        <f>EZ57+'User Input - Correlations'!BB57</f>
        <v>0</v>
      </c>
      <c r="BC57" s="263">
        <f>FA57+'User Input - Correlations'!BC57</f>
        <v>0</v>
      </c>
      <c r="BD57" s="263">
        <f>FB57+'User Input - Correlations'!BD57</f>
        <v>0</v>
      </c>
      <c r="BE57" s="263">
        <f>FC57+'User Input - Correlations'!BE57</f>
        <v>0</v>
      </c>
      <c r="BF57" s="263">
        <f>FD57+'User Input - Correlations'!BF57</f>
        <v>0</v>
      </c>
      <c r="BG57" s="263">
        <f>FE57+'User Input - Correlations'!BG57</f>
        <v>0</v>
      </c>
      <c r="BH57" s="263">
        <f>FF57+'User Input - Correlations'!BH57</f>
        <v>0</v>
      </c>
      <c r="BI57" s="263">
        <f>FG57+'User Input - Correlations'!BI57</f>
        <v>0</v>
      </c>
      <c r="BJ57" s="263">
        <f>FH57+'User Input - Correlations'!BJ57</f>
        <v>0</v>
      </c>
      <c r="BK57" s="263">
        <f>FI57+'User Input - Correlations'!BK57</f>
        <v>0</v>
      </c>
      <c r="BL57" s="263">
        <f>FJ57+'User Input - Correlations'!BL57</f>
        <v>0</v>
      </c>
      <c r="BM57" s="263">
        <f>FK57+'User Input - Correlations'!BM57</f>
        <v>0</v>
      </c>
      <c r="BN57" s="263">
        <f>FL57+'User Input - Correlations'!BN57</f>
        <v>0</v>
      </c>
      <c r="BO57" s="263">
        <f>FM57+'User Input - Correlations'!BO57</f>
        <v>0</v>
      </c>
      <c r="BP57" s="263">
        <f>FN57+'User Input - Correlations'!BP57</f>
        <v>0</v>
      </c>
      <c r="BQ57" s="263">
        <f>FO57+'User Input - Correlations'!BQ57</f>
        <v>0</v>
      </c>
      <c r="BR57" s="263">
        <f>FP57+'User Input - Correlations'!BR57</f>
        <v>0</v>
      </c>
      <c r="BS57" s="263">
        <f>FQ57+'User Input - Correlations'!BS57</f>
        <v>0</v>
      </c>
      <c r="BT57" s="263">
        <f>FR57+'User Input - Correlations'!BT57</f>
        <v>0</v>
      </c>
      <c r="BU57" s="263">
        <f>FS57+'User Input - Correlations'!BU57</f>
        <v>0</v>
      </c>
      <c r="BV57" s="263">
        <f>FT57+'User Input - Correlations'!BV57</f>
        <v>0</v>
      </c>
      <c r="BW57" s="263">
        <f>FU57+'User Input - Correlations'!BW57</f>
        <v>0</v>
      </c>
      <c r="BX57" s="263">
        <f>FV57+'User Input - Correlations'!BX57</f>
        <v>0</v>
      </c>
      <c r="BY57" s="263">
        <f>FW57+'User Input - Correlations'!BY57</f>
        <v>0</v>
      </c>
      <c r="BZ57" s="263">
        <f>FX57+'User Input - Correlations'!BZ57</f>
        <v>0</v>
      </c>
      <c r="CA57" s="263">
        <f>FY57+'User Input - Correlations'!CA57</f>
        <v>0</v>
      </c>
      <c r="CB57" s="263">
        <f>FZ57+'User Input - Correlations'!CB57</f>
        <v>0</v>
      </c>
      <c r="CC57" s="263">
        <f>GA57+'User Input - Correlations'!CC57</f>
        <v>0</v>
      </c>
      <c r="CD57" s="263">
        <f>GB57+'User Input - Correlations'!CD57</f>
        <v>0</v>
      </c>
      <c r="CE57" s="263">
        <f>GC57+'User Input - Correlations'!CE57</f>
        <v>0</v>
      </c>
      <c r="CF57" s="263">
        <f>GD57+'User Input - Correlations'!CF57</f>
        <v>0</v>
      </c>
      <c r="CG57" s="263">
        <f>GE57+'User Input - Correlations'!CG57</f>
        <v>0</v>
      </c>
      <c r="CH57" s="263">
        <f>GF57+'User Input - Correlations'!CH57</f>
        <v>0</v>
      </c>
      <c r="CI57" s="263">
        <f>GG57+'User Input - Correlations'!CI57</f>
        <v>0</v>
      </c>
      <c r="CJ57" s="263">
        <f>GH57+'User Input - Correlations'!CJ57</f>
        <v>0</v>
      </c>
      <c r="CK57" s="263">
        <f>GI57+'User Input - Correlations'!CK57</f>
        <v>0</v>
      </c>
      <c r="CL57" s="263">
        <f>GJ57+'User Input - Correlations'!CL57</f>
        <v>0</v>
      </c>
      <c r="CM57" s="263">
        <f>GK57+'User Input - Correlations'!CM57</f>
        <v>0</v>
      </c>
      <c r="CN57" s="263">
        <f>GL57+'User Input - Correlations'!CN57</f>
        <v>0</v>
      </c>
      <c r="CO57" s="263">
        <f>GM57+'User Input - Correlations'!CO57</f>
        <v>0</v>
      </c>
      <c r="CP57" s="264">
        <f>GN57+'User Input - Correlations'!CP57</f>
        <v>0</v>
      </c>
      <c r="CQ57" s="281">
        <f ca="1">MDETERM(OFFSET($C$11,0,0,ROWS($CQ$11:$CQ57),ROWS($CQ$11:$CQ57)))</f>
        <v>1</v>
      </c>
      <c r="DA57" s="263">
        <v>0</v>
      </c>
      <c r="DB57" s="263">
        <v>0</v>
      </c>
      <c r="DC57" s="263">
        <v>0</v>
      </c>
      <c r="DD57" s="263">
        <v>0</v>
      </c>
      <c r="DE57" s="263">
        <v>0</v>
      </c>
      <c r="DF57" s="263">
        <v>0</v>
      </c>
      <c r="DG57" s="263">
        <v>0</v>
      </c>
      <c r="DH57" s="263">
        <v>0</v>
      </c>
      <c r="DI57" s="263">
        <v>0</v>
      </c>
      <c r="DJ57" s="263">
        <v>0</v>
      </c>
      <c r="DK57" s="263">
        <v>0</v>
      </c>
      <c r="DL57" s="263">
        <v>0</v>
      </c>
      <c r="DM57" s="263">
        <v>0</v>
      </c>
      <c r="DN57" s="263">
        <v>0</v>
      </c>
      <c r="DO57" s="263">
        <v>0</v>
      </c>
      <c r="DP57" s="263">
        <v>0</v>
      </c>
      <c r="DQ57" s="263">
        <v>0</v>
      </c>
      <c r="DR57" s="263">
        <v>0</v>
      </c>
      <c r="DS57" s="263">
        <v>0</v>
      </c>
      <c r="DT57" s="263">
        <v>0</v>
      </c>
      <c r="DU57" s="263">
        <v>0</v>
      </c>
      <c r="DV57" s="263">
        <v>0</v>
      </c>
      <c r="DW57" s="263">
        <v>0</v>
      </c>
      <c r="DX57" s="263">
        <v>0</v>
      </c>
      <c r="DY57" s="263">
        <v>0</v>
      </c>
      <c r="DZ57" s="263">
        <v>0</v>
      </c>
      <c r="EA57" s="263">
        <v>0</v>
      </c>
      <c r="EB57" s="263">
        <v>0</v>
      </c>
      <c r="EC57" s="263">
        <v>0</v>
      </c>
      <c r="ED57" s="263">
        <v>0</v>
      </c>
      <c r="EE57" s="263">
        <v>0</v>
      </c>
      <c r="EF57" s="263">
        <v>0</v>
      </c>
      <c r="EG57" s="263">
        <v>0</v>
      </c>
      <c r="EH57" s="263">
        <v>0</v>
      </c>
      <c r="EI57" s="263">
        <v>0</v>
      </c>
      <c r="EJ57" s="263">
        <v>0</v>
      </c>
      <c r="EK57" s="263">
        <v>0</v>
      </c>
      <c r="EL57" s="263">
        <v>0</v>
      </c>
      <c r="EM57" s="263">
        <v>0</v>
      </c>
      <c r="EN57" s="263">
        <v>0</v>
      </c>
      <c r="EO57" s="263">
        <v>0</v>
      </c>
      <c r="EP57" s="263">
        <v>0</v>
      </c>
      <c r="EQ57" s="263">
        <v>0</v>
      </c>
      <c r="ER57" s="263">
        <v>0</v>
      </c>
      <c r="ES57" s="263">
        <v>0</v>
      </c>
      <c r="ET57" s="263">
        <v>0</v>
      </c>
      <c r="EU57" s="263">
        <v>1</v>
      </c>
      <c r="EV57" s="263">
        <v>0</v>
      </c>
      <c r="EW57" s="263">
        <v>0</v>
      </c>
      <c r="EX57" s="263">
        <v>0</v>
      </c>
      <c r="EY57" s="263">
        <v>0</v>
      </c>
      <c r="EZ57" s="263">
        <v>0</v>
      </c>
      <c r="FA57" s="263">
        <v>0</v>
      </c>
      <c r="FB57" s="263">
        <v>0</v>
      </c>
      <c r="FC57" s="263">
        <v>0</v>
      </c>
      <c r="FD57" s="263">
        <v>0</v>
      </c>
      <c r="FE57" s="263">
        <v>0</v>
      </c>
      <c r="FF57" s="263">
        <v>0</v>
      </c>
      <c r="FG57" s="263">
        <v>0</v>
      </c>
      <c r="FH57" s="263">
        <v>0</v>
      </c>
      <c r="FI57" s="263">
        <v>0</v>
      </c>
      <c r="FJ57" s="263">
        <v>0</v>
      </c>
      <c r="FK57" s="263">
        <v>0</v>
      </c>
      <c r="FL57" s="263">
        <v>0</v>
      </c>
      <c r="FM57" s="263">
        <v>0</v>
      </c>
      <c r="FN57" s="263">
        <v>0</v>
      </c>
      <c r="FO57" s="263">
        <v>0</v>
      </c>
      <c r="FP57" s="263">
        <v>0</v>
      </c>
      <c r="FQ57" s="263">
        <v>0</v>
      </c>
      <c r="FR57" s="263">
        <v>0</v>
      </c>
      <c r="FS57" s="263">
        <v>0</v>
      </c>
      <c r="FT57" s="263">
        <v>0</v>
      </c>
      <c r="FU57" s="263">
        <v>0</v>
      </c>
      <c r="FV57" s="263">
        <v>0</v>
      </c>
      <c r="FW57" s="263">
        <v>0</v>
      </c>
      <c r="FX57" s="263">
        <v>0</v>
      </c>
      <c r="FY57" s="263">
        <v>0</v>
      </c>
      <c r="FZ57" s="263">
        <v>0</v>
      </c>
      <c r="GA57" s="263">
        <v>0</v>
      </c>
      <c r="GB57" s="263">
        <v>0</v>
      </c>
      <c r="GC57" s="263">
        <v>0</v>
      </c>
      <c r="GD57" s="263">
        <v>0</v>
      </c>
      <c r="GE57" s="263">
        <v>0</v>
      </c>
      <c r="GF57" s="263">
        <v>0</v>
      </c>
      <c r="GG57" s="263">
        <v>0</v>
      </c>
      <c r="GH57" s="263">
        <v>0</v>
      </c>
      <c r="GI57" s="263">
        <v>0</v>
      </c>
      <c r="GJ57" s="263">
        <v>0</v>
      </c>
      <c r="GK57" s="263">
        <v>0</v>
      </c>
      <c r="GL57" s="263">
        <v>0</v>
      </c>
      <c r="GM57" s="263">
        <v>0</v>
      </c>
      <c r="GN57" s="263">
        <v>0</v>
      </c>
    </row>
    <row r="58" ht="12.75" customHeight="1">
      <c r="A58" s="286" t="s">
        <v>177</v>
      </c>
      <c r="B58" s="286" t="s">
        <v>86</v>
      </c>
      <c r="C58" s="263">
        <f>DA58+'User Input - Correlations'!C58</f>
        <v>0</v>
      </c>
      <c r="D58" s="263">
        <f>DB58+'User Input - Correlations'!D58</f>
        <v>0</v>
      </c>
      <c r="E58" s="263">
        <f>DC58+'User Input - Correlations'!E58</f>
        <v>0</v>
      </c>
      <c r="F58" s="263">
        <f>DD58+'User Input - Correlations'!F58</f>
        <v>0</v>
      </c>
      <c r="G58" s="263">
        <f>DE58+'User Input - Correlations'!G58</f>
        <v>0</v>
      </c>
      <c r="H58" s="263">
        <f>DF58+'User Input - Correlations'!H58</f>
        <v>0</v>
      </c>
      <c r="I58" s="263">
        <f>DG58+'User Input - Correlations'!I58</f>
        <v>0</v>
      </c>
      <c r="J58" s="263">
        <f>DH58+'User Input - Correlations'!J58</f>
        <v>0</v>
      </c>
      <c r="K58" s="263">
        <f>DI58+'User Input - Correlations'!K58</f>
        <v>0</v>
      </c>
      <c r="L58" s="263">
        <f>DJ58+'User Input - Correlations'!L58</f>
        <v>0</v>
      </c>
      <c r="M58" s="263">
        <f>DK58+'User Input - Correlations'!M58</f>
        <v>0</v>
      </c>
      <c r="N58" s="263">
        <f>DL58+'User Input - Correlations'!N58</f>
        <v>0</v>
      </c>
      <c r="O58" s="263">
        <f>DM58+'User Input - Correlations'!O58</f>
        <v>0</v>
      </c>
      <c r="P58" s="263">
        <f>DN58+'User Input - Correlations'!P58</f>
        <v>0</v>
      </c>
      <c r="Q58" s="263">
        <f>DO58+'User Input - Correlations'!Q58</f>
        <v>0</v>
      </c>
      <c r="R58" s="263">
        <f>DP58+'User Input - Correlations'!R58</f>
        <v>0</v>
      </c>
      <c r="S58" s="263">
        <f>DQ58+'User Input - Correlations'!S58</f>
        <v>0</v>
      </c>
      <c r="T58" s="263">
        <f>DR58+'User Input - Correlations'!T58</f>
        <v>0</v>
      </c>
      <c r="U58" s="263">
        <f>DS58+'User Input - Correlations'!U58</f>
        <v>0</v>
      </c>
      <c r="V58" s="263">
        <f>DT58+'User Input - Correlations'!V58</f>
        <v>0</v>
      </c>
      <c r="W58" s="263">
        <f>DU58+'User Input - Correlations'!W58</f>
        <v>0</v>
      </c>
      <c r="X58" s="263">
        <f>DV58+'User Input - Correlations'!X58</f>
        <v>0</v>
      </c>
      <c r="Y58" s="263">
        <f>DW58+'User Input - Correlations'!Y58</f>
        <v>0</v>
      </c>
      <c r="Z58" s="263">
        <f>DX58+'User Input - Correlations'!Z58</f>
        <v>0</v>
      </c>
      <c r="AA58" s="263">
        <f>DY58+'User Input - Correlations'!AA58</f>
        <v>0</v>
      </c>
      <c r="AB58" s="263">
        <f>DZ58+'User Input - Correlations'!AB58</f>
        <v>0</v>
      </c>
      <c r="AC58" s="263">
        <f>EA58+'User Input - Correlations'!AC58</f>
        <v>0</v>
      </c>
      <c r="AD58" s="263">
        <f>EB58+'User Input - Correlations'!AD58</f>
        <v>0</v>
      </c>
      <c r="AE58" s="263">
        <f>EC58+'User Input - Correlations'!AE58</f>
        <v>0</v>
      </c>
      <c r="AF58" s="263">
        <f>ED58+'User Input - Correlations'!AF58</f>
        <v>0</v>
      </c>
      <c r="AG58" s="263">
        <f>EE58+'User Input - Correlations'!AG58</f>
        <v>0</v>
      </c>
      <c r="AH58" s="263">
        <f>EF58+'User Input - Correlations'!AH58</f>
        <v>0</v>
      </c>
      <c r="AI58" s="263">
        <f>EG58+'User Input - Correlations'!AI58</f>
        <v>0</v>
      </c>
      <c r="AJ58" s="263">
        <f>EH58+'User Input - Correlations'!AJ58</f>
        <v>0</v>
      </c>
      <c r="AK58" s="263">
        <f>EI58+'User Input - Correlations'!AK58</f>
        <v>0</v>
      </c>
      <c r="AL58" s="263">
        <f>EJ58+'User Input - Correlations'!AL58</f>
        <v>0</v>
      </c>
      <c r="AM58" s="263">
        <f>EK58+'User Input - Correlations'!AM58</f>
        <v>0</v>
      </c>
      <c r="AN58" s="263">
        <f>EL58+'User Input - Correlations'!AN58</f>
        <v>0</v>
      </c>
      <c r="AO58" s="263">
        <f>EM58+'User Input - Correlations'!AO58</f>
        <v>0</v>
      </c>
      <c r="AP58" s="263">
        <f>EN58+'User Input - Correlations'!AP58</f>
        <v>0</v>
      </c>
      <c r="AQ58" s="263">
        <f>EO58+'User Input - Correlations'!AQ58</f>
        <v>0</v>
      </c>
      <c r="AR58" s="263">
        <f>EP58+'User Input - Correlations'!AR58</f>
        <v>0</v>
      </c>
      <c r="AS58" s="263">
        <f>EQ58+'User Input - Correlations'!AS58</f>
        <v>0</v>
      </c>
      <c r="AT58" s="263">
        <f>ER58+'User Input - Correlations'!AT58</f>
        <v>0</v>
      </c>
      <c r="AU58" s="263">
        <f>ES58+'User Input - Correlations'!AU58</f>
        <v>0</v>
      </c>
      <c r="AV58" s="263">
        <f>ET58+'User Input - Correlations'!AV58</f>
        <v>0</v>
      </c>
      <c r="AW58" s="263">
        <f>EU58+'User Input - Correlations'!AW58</f>
        <v>0</v>
      </c>
      <c r="AX58" s="263">
        <v>1</v>
      </c>
      <c r="AY58" s="263">
        <f>EW58+'User Input - Correlations'!AY58</f>
        <v>0</v>
      </c>
      <c r="AZ58" s="263">
        <f>EX58+'User Input - Correlations'!AZ58</f>
        <v>0</v>
      </c>
      <c r="BA58" s="263">
        <f>EY58+'User Input - Correlations'!BA58</f>
        <v>0</v>
      </c>
      <c r="BB58" s="263">
        <f>EZ58+'User Input - Correlations'!BB58</f>
        <v>0</v>
      </c>
      <c r="BC58" s="263">
        <f>FA58+'User Input - Correlations'!BC58</f>
        <v>0</v>
      </c>
      <c r="BD58" s="263">
        <f>FB58+'User Input - Correlations'!BD58</f>
        <v>0</v>
      </c>
      <c r="BE58" s="263">
        <f>FC58+'User Input - Correlations'!BE58</f>
        <v>0</v>
      </c>
      <c r="BF58" s="263">
        <f>FD58+'User Input - Correlations'!BF58</f>
        <v>0</v>
      </c>
      <c r="BG58" s="263">
        <f>FE58+'User Input - Correlations'!BG58</f>
        <v>0</v>
      </c>
      <c r="BH58" s="263">
        <f>FF58+'User Input - Correlations'!BH58</f>
        <v>0</v>
      </c>
      <c r="BI58" s="263">
        <f>FG58+'User Input - Correlations'!BI58</f>
        <v>0</v>
      </c>
      <c r="BJ58" s="263">
        <f>FH58+'User Input - Correlations'!BJ58</f>
        <v>0</v>
      </c>
      <c r="BK58" s="263">
        <f>FI58+'User Input - Correlations'!BK58</f>
        <v>0</v>
      </c>
      <c r="BL58" s="263">
        <f>FJ58+'User Input - Correlations'!BL58</f>
        <v>0</v>
      </c>
      <c r="BM58" s="263">
        <f>FK58+'User Input - Correlations'!BM58</f>
        <v>0</v>
      </c>
      <c r="BN58" s="263">
        <f>FL58+'User Input - Correlations'!BN58</f>
        <v>0</v>
      </c>
      <c r="BO58" s="263">
        <f>FM58+'User Input - Correlations'!BO58</f>
        <v>0</v>
      </c>
      <c r="BP58" s="263">
        <f>FN58+'User Input - Correlations'!BP58</f>
        <v>0</v>
      </c>
      <c r="BQ58" s="263">
        <f>FO58+'User Input - Correlations'!BQ58</f>
        <v>0</v>
      </c>
      <c r="BR58" s="263">
        <f>FP58+'User Input - Correlations'!BR58</f>
        <v>0</v>
      </c>
      <c r="BS58" s="263">
        <f>FQ58+'User Input - Correlations'!BS58</f>
        <v>0</v>
      </c>
      <c r="BT58" s="263">
        <f>FR58+'User Input - Correlations'!BT58</f>
        <v>0</v>
      </c>
      <c r="BU58" s="263">
        <f>FS58+'User Input - Correlations'!BU58</f>
        <v>0</v>
      </c>
      <c r="BV58" s="263">
        <f>FT58+'User Input - Correlations'!BV58</f>
        <v>0</v>
      </c>
      <c r="BW58" s="263">
        <f>FU58+'User Input - Correlations'!BW58</f>
        <v>0</v>
      </c>
      <c r="BX58" s="263">
        <f>FV58+'User Input - Correlations'!BX58</f>
        <v>0</v>
      </c>
      <c r="BY58" s="263">
        <f>FW58+'User Input - Correlations'!BY58</f>
        <v>0</v>
      </c>
      <c r="BZ58" s="263">
        <f>FX58+'User Input - Correlations'!BZ58</f>
        <v>0</v>
      </c>
      <c r="CA58" s="263">
        <f>FY58+'User Input - Correlations'!CA58</f>
        <v>0</v>
      </c>
      <c r="CB58" s="263">
        <f>FZ58+'User Input - Correlations'!CB58</f>
        <v>0</v>
      </c>
      <c r="CC58" s="263">
        <f>GA58+'User Input - Correlations'!CC58</f>
        <v>0</v>
      </c>
      <c r="CD58" s="263">
        <f>GB58+'User Input - Correlations'!CD58</f>
        <v>0</v>
      </c>
      <c r="CE58" s="263">
        <f>GC58+'User Input - Correlations'!CE58</f>
        <v>0</v>
      </c>
      <c r="CF58" s="263">
        <f>GD58+'User Input - Correlations'!CF58</f>
        <v>0</v>
      </c>
      <c r="CG58" s="263">
        <f>GE58+'User Input - Correlations'!CG58</f>
        <v>0</v>
      </c>
      <c r="CH58" s="263">
        <f>GF58+'User Input - Correlations'!CH58</f>
        <v>0</v>
      </c>
      <c r="CI58" s="263">
        <f>GG58+'User Input - Correlations'!CI58</f>
        <v>0</v>
      </c>
      <c r="CJ58" s="263">
        <f>GH58+'User Input - Correlations'!CJ58</f>
        <v>0</v>
      </c>
      <c r="CK58" s="263">
        <f>GI58+'User Input - Correlations'!CK58</f>
        <v>0</v>
      </c>
      <c r="CL58" s="263">
        <f>GJ58+'User Input - Correlations'!CL58</f>
        <v>0</v>
      </c>
      <c r="CM58" s="263">
        <f>GK58+'User Input - Correlations'!CM58</f>
        <v>0</v>
      </c>
      <c r="CN58" s="263">
        <f>GL58+'User Input - Correlations'!CN58</f>
        <v>0</v>
      </c>
      <c r="CO58" s="263">
        <f>GM58+'User Input - Correlations'!CO58</f>
        <v>0</v>
      </c>
      <c r="CP58" s="264">
        <f>GN58+'User Input - Correlations'!CP58</f>
        <v>0</v>
      </c>
      <c r="CQ58" s="281">
        <f ca="1">MDETERM(OFFSET($C$11,0,0,ROWS($CQ$11:$CQ58),ROWS($CQ$11:$CQ58)))</f>
        <v>1</v>
      </c>
      <c r="DA58" s="263">
        <v>0</v>
      </c>
      <c r="DB58" s="263">
        <v>0</v>
      </c>
      <c r="DC58" s="263">
        <v>0</v>
      </c>
      <c r="DD58" s="263">
        <v>0</v>
      </c>
      <c r="DE58" s="263">
        <v>0</v>
      </c>
      <c r="DF58" s="263">
        <v>0</v>
      </c>
      <c r="DG58" s="263">
        <v>0</v>
      </c>
      <c r="DH58" s="263">
        <v>0</v>
      </c>
      <c r="DI58" s="263">
        <v>0</v>
      </c>
      <c r="DJ58" s="263">
        <v>0</v>
      </c>
      <c r="DK58" s="263">
        <v>0</v>
      </c>
      <c r="DL58" s="263">
        <v>0</v>
      </c>
      <c r="DM58" s="263">
        <v>0</v>
      </c>
      <c r="DN58" s="263">
        <v>0</v>
      </c>
      <c r="DO58" s="263">
        <v>0</v>
      </c>
      <c r="DP58" s="263">
        <v>0</v>
      </c>
      <c r="DQ58" s="263">
        <v>0</v>
      </c>
      <c r="DR58" s="263">
        <v>0</v>
      </c>
      <c r="DS58" s="263">
        <v>0</v>
      </c>
      <c r="DT58" s="263">
        <v>0</v>
      </c>
      <c r="DU58" s="263">
        <v>0</v>
      </c>
      <c r="DV58" s="263">
        <v>0</v>
      </c>
      <c r="DW58" s="263">
        <v>0</v>
      </c>
      <c r="DX58" s="263">
        <v>0</v>
      </c>
      <c r="DY58" s="263">
        <v>0</v>
      </c>
      <c r="DZ58" s="263">
        <v>0</v>
      </c>
      <c r="EA58" s="263">
        <v>0</v>
      </c>
      <c r="EB58" s="263">
        <v>0</v>
      </c>
      <c r="EC58" s="263">
        <v>0</v>
      </c>
      <c r="ED58" s="263">
        <v>0</v>
      </c>
      <c r="EE58" s="263">
        <v>0</v>
      </c>
      <c r="EF58" s="263">
        <v>0</v>
      </c>
      <c r="EG58" s="263">
        <v>0</v>
      </c>
      <c r="EH58" s="263">
        <v>0</v>
      </c>
      <c r="EI58" s="263">
        <v>0</v>
      </c>
      <c r="EJ58" s="263">
        <v>0</v>
      </c>
      <c r="EK58" s="263">
        <v>0</v>
      </c>
      <c r="EL58" s="263">
        <v>0</v>
      </c>
      <c r="EM58" s="263">
        <v>0</v>
      </c>
      <c r="EN58" s="263">
        <v>0</v>
      </c>
      <c r="EO58" s="263">
        <v>0</v>
      </c>
      <c r="EP58" s="263">
        <v>0</v>
      </c>
      <c r="EQ58" s="263">
        <v>0</v>
      </c>
      <c r="ER58" s="263">
        <v>0</v>
      </c>
      <c r="ES58" s="263">
        <v>0</v>
      </c>
      <c r="ET58" s="263">
        <v>0</v>
      </c>
      <c r="EU58" s="263">
        <v>0</v>
      </c>
      <c r="EV58" s="263">
        <v>1</v>
      </c>
      <c r="EW58" s="263">
        <v>0</v>
      </c>
      <c r="EX58" s="263">
        <v>0</v>
      </c>
      <c r="EY58" s="263">
        <v>0</v>
      </c>
      <c r="EZ58" s="263">
        <v>0</v>
      </c>
      <c r="FA58" s="263">
        <v>0</v>
      </c>
      <c r="FB58" s="263">
        <v>0</v>
      </c>
      <c r="FC58" s="263">
        <v>0</v>
      </c>
      <c r="FD58" s="263">
        <v>0</v>
      </c>
      <c r="FE58" s="263">
        <v>0</v>
      </c>
      <c r="FF58" s="263">
        <v>0</v>
      </c>
      <c r="FG58" s="263">
        <v>0</v>
      </c>
      <c r="FH58" s="263">
        <v>0</v>
      </c>
      <c r="FI58" s="263">
        <v>0</v>
      </c>
      <c r="FJ58" s="263">
        <v>0</v>
      </c>
      <c r="FK58" s="263">
        <v>0</v>
      </c>
      <c r="FL58" s="263">
        <v>0</v>
      </c>
      <c r="FM58" s="263">
        <v>0</v>
      </c>
      <c r="FN58" s="263">
        <v>0</v>
      </c>
      <c r="FO58" s="263">
        <v>0</v>
      </c>
      <c r="FP58" s="263">
        <v>0</v>
      </c>
      <c r="FQ58" s="263">
        <v>0</v>
      </c>
      <c r="FR58" s="263">
        <v>0</v>
      </c>
      <c r="FS58" s="263">
        <v>0</v>
      </c>
      <c r="FT58" s="263">
        <v>0</v>
      </c>
      <c r="FU58" s="263">
        <v>0</v>
      </c>
      <c r="FV58" s="263">
        <v>0</v>
      </c>
      <c r="FW58" s="263">
        <v>0</v>
      </c>
      <c r="FX58" s="263">
        <v>0</v>
      </c>
      <c r="FY58" s="263">
        <v>0</v>
      </c>
      <c r="FZ58" s="263">
        <v>0</v>
      </c>
      <c r="GA58" s="263">
        <v>0</v>
      </c>
      <c r="GB58" s="263">
        <v>0</v>
      </c>
      <c r="GC58" s="263">
        <v>0</v>
      </c>
      <c r="GD58" s="263">
        <v>0</v>
      </c>
      <c r="GE58" s="263">
        <v>0</v>
      </c>
      <c r="GF58" s="263">
        <v>0</v>
      </c>
      <c r="GG58" s="263">
        <v>0</v>
      </c>
      <c r="GH58" s="263">
        <v>0</v>
      </c>
      <c r="GI58" s="263">
        <v>0</v>
      </c>
      <c r="GJ58" s="263">
        <v>0</v>
      </c>
      <c r="GK58" s="263">
        <v>0</v>
      </c>
      <c r="GL58" s="263">
        <v>0</v>
      </c>
      <c r="GM58" s="263">
        <v>0</v>
      </c>
      <c r="GN58" s="263">
        <v>0</v>
      </c>
    </row>
    <row r="59" ht="12.75" customHeight="1">
      <c r="A59" s="286" t="s">
        <v>179</v>
      </c>
      <c r="B59" s="286" t="s">
        <v>86</v>
      </c>
      <c r="C59" s="263">
        <f>DA59+'User Input - Correlations'!C59</f>
        <v>0</v>
      </c>
      <c r="D59" s="263">
        <f>DB59+'User Input - Correlations'!D59</f>
        <v>0</v>
      </c>
      <c r="E59" s="263">
        <f>DC59+'User Input - Correlations'!E59</f>
        <v>0</v>
      </c>
      <c r="F59" s="263">
        <f>DD59+'User Input - Correlations'!F59</f>
        <v>0</v>
      </c>
      <c r="G59" s="263">
        <f>DE59+'User Input - Correlations'!G59</f>
        <v>0</v>
      </c>
      <c r="H59" s="263">
        <f>DF59+'User Input - Correlations'!H59</f>
        <v>0</v>
      </c>
      <c r="I59" s="263">
        <f>DG59+'User Input - Correlations'!I59</f>
        <v>0</v>
      </c>
      <c r="J59" s="263">
        <f>DH59+'User Input - Correlations'!J59</f>
        <v>0</v>
      </c>
      <c r="K59" s="263">
        <f>DI59+'User Input - Correlations'!K59</f>
        <v>0</v>
      </c>
      <c r="L59" s="263">
        <f>DJ59+'User Input - Correlations'!L59</f>
        <v>0</v>
      </c>
      <c r="M59" s="263">
        <f>DK59+'User Input - Correlations'!M59</f>
        <v>0</v>
      </c>
      <c r="N59" s="263">
        <f>DL59+'User Input - Correlations'!N59</f>
        <v>0</v>
      </c>
      <c r="O59" s="263">
        <f>DM59+'User Input - Correlations'!O59</f>
        <v>0</v>
      </c>
      <c r="P59" s="263">
        <f>DN59+'User Input - Correlations'!P59</f>
        <v>0</v>
      </c>
      <c r="Q59" s="263">
        <f>DO59+'User Input - Correlations'!Q59</f>
        <v>0</v>
      </c>
      <c r="R59" s="263">
        <f>DP59+'User Input - Correlations'!R59</f>
        <v>0</v>
      </c>
      <c r="S59" s="263">
        <f>DQ59+'User Input - Correlations'!S59</f>
        <v>0</v>
      </c>
      <c r="T59" s="263">
        <f>DR59+'User Input - Correlations'!T59</f>
        <v>0</v>
      </c>
      <c r="U59" s="263">
        <f>DS59+'User Input - Correlations'!U59</f>
        <v>0</v>
      </c>
      <c r="V59" s="263">
        <f>DT59+'User Input - Correlations'!V59</f>
        <v>0</v>
      </c>
      <c r="W59" s="263">
        <f>DU59+'User Input - Correlations'!W59</f>
        <v>0</v>
      </c>
      <c r="X59" s="263">
        <f>DV59+'User Input - Correlations'!X59</f>
        <v>0</v>
      </c>
      <c r="Y59" s="263">
        <f>DW59+'User Input - Correlations'!Y59</f>
        <v>0</v>
      </c>
      <c r="Z59" s="263">
        <f>DX59+'User Input - Correlations'!Z59</f>
        <v>0</v>
      </c>
      <c r="AA59" s="263">
        <f>DY59+'User Input - Correlations'!AA59</f>
        <v>0</v>
      </c>
      <c r="AB59" s="263">
        <f>DZ59+'User Input - Correlations'!AB59</f>
        <v>0</v>
      </c>
      <c r="AC59" s="263">
        <f>EA59+'User Input - Correlations'!AC59</f>
        <v>0</v>
      </c>
      <c r="AD59" s="263">
        <f>EB59+'User Input - Correlations'!AD59</f>
        <v>0</v>
      </c>
      <c r="AE59" s="263">
        <f>EC59+'User Input - Correlations'!AE59</f>
        <v>0</v>
      </c>
      <c r="AF59" s="263">
        <f>ED59+'User Input - Correlations'!AF59</f>
        <v>0</v>
      </c>
      <c r="AG59" s="263">
        <f>EE59+'User Input - Correlations'!AG59</f>
        <v>0</v>
      </c>
      <c r="AH59" s="263">
        <f>EF59+'User Input - Correlations'!AH59</f>
        <v>0</v>
      </c>
      <c r="AI59" s="263">
        <f>EG59+'User Input - Correlations'!AI59</f>
        <v>0</v>
      </c>
      <c r="AJ59" s="263">
        <f>EH59+'User Input - Correlations'!AJ59</f>
        <v>0</v>
      </c>
      <c r="AK59" s="263">
        <f>EI59+'User Input - Correlations'!AK59</f>
        <v>0</v>
      </c>
      <c r="AL59" s="263">
        <f>EJ59+'User Input - Correlations'!AL59</f>
        <v>0</v>
      </c>
      <c r="AM59" s="263">
        <f>EK59+'User Input - Correlations'!AM59</f>
        <v>0</v>
      </c>
      <c r="AN59" s="263">
        <f>EL59+'User Input - Correlations'!AN59</f>
        <v>0</v>
      </c>
      <c r="AO59" s="263">
        <f>EM59+'User Input - Correlations'!AO59</f>
        <v>0</v>
      </c>
      <c r="AP59" s="263">
        <f>EN59+'User Input - Correlations'!AP59</f>
        <v>0</v>
      </c>
      <c r="AQ59" s="263">
        <f>EO59+'User Input - Correlations'!AQ59</f>
        <v>0</v>
      </c>
      <c r="AR59" s="263">
        <f>EP59+'User Input - Correlations'!AR59</f>
        <v>0</v>
      </c>
      <c r="AS59" s="263">
        <f>EQ59+'User Input - Correlations'!AS59</f>
        <v>0</v>
      </c>
      <c r="AT59" s="263">
        <f>ER59+'User Input - Correlations'!AT59</f>
        <v>0</v>
      </c>
      <c r="AU59" s="263">
        <f>ES59+'User Input - Correlations'!AU59</f>
        <v>0</v>
      </c>
      <c r="AV59" s="263">
        <f>ET59+'User Input - Correlations'!AV59</f>
        <v>0</v>
      </c>
      <c r="AW59" s="263">
        <f>EU59+'User Input - Correlations'!AW59</f>
        <v>0</v>
      </c>
      <c r="AX59" s="263">
        <f>EV59+'User Input - Correlations'!AX59</f>
        <v>0</v>
      </c>
      <c r="AY59" s="263">
        <v>1</v>
      </c>
      <c r="AZ59" s="263">
        <f>EX59+'User Input - Correlations'!AZ59</f>
        <v>0</v>
      </c>
      <c r="BA59" s="263">
        <f>EY59+'User Input - Correlations'!BA59</f>
        <v>0</v>
      </c>
      <c r="BB59" s="263">
        <f>EZ59+'User Input - Correlations'!BB59</f>
        <v>0</v>
      </c>
      <c r="BC59" s="263">
        <f>FA59+'User Input - Correlations'!BC59</f>
        <v>0</v>
      </c>
      <c r="BD59" s="263">
        <f>FB59+'User Input - Correlations'!BD59</f>
        <v>0</v>
      </c>
      <c r="BE59" s="263">
        <f>FC59+'User Input - Correlations'!BE59</f>
        <v>0</v>
      </c>
      <c r="BF59" s="263">
        <f>FD59+'User Input - Correlations'!BF59</f>
        <v>0</v>
      </c>
      <c r="BG59" s="263">
        <f>FE59+'User Input - Correlations'!BG59</f>
        <v>0</v>
      </c>
      <c r="BH59" s="263">
        <f>FF59+'User Input - Correlations'!BH59</f>
        <v>0</v>
      </c>
      <c r="BI59" s="263">
        <f>FG59+'User Input - Correlations'!BI59</f>
        <v>0</v>
      </c>
      <c r="BJ59" s="263">
        <f>FH59+'User Input - Correlations'!BJ59</f>
        <v>0</v>
      </c>
      <c r="BK59" s="263">
        <f>FI59+'User Input - Correlations'!BK59</f>
        <v>0</v>
      </c>
      <c r="BL59" s="263">
        <f>FJ59+'User Input - Correlations'!BL59</f>
        <v>0</v>
      </c>
      <c r="BM59" s="263">
        <f>FK59+'User Input - Correlations'!BM59</f>
        <v>0</v>
      </c>
      <c r="BN59" s="263">
        <f>FL59+'User Input - Correlations'!BN59</f>
        <v>0</v>
      </c>
      <c r="BO59" s="263">
        <f>FM59+'User Input - Correlations'!BO59</f>
        <v>0</v>
      </c>
      <c r="BP59" s="263">
        <f>FN59+'User Input - Correlations'!BP59</f>
        <v>0</v>
      </c>
      <c r="BQ59" s="263">
        <f>FO59+'User Input - Correlations'!BQ59</f>
        <v>0</v>
      </c>
      <c r="BR59" s="263">
        <f>FP59+'User Input - Correlations'!BR59</f>
        <v>0</v>
      </c>
      <c r="BS59" s="263">
        <f>FQ59+'User Input - Correlations'!BS59</f>
        <v>0</v>
      </c>
      <c r="BT59" s="263">
        <f>FR59+'User Input - Correlations'!BT59</f>
        <v>0</v>
      </c>
      <c r="BU59" s="263">
        <f>FS59+'User Input - Correlations'!BU59</f>
        <v>0</v>
      </c>
      <c r="BV59" s="263">
        <f>FT59+'User Input - Correlations'!BV59</f>
        <v>0</v>
      </c>
      <c r="BW59" s="263">
        <f>FU59+'User Input - Correlations'!BW59</f>
        <v>0</v>
      </c>
      <c r="BX59" s="263">
        <f>FV59+'User Input - Correlations'!BX59</f>
        <v>0</v>
      </c>
      <c r="BY59" s="263">
        <f>FW59+'User Input - Correlations'!BY59</f>
        <v>0</v>
      </c>
      <c r="BZ59" s="263">
        <f>FX59+'User Input - Correlations'!BZ59</f>
        <v>0</v>
      </c>
      <c r="CA59" s="263">
        <f>FY59+'User Input - Correlations'!CA59</f>
        <v>0</v>
      </c>
      <c r="CB59" s="263">
        <f>FZ59+'User Input - Correlations'!CB59</f>
        <v>0</v>
      </c>
      <c r="CC59" s="263">
        <f>GA59+'User Input - Correlations'!CC59</f>
        <v>0</v>
      </c>
      <c r="CD59" s="263">
        <f>GB59+'User Input - Correlations'!CD59</f>
        <v>0</v>
      </c>
      <c r="CE59" s="263">
        <f>GC59+'User Input - Correlations'!CE59</f>
        <v>0</v>
      </c>
      <c r="CF59" s="263">
        <f>GD59+'User Input - Correlations'!CF59</f>
        <v>0</v>
      </c>
      <c r="CG59" s="263">
        <f>GE59+'User Input - Correlations'!CG59</f>
        <v>0</v>
      </c>
      <c r="CH59" s="263">
        <f>GF59+'User Input - Correlations'!CH59</f>
        <v>0</v>
      </c>
      <c r="CI59" s="263">
        <f>GG59+'User Input - Correlations'!CI59</f>
        <v>0</v>
      </c>
      <c r="CJ59" s="263">
        <f>GH59+'User Input - Correlations'!CJ59</f>
        <v>0</v>
      </c>
      <c r="CK59" s="263">
        <f>GI59+'User Input - Correlations'!CK59</f>
        <v>0</v>
      </c>
      <c r="CL59" s="263">
        <f>GJ59+'User Input - Correlations'!CL59</f>
        <v>0</v>
      </c>
      <c r="CM59" s="263">
        <f>GK59+'User Input - Correlations'!CM59</f>
        <v>0</v>
      </c>
      <c r="CN59" s="263">
        <f>GL59+'User Input - Correlations'!CN59</f>
        <v>0</v>
      </c>
      <c r="CO59" s="263">
        <f>GM59+'User Input - Correlations'!CO59</f>
        <v>0</v>
      </c>
      <c r="CP59" s="264">
        <f>GN59+'User Input - Correlations'!CP59</f>
        <v>0</v>
      </c>
      <c r="CQ59" s="281">
        <f ca="1">MDETERM(OFFSET($C$11,0,0,ROWS($CQ$11:$CQ59),ROWS($CQ$11:$CQ59)))</f>
        <v>1</v>
      </c>
      <c r="DA59" s="263">
        <v>0</v>
      </c>
      <c r="DB59" s="263">
        <v>0</v>
      </c>
      <c r="DC59" s="263">
        <v>0</v>
      </c>
      <c r="DD59" s="263">
        <v>0</v>
      </c>
      <c r="DE59" s="263">
        <v>0</v>
      </c>
      <c r="DF59" s="263">
        <v>0</v>
      </c>
      <c r="DG59" s="263">
        <v>0</v>
      </c>
      <c r="DH59" s="263">
        <v>0</v>
      </c>
      <c r="DI59" s="263">
        <v>0</v>
      </c>
      <c r="DJ59" s="263">
        <v>0</v>
      </c>
      <c r="DK59" s="263">
        <v>0</v>
      </c>
      <c r="DL59" s="263">
        <v>0</v>
      </c>
      <c r="DM59" s="263">
        <v>0</v>
      </c>
      <c r="DN59" s="263">
        <v>0</v>
      </c>
      <c r="DO59" s="263">
        <v>0</v>
      </c>
      <c r="DP59" s="263">
        <v>0</v>
      </c>
      <c r="DQ59" s="263">
        <v>0</v>
      </c>
      <c r="DR59" s="263">
        <v>0</v>
      </c>
      <c r="DS59" s="263">
        <v>0</v>
      </c>
      <c r="DT59" s="263">
        <v>0</v>
      </c>
      <c r="DU59" s="263">
        <v>0</v>
      </c>
      <c r="DV59" s="263">
        <v>0</v>
      </c>
      <c r="DW59" s="263">
        <v>0</v>
      </c>
      <c r="DX59" s="263">
        <v>0</v>
      </c>
      <c r="DY59" s="263">
        <v>0</v>
      </c>
      <c r="DZ59" s="263">
        <v>0</v>
      </c>
      <c r="EA59" s="263">
        <v>0</v>
      </c>
      <c r="EB59" s="263">
        <v>0</v>
      </c>
      <c r="EC59" s="263">
        <v>0</v>
      </c>
      <c r="ED59" s="263">
        <v>0</v>
      </c>
      <c r="EE59" s="263">
        <v>0</v>
      </c>
      <c r="EF59" s="263">
        <v>0</v>
      </c>
      <c r="EG59" s="263">
        <v>0</v>
      </c>
      <c r="EH59" s="263">
        <v>0</v>
      </c>
      <c r="EI59" s="263">
        <v>0</v>
      </c>
      <c r="EJ59" s="263">
        <v>0</v>
      </c>
      <c r="EK59" s="263">
        <v>0</v>
      </c>
      <c r="EL59" s="263">
        <v>0</v>
      </c>
      <c r="EM59" s="263">
        <v>0</v>
      </c>
      <c r="EN59" s="263">
        <v>0</v>
      </c>
      <c r="EO59" s="263">
        <v>0</v>
      </c>
      <c r="EP59" s="263">
        <v>0</v>
      </c>
      <c r="EQ59" s="263">
        <v>0</v>
      </c>
      <c r="ER59" s="263">
        <v>0</v>
      </c>
      <c r="ES59" s="263">
        <v>0</v>
      </c>
      <c r="ET59" s="263">
        <v>0</v>
      </c>
      <c r="EU59" s="263">
        <v>0</v>
      </c>
      <c r="EV59" s="263">
        <v>0</v>
      </c>
      <c r="EW59" s="263">
        <v>1</v>
      </c>
      <c r="EX59" s="263">
        <v>0</v>
      </c>
      <c r="EY59" s="263">
        <v>0</v>
      </c>
      <c r="EZ59" s="263">
        <v>0</v>
      </c>
      <c r="FA59" s="263">
        <v>0</v>
      </c>
      <c r="FB59" s="263">
        <v>0</v>
      </c>
      <c r="FC59" s="263">
        <v>0</v>
      </c>
      <c r="FD59" s="263">
        <v>0</v>
      </c>
      <c r="FE59" s="263">
        <v>0</v>
      </c>
      <c r="FF59" s="263">
        <v>0</v>
      </c>
      <c r="FG59" s="263">
        <v>0</v>
      </c>
      <c r="FH59" s="263">
        <v>0</v>
      </c>
      <c r="FI59" s="263">
        <v>0</v>
      </c>
      <c r="FJ59" s="263">
        <v>0</v>
      </c>
      <c r="FK59" s="263">
        <v>0</v>
      </c>
      <c r="FL59" s="263">
        <v>0</v>
      </c>
      <c r="FM59" s="263">
        <v>0</v>
      </c>
      <c r="FN59" s="263">
        <v>0</v>
      </c>
      <c r="FO59" s="263">
        <v>0</v>
      </c>
      <c r="FP59" s="263">
        <v>0</v>
      </c>
      <c r="FQ59" s="263">
        <v>0</v>
      </c>
      <c r="FR59" s="263">
        <v>0</v>
      </c>
      <c r="FS59" s="263">
        <v>0</v>
      </c>
      <c r="FT59" s="263">
        <v>0</v>
      </c>
      <c r="FU59" s="263">
        <v>0</v>
      </c>
      <c r="FV59" s="263">
        <v>0</v>
      </c>
      <c r="FW59" s="263">
        <v>0</v>
      </c>
      <c r="FX59" s="263">
        <v>0</v>
      </c>
      <c r="FY59" s="263">
        <v>0</v>
      </c>
      <c r="FZ59" s="263">
        <v>0</v>
      </c>
      <c r="GA59" s="263">
        <v>0</v>
      </c>
      <c r="GB59" s="263">
        <v>0</v>
      </c>
      <c r="GC59" s="263">
        <v>0</v>
      </c>
      <c r="GD59" s="263">
        <v>0</v>
      </c>
      <c r="GE59" s="263">
        <v>0</v>
      </c>
      <c r="GF59" s="263">
        <v>0</v>
      </c>
      <c r="GG59" s="263">
        <v>0</v>
      </c>
      <c r="GH59" s="263">
        <v>0</v>
      </c>
      <c r="GI59" s="263">
        <v>0</v>
      </c>
      <c r="GJ59" s="263">
        <v>0</v>
      </c>
      <c r="GK59" s="263">
        <v>0</v>
      </c>
      <c r="GL59" s="263">
        <v>0</v>
      </c>
      <c r="GM59" s="263">
        <v>0</v>
      </c>
      <c r="GN59" s="263">
        <v>0</v>
      </c>
    </row>
    <row r="60" ht="12.75" customHeight="1">
      <c r="A60" s="286" t="s">
        <v>189</v>
      </c>
      <c r="B60" s="286" t="s">
        <v>86</v>
      </c>
      <c r="C60" s="263">
        <f>DA60+'User Input - Correlations'!C60</f>
        <v>0</v>
      </c>
      <c r="D60" s="263">
        <f>DB60+'User Input - Correlations'!D60</f>
        <v>0</v>
      </c>
      <c r="E60" s="263">
        <f>DC60+'User Input - Correlations'!E60</f>
        <v>0</v>
      </c>
      <c r="F60" s="263">
        <f>DD60+'User Input - Correlations'!F60</f>
        <v>0</v>
      </c>
      <c r="G60" s="263">
        <f>DE60+'User Input - Correlations'!G60</f>
        <v>0</v>
      </c>
      <c r="H60" s="263">
        <f>DF60+'User Input - Correlations'!H60</f>
        <v>0</v>
      </c>
      <c r="I60" s="263">
        <f>DG60+'User Input - Correlations'!I60</f>
        <v>0</v>
      </c>
      <c r="J60" s="263">
        <f>DH60+'User Input - Correlations'!J60</f>
        <v>0</v>
      </c>
      <c r="K60" s="263">
        <f>DI60+'User Input - Correlations'!K60</f>
        <v>0</v>
      </c>
      <c r="L60" s="263">
        <f>DJ60+'User Input - Correlations'!L60</f>
        <v>0</v>
      </c>
      <c r="M60" s="263">
        <f>DK60+'User Input - Correlations'!M60</f>
        <v>0</v>
      </c>
      <c r="N60" s="263">
        <f>DL60+'User Input - Correlations'!N60</f>
        <v>0</v>
      </c>
      <c r="O60" s="263">
        <f>DM60+'User Input - Correlations'!O60</f>
        <v>0</v>
      </c>
      <c r="P60" s="263">
        <f>DN60+'User Input - Correlations'!P60</f>
        <v>0</v>
      </c>
      <c r="Q60" s="263">
        <f>DO60+'User Input - Correlations'!Q60</f>
        <v>0</v>
      </c>
      <c r="R60" s="263">
        <f>DP60+'User Input - Correlations'!R60</f>
        <v>0</v>
      </c>
      <c r="S60" s="263">
        <f>DQ60+'User Input - Correlations'!S60</f>
        <v>0</v>
      </c>
      <c r="T60" s="263">
        <f>DR60+'User Input - Correlations'!T60</f>
        <v>0</v>
      </c>
      <c r="U60" s="263">
        <f>DS60+'User Input - Correlations'!U60</f>
        <v>0</v>
      </c>
      <c r="V60" s="263">
        <f>DT60+'User Input - Correlations'!V60</f>
        <v>0</v>
      </c>
      <c r="W60" s="263">
        <f>DU60+'User Input - Correlations'!W60</f>
        <v>0</v>
      </c>
      <c r="X60" s="263">
        <f>DV60+'User Input - Correlations'!X60</f>
        <v>0</v>
      </c>
      <c r="Y60" s="263">
        <f>DW60+'User Input - Correlations'!Y60</f>
        <v>0</v>
      </c>
      <c r="Z60" s="263">
        <f>DX60+'User Input - Correlations'!Z60</f>
        <v>0</v>
      </c>
      <c r="AA60" s="263">
        <f>DY60+'User Input - Correlations'!AA60</f>
        <v>0</v>
      </c>
      <c r="AB60" s="263">
        <f>DZ60+'User Input - Correlations'!AB60</f>
        <v>0</v>
      </c>
      <c r="AC60" s="263">
        <f>EA60+'User Input - Correlations'!AC60</f>
        <v>0</v>
      </c>
      <c r="AD60" s="263">
        <f>EB60+'User Input - Correlations'!AD60</f>
        <v>0</v>
      </c>
      <c r="AE60" s="263">
        <f>EC60+'User Input - Correlations'!AE60</f>
        <v>0</v>
      </c>
      <c r="AF60" s="263">
        <f>ED60+'User Input - Correlations'!AF60</f>
        <v>0</v>
      </c>
      <c r="AG60" s="263">
        <f>EE60+'User Input - Correlations'!AG60</f>
        <v>0</v>
      </c>
      <c r="AH60" s="263">
        <f>EF60+'User Input - Correlations'!AH60</f>
        <v>0</v>
      </c>
      <c r="AI60" s="263">
        <f>EG60+'User Input - Correlations'!AI60</f>
        <v>0</v>
      </c>
      <c r="AJ60" s="263">
        <f>EH60+'User Input - Correlations'!AJ60</f>
        <v>0</v>
      </c>
      <c r="AK60" s="263">
        <f>EI60+'User Input - Correlations'!AK60</f>
        <v>0</v>
      </c>
      <c r="AL60" s="263">
        <f>EJ60+'User Input - Correlations'!AL60</f>
        <v>0</v>
      </c>
      <c r="AM60" s="263">
        <f>EK60+'User Input - Correlations'!AM60</f>
        <v>0</v>
      </c>
      <c r="AN60" s="263">
        <f>EL60+'User Input - Correlations'!AN60</f>
        <v>0</v>
      </c>
      <c r="AO60" s="263">
        <f>EM60+'User Input - Correlations'!AO60</f>
        <v>0</v>
      </c>
      <c r="AP60" s="263">
        <f>EN60+'User Input - Correlations'!AP60</f>
        <v>0</v>
      </c>
      <c r="AQ60" s="263">
        <f>EO60+'User Input - Correlations'!AQ60</f>
        <v>0</v>
      </c>
      <c r="AR60" s="263">
        <f>EP60+'User Input - Correlations'!AR60</f>
        <v>0</v>
      </c>
      <c r="AS60" s="263">
        <f>EQ60+'User Input - Correlations'!AS60</f>
        <v>0</v>
      </c>
      <c r="AT60" s="263">
        <f>ER60+'User Input - Correlations'!AT60</f>
        <v>0</v>
      </c>
      <c r="AU60" s="263">
        <f>ES60+'User Input - Correlations'!AU60</f>
        <v>0</v>
      </c>
      <c r="AV60" s="263">
        <f>ET60+'User Input - Correlations'!AV60</f>
        <v>0</v>
      </c>
      <c r="AW60" s="263">
        <f>EU60+'User Input - Correlations'!AW60</f>
        <v>0</v>
      </c>
      <c r="AX60" s="263">
        <f>EV60+'User Input - Correlations'!AX60</f>
        <v>0</v>
      </c>
      <c r="AY60" s="263">
        <f>EW60+'User Input - Correlations'!AY60</f>
        <v>0</v>
      </c>
      <c r="AZ60" s="263">
        <v>1</v>
      </c>
      <c r="BA60" s="263">
        <f>EY60+'User Input - Correlations'!BA60</f>
        <v>0</v>
      </c>
      <c r="BB60" s="263">
        <f>EZ60+'User Input - Correlations'!BB60</f>
        <v>0</v>
      </c>
      <c r="BC60" s="263">
        <f>FA60+'User Input - Correlations'!BC60</f>
        <v>0</v>
      </c>
      <c r="BD60" s="263">
        <f>FB60+'User Input - Correlations'!BD60</f>
        <v>0</v>
      </c>
      <c r="BE60" s="263">
        <f>FC60+'User Input - Correlations'!BE60</f>
        <v>0</v>
      </c>
      <c r="BF60" s="263">
        <f>FD60+'User Input - Correlations'!BF60</f>
        <v>0</v>
      </c>
      <c r="BG60" s="263">
        <f>FE60+'User Input - Correlations'!BG60</f>
        <v>0</v>
      </c>
      <c r="BH60" s="263">
        <f>FF60+'User Input - Correlations'!BH60</f>
        <v>0</v>
      </c>
      <c r="BI60" s="263">
        <f>FG60+'User Input - Correlations'!BI60</f>
        <v>0</v>
      </c>
      <c r="BJ60" s="263">
        <f>FH60+'User Input - Correlations'!BJ60</f>
        <v>0</v>
      </c>
      <c r="BK60" s="263">
        <f>FI60+'User Input - Correlations'!BK60</f>
        <v>0</v>
      </c>
      <c r="BL60" s="263">
        <f>FJ60+'User Input - Correlations'!BL60</f>
        <v>0</v>
      </c>
      <c r="BM60" s="263">
        <f>FK60+'User Input - Correlations'!BM60</f>
        <v>0</v>
      </c>
      <c r="BN60" s="263">
        <f>FL60+'User Input - Correlations'!BN60</f>
        <v>0</v>
      </c>
      <c r="BO60" s="263">
        <f>FM60+'User Input - Correlations'!BO60</f>
        <v>0</v>
      </c>
      <c r="BP60" s="263">
        <f>FN60+'User Input - Correlations'!BP60</f>
        <v>0</v>
      </c>
      <c r="BQ60" s="263">
        <f>FO60+'User Input - Correlations'!BQ60</f>
        <v>0</v>
      </c>
      <c r="BR60" s="263">
        <f>FP60+'User Input - Correlations'!BR60</f>
        <v>0</v>
      </c>
      <c r="BS60" s="263">
        <f>FQ60+'User Input - Correlations'!BS60</f>
        <v>0</v>
      </c>
      <c r="BT60" s="263">
        <f>FR60+'User Input - Correlations'!BT60</f>
        <v>0</v>
      </c>
      <c r="BU60" s="263">
        <f>FS60+'User Input - Correlations'!BU60</f>
        <v>0</v>
      </c>
      <c r="BV60" s="263">
        <f>FT60+'User Input - Correlations'!BV60</f>
        <v>0</v>
      </c>
      <c r="BW60" s="263">
        <f>FU60+'User Input - Correlations'!BW60</f>
        <v>0</v>
      </c>
      <c r="BX60" s="263">
        <f>FV60+'User Input - Correlations'!BX60</f>
        <v>0</v>
      </c>
      <c r="BY60" s="263">
        <f>FW60+'User Input - Correlations'!BY60</f>
        <v>0</v>
      </c>
      <c r="BZ60" s="263">
        <f>FX60+'User Input - Correlations'!BZ60</f>
        <v>0</v>
      </c>
      <c r="CA60" s="263">
        <f>FY60+'User Input - Correlations'!CA60</f>
        <v>0</v>
      </c>
      <c r="CB60" s="263">
        <f>FZ60+'User Input - Correlations'!CB60</f>
        <v>0</v>
      </c>
      <c r="CC60" s="263">
        <f>GA60+'User Input - Correlations'!CC60</f>
        <v>0</v>
      </c>
      <c r="CD60" s="263">
        <f>GB60+'User Input - Correlations'!CD60</f>
        <v>0</v>
      </c>
      <c r="CE60" s="263">
        <f>GC60+'User Input - Correlations'!CE60</f>
        <v>0</v>
      </c>
      <c r="CF60" s="263">
        <f>GD60+'User Input - Correlations'!CF60</f>
        <v>0</v>
      </c>
      <c r="CG60" s="263">
        <f>GE60+'User Input - Correlations'!CG60</f>
        <v>0</v>
      </c>
      <c r="CH60" s="263">
        <f>GF60+'User Input - Correlations'!CH60</f>
        <v>0</v>
      </c>
      <c r="CI60" s="263">
        <f>GG60+'User Input - Correlations'!CI60</f>
        <v>0</v>
      </c>
      <c r="CJ60" s="263">
        <f>GH60+'User Input - Correlations'!CJ60</f>
        <v>0</v>
      </c>
      <c r="CK60" s="263">
        <f>GI60+'User Input - Correlations'!CK60</f>
        <v>0</v>
      </c>
      <c r="CL60" s="263">
        <f>GJ60+'User Input - Correlations'!CL60</f>
        <v>0</v>
      </c>
      <c r="CM60" s="263">
        <f>GK60+'User Input - Correlations'!CM60</f>
        <v>0</v>
      </c>
      <c r="CN60" s="263">
        <f>GL60+'User Input - Correlations'!CN60</f>
        <v>0</v>
      </c>
      <c r="CO60" s="263">
        <f>GM60+'User Input - Correlations'!CO60</f>
        <v>0</v>
      </c>
      <c r="CP60" s="264">
        <f>GN60+'User Input - Correlations'!CP60</f>
        <v>0</v>
      </c>
      <c r="CQ60" s="281">
        <f ca="1">MDETERM(OFFSET($C$11,0,0,ROWS($CQ$11:$CQ60),ROWS($CQ$11:$CQ60)))</f>
        <v>1</v>
      </c>
      <c r="DA60" s="263">
        <v>0</v>
      </c>
      <c r="DB60" s="263">
        <v>0</v>
      </c>
      <c r="DC60" s="263">
        <v>0</v>
      </c>
      <c r="DD60" s="263">
        <v>0</v>
      </c>
      <c r="DE60" s="263">
        <v>0</v>
      </c>
      <c r="DF60" s="263">
        <v>0</v>
      </c>
      <c r="DG60" s="263">
        <v>0</v>
      </c>
      <c r="DH60" s="263">
        <v>0</v>
      </c>
      <c r="DI60" s="263">
        <v>0</v>
      </c>
      <c r="DJ60" s="263">
        <v>0</v>
      </c>
      <c r="DK60" s="263">
        <v>0</v>
      </c>
      <c r="DL60" s="263">
        <v>0</v>
      </c>
      <c r="DM60" s="263">
        <v>0</v>
      </c>
      <c r="DN60" s="263">
        <v>0</v>
      </c>
      <c r="DO60" s="263">
        <v>0</v>
      </c>
      <c r="DP60" s="263">
        <v>0</v>
      </c>
      <c r="DQ60" s="263">
        <v>0</v>
      </c>
      <c r="DR60" s="263">
        <v>0</v>
      </c>
      <c r="DS60" s="263">
        <v>0</v>
      </c>
      <c r="DT60" s="263">
        <v>0</v>
      </c>
      <c r="DU60" s="263">
        <v>0</v>
      </c>
      <c r="DV60" s="263">
        <v>0</v>
      </c>
      <c r="DW60" s="263">
        <v>0</v>
      </c>
      <c r="DX60" s="263">
        <v>0</v>
      </c>
      <c r="DY60" s="263">
        <v>0</v>
      </c>
      <c r="DZ60" s="263">
        <v>0</v>
      </c>
      <c r="EA60" s="263">
        <v>0</v>
      </c>
      <c r="EB60" s="263">
        <v>0</v>
      </c>
      <c r="EC60" s="263">
        <v>0</v>
      </c>
      <c r="ED60" s="263">
        <v>0</v>
      </c>
      <c r="EE60" s="263">
        <v>0</v>
      </c>
      <c r="EF60" s="263">
        <v>0</v>
      </c>
      <c r="EG60" s="263">
        <v>0</v>
      </c>
      <c r="EH60" s="263">
        <v>0</v>
      </c>
      <c r="EI60" s="263">
        <v>0</v>
      </c>
      <c r="EJ60" s="263">
        <v>0</v>
      </c>
      <c r="EK60" s="263">
        <v>0</v>
      </c>
      <c r="EL60" s="263">
        <v>0</v>
      </c>
      <c r="EM60" s="263">
        <v>0</v>
      </c>
      <c r="EN60" s="263">
        <v>0</v>
      </c>
      <c r="EO60" s="263">
        <v>0</v>
      </c>
      <c r="EP60" s="263">
        <v>0</v>
      </c>
      <c r="EQ60" s="263">
        <v>0</v>
      </c>
      <c r="ER60" s="263">
        <v>0</v>
      </c>
      <c r="ES60" s="263">
        <v>0</v>
      </c>
      <c r="ET60" s="263">
        <v>0</v>
      </c>
      <c r="EU60" s="263">
        <v>0</v>
      </c>
      <c r="EV60" s="263">
        <v>0</v>
      </c>
      <c r="EW60" s="263">
        <v>0</v>
      </c>
      <c r="EX60" s="263">
        <v>1</v>
      </c>
      <c r="EY60" s="263">
        <v>0</v>
      </c>
      <c r="EZ60" s="263">
        <v>0</v>
      </c>
      <c r="FA60" s="263">
        <v>0</v>
      </c>
      <c r="FB60" s="263">
        <v>0</v>
      </c>
      <c r="FC60" s="263">
        <v>0</v>
      </c>
      <c r="FD60" s="263">
        <v>0</v>
      </c>
      <c r="FE60" s="263">
        <v>0</v>
      </c>
      <c r="FF60" s="263">
        <v>0</v>
      </c>
      <c r="FG60" s="263">
        <v>0</v>
      </c>
      <c r="FH60" s="263">
        <v>0</v>
      </c>
      <c r="FI60" s="263">
        <v>0</v>
      </c>
      <c r="FJ60" s="263">
        <v>0</v>
      </c>
      <c r="FK60" s="263">
        <v>0</v>
      </c>
      <c r="FL60" s="263">
        <v>0</v>
      </c>
      <c r="FM60" s="263">
        <v>0</v>
      </c>
      <c r="FN60" s="263">
        <v>0</v>
      </c>
      <c r="FO60" s="263">
        <v>0</v>
      </c>
      <c r="FP60" s="263">
        <v>0</v>
      </c>
      <c r="FQ60" s="263">
        <v>0</v>
      </c>
      <c r="FR60" s="263">
        <v>0</v>
      </c>
      <c r="FS60" s="263">
        <v>0</v>
      </c>
      <c r="FT60" s="263">
        <v>0</v>
      </c>
      <c r="FU60" s="263">
        <v>0</v>
      </c>
      <c r="FV60" s="263">
        <v>0</v>
      </c>
      <c r="FW60" s="263">
        <v>0</v>
      </c>
      <c r="FX60" s="263">
        <v>0</v>
      </c>
      <c r="FY60" s="263">
        <v>0</v>
      </c>
      <c r="FZ60" s="263">
        <v>0</v>
      </c>
      <c r="GA60" s="263">
        <v>0</v>
      </c>
      <c r="GB60" s="263">
        <v>0</v>
      </c>
      <c r="GC60" s="263">
        <v>0</v>
      </c>
      <c r="GD60" s="263">
        <v>0</v>
      </c>
      <c r="GE60" s="263">
        <v>0</v>
      </c>
      <c r="GF60" s="263">
        <v>0</v>
      </c>
      <c r="GG60" s="263">
        <v>0</v>
      </c>
      <c r="GH60" s="263">
        <v>0</v>
      </c>
      <c r="GI60" s="263">
        <v>0</v>
      </c>
      <c r="GJ60" s="263">
        <v>0</v>
      </c>
      <c r="GK60" s="263">
        <v>0</v>
      </c>
      <c r="GL60" s="263">
        <v>0</v>
      </c>
      <c r="GM60" s="263">
        <v>0</v>
      </c>
      <c r="GN60" s="263">
        <v>0</v>
      </c>
    </row>
    <row r="61" ht="12.75" customHeight="1">
      <c r="A61" s="286" t="s">
        <v>178</v>
      </c>
      <c r="B61" s="286" t="s">
        <v>86</v>
      </c>
      <c r="C61" s="263">
        <f>DA61+'User Input - Correlations'!C61</f>
        <v>0</v>
      </c>
      <c r="D61" s="263">
        <f>DB61+'User Input - Correlations'!D61</f>
        <v>0</v>
      </c>
      <c r="E61" s="263">
        <f>DC61+'User Input - Correlations'!E61</f>
        <v>0</v>
      </c>
      <c r="F61" s="263">
        <f>DD61+'User Input - Correlations'!F61</f>
        <v>0</v>
      </c>
      <c r="G61" s="263">
        <f>DE61+'User Input - Correlations'!G61</f>
        <v>0</v>
      </c>
      <c r="H61" s="263">
        <f>DF61+'User Input - Correlations'!H61</f>
        <v>0</v>
      </c>
      <c r="I61" s="263">
        <f>DG61+'User Input - Correlations'!I61</f>
        <v>0</v>
      </c>
      <c r="J61" s="263">
        <f>DH61+'User Input - Correlations'!J61</f>
        <v>0</v>
      </c>
      <c r="K61" s="263">
        <f>DI61+'User Input - Correlations'!K61</f>
        <v>0</v>
      </c>
      <c r="L61" s="263">
        <f>DJ61+'User Input - Correlations'!L61</f>
        <v>0</v>
      </c>
      <c r="M61" s="263">
        <f>DK61+'User Input - Correlations'!M61</f>
        <v>0</v>
      </c>
      <c r="N61" s="263">
        <f>DL61+'User Input - Correlations'!N61</f>
        <v>0</v>
      </c>
      <c r="O61" s="263">
        <f>DM61+'User Input - Correlations'!O61</f>
        <v>0</v>
      </c>
      <c r="P61" s="263">
        <f>DN61+'User Input - Correlations'!P61</f>
        <v>0</v>
      </c>
      <c r="Q61" s="263">
        <f>DO61+'User Input - Correlations'!Q61</f>
        <v>0</v>
      </c>
      <c r="R61" s="263">
        <f>DP61+'User Input - Correlations'!R61</f>
        <v>0</v>
      </c>
      <c r="S61" s="263">
        <f>DQ61+'User Input - Correlations'!S61</f>
        <v>0</v>
      </c>
      <c r="T61" s="263">
        <f>DR61+'User Input - Correlations'!T61</f>
        <v>0</v>
      </c>
      <c r="U61" s="263">
        <f>DS61+'User Input - Correlations'!U61</f>
        <v>0</v>
      </c>
      <c r="V61" s="263">
        <f>DT61+'User Input - Correlations'!V61</f>
        <v>0</v>
      </c>
      <c r="W61" s="263">
        <f>DU61+'User Input - Correlations'!W61</f>
        <v>0</v>
      </c>
      <c r="X61" s="263">
        <f>DV61+'User Input - Correlations'!X61</f>
        <v>0</v>
      </c>
      <c r="Y61" s="263">
        <f>DW61+'User Input - Correlations'!Y61</f>
        <v>0</v>
      </c>
      <c r="Z61" s="263">
        <f>DX61+'User Input - Correlations'!Z61</f>
        <v>0</v>
      </c>
      <c r="AA61" s="263">
        <f>DY61+'User Input - Correlations'!AA61</f>
        <v>0</v>
      </c>
      <c r="AB61" s="263">
        <f>DZ61+'User Input - Correlations'!AB61</f>
        <v>0</v>
      </c>
      <c r="AC61" s="263">
        <f>EA61+'User Input - Correlations'!AC61</f>
        <v>0</v>
      </c>
      <c r="AD61" s="263">
        <f>EB61+'User Input - Correlations'!AD61</f>
        <v>0</v>
      </c>
      <c r="AE61" s="263">
        <f>EC61+'User Input - Correlations'!AE61</f>
        <v>0</v>
      </c>
      <c r="AF61" s="263">
        <f>ED61+'User Input - Correlations'!AF61</f>
        <v>0</v>
      </c>
      <c r="AG61" s="263">
        <f>EE61+'User Input - Correlations'!AG61</f>
        <v>0</v>
      </c>
      <c r="AH61" s="263">
        <f>EF61+'User Input - Correlations'!AH61</f>
        <v>0</v>
      </c>
      <c r="AI61" s="263">
        <f>EG61+'User Input - Correlations'!AI61</f>
        <v>0</v>
      </c>
      <c r="AJ61" s="263">
        <f>EH61+'User Input - Correlations'!AJ61</f>
        <v>0</v>
      </c>
      <c r="AK61" s="263">
        <f>EI61+'User Input - Correlations'!AK61</f>
        <v>0</v>
      </c>
      <c r="AL61" s="263">
        <f>EJ61+'User Input - Correlations'!AL61</f>
        <v>0</v>
      </c>
      <c r="AM61" s="263">
        <f>EK61+'User Input - Correlations'!AM61</f>
        <v>0</v>
      </c>
      <c r="AN61" s="263">
        <f>EL61+'User Input - Correlations'!AN61</f>
        <v>0</v>
      </c>
      <c r="AO61" s="263">
        <f>EM61+'User Input - Correlations'!AO61</f>
        <v>0</v>
      </c>
      <c r="AP61" s="263">
        <f>EN61+'User Input - Correlations'!AP61</f>
        <v>0</v>
      </c>
      <c r="AQ61" s="263">
        <f>EO61+'User Input - Correlations'!AQ61</f>
        <v>0</v>
      </c>
      <c r="AR61" s="263">
        <f>EP61+'User Input - Correlations'!AR61</f>
        <v>0</v>
      </c>
      <c r="AS61" s="263">
        <f>EQ61+'User Input - Correlations'!AS61</f>
        <v>0</v>
      </c>
      <c r="AT61" s="263">
        <f>ER61+'User Input - Correlations'!AT61</f>
        <v>0</v>
      </c>
      <c r="AU61" s="263">
        <f>ES61+'User Input - Correlations'!AU61</f>
        <v>0</v>
      </c>
      <c r="AV61" s="263">
        <f>ET61+'User Input - Correlations'!AV61</f>
        <v>0</v>
      </c>
      <c r="AW61" s="263">
        <f>EU61+'User Input - Correlations'!AW61</f>
        <v>0</v>
      </c>
      <c r="AX61" s="263">
        <f>EV61+'User Input - Correlations'!AX61</f>
        <v>0</v>
      </c>
      <c r="AY61" s="263">
        <f>EW61+'User Input - Correlations'!AY61</f>
        <v>0</v>
      </c>
      <c r="AZ61" s="263">
        <f>EX61+'User Input - Correlations'!AZ61</f>
        <v>0</v>
      </c>
      <c r="BA61" s="263">
        <v>1</v>
      </c>
      <c r="BB61" s="263">
        <f>EZ61+'User Input - Correlations'!BB61</f>
        <v>0</v>
      </c>
      <c r="BC61" s="263">
        <f>FA61+'User Input - Correlations'!BC61</f>
        <v>0</v>
      </c>
      <c r="BD61" s="263">
        <f>FB61+'User Input - Correlations'!BD61</f>
        <v>0</v>
      </c>
      <c r="BE61" s="263">
        <f>FC61+'User Input - Correlations'!BE61</f>
        <v>0</v>
      </c>
      <c r="BF61" s="263">
        <f>FD61+'User Input - Correlations'!BF61</f>
        <v>0</v>
      </c>
      <c r="BG61" s="263">
        <f>FE61+'User Input - Correlations'!BG61</f>
        <v>0</v>
      </c>
      <c r="BH61" s="263">
        <f>FF61+'User Input - Correlations'!BH61</f>
        <v>0</v>
      </c>
      <c r="BI61" s="263">
        <f>FG61+'User Input - Correlations'!BI61</f>
        <v>0</v>
      </c>
      <c r="BJ61" s="263">
        <f>FH61+'User Input - Correlations'!BJ61</f>
        <v>0</v>
      </c>
      <c r="BK61" s="263">
        <f>FI61+'User Input - Correlations'!BK61</f>
        <v>0</v>
      </c>
      <c r="BL61" s="263">
        <f>FJ61+'User Input - Correlations'!BL61</f>
        <v>0</v>
      </c>
      <c r="BM61" s="263">
        <f>FK61+'User Input - Correlations'!BM61</f>
        <v>0</v>
      </c>
      <c r="BN61" s="263">
        <f>FL61+'User Input - Correlations'!BN61</f>
        <v>0</v>
      </c>
      <c r="BO61" s="263">
        <f>FM61+'User Input - Correlations'!BO61</f>
        <v>0</v>
      </c>
      <c r="BP61" s="263">
        <f>FN61+'User Input - Correlations'!BP61</f>
        <v>0</v>
      </c>
      <c r="BQ61" s="263">
        <f>FO61+'User Input - Correlations'!BQ61</f>
        <v>0</v>
      </c>
      <c r="BR61" s="263">
        <f>FP61+'User Input - Correlations'!BR61</f>
        <v>0</v>
      </c>
      <c r="BS61" s="263">
        <f>FQ61+'User Input - Correlations'!BS61</f>
        <v>0</v>
      </c>
      <c r="BT61" s="263">
        <f>FR61+'User Input - Correlations'!BT61</f>
        <v>0</v>
      </c>
      <c r="BU61" s="263">
        <f>FS61+'User Input - Correlations'!BU61</f>
        <v>0</v>
      </c>
      <c r="BV61" s="263">
        <f>FT61+'User Input - Correlations'!BV61</f>
        <v>0</v>
      </c>
      <c r="BW61" s="263">
        <f>FU61+'User Input - Correlations'!BW61</f>
        <v>0</v>
      </c>
      <c r="BX61" s="263">
        <f>FV61+'User Input - Correlations'!BX61</f>
        <v>0</v>
      </c>
      <c r="BY61" s="263">
        <f>FW61+'User Input - Correlations'!BY61</f>
        <v>0</v>
      </c>
      <c r="BZ61" s="263">
        <f>FX61+'User Input - Correlations'!BZ61</f>
        <v>0</v>
      </c>
      <c r="CA61" s="263">
        <f>FY61+'User Input - Correlations'!CA61</f>
        <v>0</v>
      </c>
      <c r="CB61" s="263">
        <f>FZ61+'User Input - Correlations'!CB61</f>
        <v>0</v>
      </c>
      <c r="CC61" s="263">
        <f>GA61+'User Input - Correlations'!CC61</f>
        <v>0</v>
      </c>
      <c r="CD61" s="263">
        <f>GB61+'User Input - Correlations'!CD61</f>
        <v>0</v>
      </c>
      <c r="CE61" s="263">
        <f>GC61+'User Input - Correlations'!CE61</f>
        <v>0</v>
      </c>
      <c r="CF61" s="263">
        <f>GD61+'User Input - Correlations'!CF61</f>
        <v>0</v>
      </c>
      <c r="CG61" s="263">
        <f>GE61+'User Input - Correlations'!CG61</f>
        <v>0</v>
      </c>
      <c r="CH61" s="263">
        <f>GF61+'User Input - Correlations'!CH61</f>
        <v>0</v>
      </c>
      <c r="CI61" s="263">
        <f>GG61+'User Input - Correlations'!CI61</f>
        <v>0</v>
      </c>
      <c r="CJ61" s="263">
        <f>GH61+'User Input - Correlations'!CJ61</f>
        <v>0</v>
      </c>
      <c r="CK61" s="263">
        <f>GI61+'User Input - Correlations'!CK61</f>
        <v>0</v>
      </c>
      <c r="CL61" s="263">
        <f>GJ61+'User Input - Correlations'!CL61</f>
        <v>0</v>
      </c>
      <c r="CM61" s="263">
        <f>GK61+'User Input - Correlations'!CM61</f>
        <v>0</v>
      </c>
      <c r="CN61" s="263">
        <f>GL61+'User Input - Correlations'!CN61</f>
        <v>0</v>
      </c>
      <c r="CO61" s="263">
        <f>GM61+'User Input - Correlations'!CO61</f>
        <v>0</v>
      </c>
      <c r="CP61" s="264">
        <f>GN61+'User Input - Correlations'!CP61</f>
        <v>0</v>
      </c>
      <c r="CQ61" s="281">
        <f ca="1">MDETERM(OFFSET($C$11,0,0,ROWS($CQ$11:$CQ61),ROWS($CQ$11:$CQ61)))</f>
        <v>1</v>
      </c>
      <c r="DA61" s="263">
        <v>0</v>
      </c>
      <c r="DB61" s="263">
        <v>0</v>
      </c>
      <c r="DC61" s="263">
        <v>0</v>
      </c>
      <c r="DD61" s="263">
        <v>0</v>
      </c>
      <c r="DE61" s="263">
        <v>0</v>
      </c>
      <c r="DF61" s="263">
        <v>0</v>
      </c>
      <c r="DG61" s="263">
        <v>0</v>
      </c>
      <c r="DH61" s="263">
        <v>0</v>
      </c>
      <c r="DI61" s="263">
        <v>0</v>
      </c>
      <c r="DJ61" s="263">
        <v>0</v>
      </c>
      <c r="DK61" s="263">
        <v>0</v>
      </c>
      <c r="DL61" s="263">
        <v>0</v>
      </c>
      <c r="DM61" s="263">
        <v>0</v>
      </c>
      <c r="DN61" s="263">
        <v>0</v>
      </c>
      <c r="DO61" s="263">
        <v>0</v>
      </c>
      <c r="DP61" s="263">
        <v>0</v>
      </c>
      <c r="DQ61" s="263">
        <v>0</v>
      </c>
      <c r="DR61" s="263">
        <v>0</v>
      </c>
      <c r="DS61" s="263">
        <v>0</v>
      </c>
      <c r="DT61" s="263">
        <v>0</v>
      </c>
      <c r="DU61" s="263">
        <v>0</v>
      </c>
      <c r="DV61" s="263">
        <v>0</v>
      </c>
      <c r="DW61" s="263">
        <v>0</v>
      </c>
      <c r="DX61" s="263">
        <v>0</v>
      </c>
      <c r="DY61" s="263">
        <v>0</v>
      </c>
      <c r="DZ61" s="263">
        <v>0</v>
      </c>
      <c r="EA61" s="263">
        <v>0</v>
      </c>
      <c r="EB61" s="263">
        <v>0</v>
      </c>
      <c r="EC61" s="263">
        <v>0</v>
      </c>
      <c r="ED61" s="263">
        <v>0</v>
      </c>
      <c r="EE61" s="263">
        <v>0</v>
      </c>
      <c r="EF61" s="263">
        <v>0</v>
      </c>
      <c r="EG61" s="263">
        <v>0</v>
      </c>
      <c r="EH61" s="263">
        <v>0</v>
      </c>
      <c r="EI61" s="263">
        <v>0</v>
      </c>
      <c r="EJ61" s="263">
        <v>0</v>
      </c>
      <c r="EK61" s="263">
        <v>0</v>
      </c>
      <c r="EL61" s="263">
        <v>0</v>
      </c>
      <c r="EM61" s="263">
        <v>0</v>
      </c>
      <c r="EN61" s="263">
        <v>0</v>
      </c>
      <c r="EO61" s="263">
        <v>0</v>
      </c>
      <c r="EP61" s="263">
        <v>0</v>
      </c>
      <c r="EQ61" s="263">
        <v>0</v>
      </c>
      <c r="ER61" s="263">
        <v>0</v>
      </c>
      <c r="ES61" s="263">
        <v>0</v>
      </c>
      <c r="ET61" s="263">
        <v>0</v>
      </c>
      <c r="EU61" s="263">
        <v>0</v>
      </c>
      <c r="EV61" s="263">
        <v>0</v>
      </c>
      <c r="EW61" s="263">
        <v>0</v>
      </c>
      <c r="EX61" s="263">
        <v>0</v>
      </c>
      <c r="EY61" s="263">
        <v>1</v>
      </c>
      <c r="EZ61" s="263">
        <v>0</v>
      </c>
      <c r="FA61" s="263">
        <v>0</v>
      </c>
      <c r="FB61" s="263">
        <v>0</v>
      </c>
      <c r="FC61" s="263">
        <v>0</v>
      </c>
      <c r="FD61" s="263">
        <v>0</v>
      </c>
      <c r="FE61" s="263">
        <v>0</v>
      </c>
      <c r="FF61" s="263">
        <v>0</v>
      </c>
      <c r="FG61" s="263">
        <v>0</v>
      </c>
      <c r="FH61" s="263">
        <v>0</v>
      </c>
      <c r="FI61" s="263">
        <v>0</v>
      </c>
      <c r="FJ61" s="263">
        <v>0</v>
      </c>
      <c r="FK61" s="263">
        <v>0</v>
      </c>
      <c r="FL61" s="263">
        <v>0</v>
      </c>
      <c r="FM61" s="263">
        <v>0</v>
      </c>
      <c r="FN61" s="263">
        <v>0</v>
      </c>
      <c r="FO61" s="263">
        <v>0</v>
      </c>
      <c r="FP61" s="263">
        <v>0</v>
      </c>
      <c r="FQ61" s="263">
        <v>0</v>
      </c>
      <c r="FR61" s="263">
        <v>0</v>
      </c>
      <c r="FS61" s="263">
        <v>0</v>
      </c>
      <c r="FT61" s="263">
        <v>0</v>
      </c>
      <c r="FU61" s="263">
        <v>0</v>
      </c>
      <c r="FV61" s="263">
        <v>0</v>
      </c>
      <c r="FW61" s="263">
        <v>0</v>
      </c>
      <c r="FX61" s="263">
        <v>0</v>
      </c>
      <c r="FY61" s="263">
        <v>0</v>
      </c>
      <c r="FZ61" s="263">
        <v>0</v>
      </c>
      <c r="GA61" s="263">
        <v>0</v>
      </c>
      <c r="GB61" s="263">
        <v>0</v>
      </c>
      <c r="GC61" s="263">
        <v>0</v>
      </c>
      <c r="GD61" s="263">
        <v>0</v>
      </c>
      <c r="GE61" s="263">
        <v>0</v>
      </c>
      <c r="GF61" s="263">
        <v>0</v>
      </c>
      <c r="GG61" s="263">
        <v>0</v>
      </c>
      <c r="GH61" s="263">
        <v>0</v>
      </c>
      <c r="GI61" s="263">
        <v>0</v>
      </c>
      <c r="GJ61" s="263">
        <v>0</v>
      </c>
      <c r="GK61" s="263">
        <v>0</v>
      </c>
      <c r="GL61" s="263">
        <v>0</v>
      </c>
      <c r="GM61" s="263">
        <v>0</v>
      </c>
      <c r="GN61" s="263">
        <v>0</v>
      </c>
    </row>
    <row r="62" ht="12.75" customHeight="1">
      <c r="A62" s="286" t="s">
        <v>190</v>
      </c>
      <c r="B62" s="286" t="s">
        <v>86</v>
      </c>
      <c r="C62" s="263">
        <f>DA62+'User Input - Correlations'!C62</f>
        <v>0</v>
      </c>
      <c r="D62" s="263">
        <f>DB62+'User Input - Correlations'!D62</f>
        <v>0</v>
      </c>
      <c r="E62" s="263">
        <f>DC62+'User Input - Correlations'!E62</f>
        <v>0</v>
      </c>
      <c r="F62" s="263">
        <f>DD62+'User Input - Correlations'!F62</f>
        <v>0</v>
      </c>
      <c r="G62" s="263">
        <f>DE62+'User Input - Correlations'!G62</f>
        <v>0</v>
      </c>
      <c r="H62" s="263">
        <f>DF62+'User Input - Correlations'!H62</f>
        <v>0</v>
      </c>
      <c r="I62" s="263">
        <f>DG62+'User Input - Correlations'!I62</f>
        <v>0</v>
      </c>
      <c r="J62" s="263">
        <f>DH62+'User Input - Correlations'!J62</f>
        <v>0</v>
      </c>
      <c r="K62" s="263">
        <f>DI62+'User Input - Correlations'!K62</f>
        <v>0</v>
      </c>
      <c r="L62" s="263">
        <f>DJ62+'User Input - Correlations'!L62</f>
        <v>0</v>
      </c>
      <c r="M62" s="263">
        <f>DK62+'User Input - Correlations'!M62</f>
        <v>0</v>
      </c>
      <c r="N62" s="263">
        <f>DL62+'User Input - Correlations'!N62</f>
        <v>0</v>
      </c>
      <c r="O62" s="263">
        <f>DM62+'User Input - Correlations'!O62</f>
        <v>0</v>
      </c>
      <c r="P62" s="263">
        <f>DN62+'User Input - Correlations'!P62</f>
        <v>0</v>
      </c>
      <c r="Q62" s="263">
        <f>DO62+'User Input - Correlations'!Q62</f>
        <v>0</v>
      </c>
      <c r="R62" s="263">
        <f>DP62+'User Input - Correlations'!R62</f>
        <v>0</v>
      </c>
      <c r="S62" s="263">
        <f>DQ62+'User Input - Correlations'!S62</f>
        <v>0</v>
      </c>
      <c r="T62" s="263">
        <f>DR62+'User Input - Correlations'!T62</f>
        <v>0</v>
      </c>
      <c r="U62" s="263">
        <f>DS62+'User Input - Correlations'!U62</f>
        <v>0</v>
      </c>
      <c r="V62" s="263">
        <f>DT62+'User Input - Correlations'!V62</f>
        <v>0</v>
      </c>
      <c r="W62" s="263">
        <f>DU62+'User Input - Correlations'!W62</f>
        <v>0</v>
      </c>
      <c r="X62" s="263">
        <f>DV62+'User Input - Correlations'!X62</f>
        <v>0</v>
      </c>
      <c r="Y62" s="263">
        <f>DW62+'User Input - Correlations'!Y62</f>
        <v>0</v>
      </c>
      <c r="Z62" s="263">
        <f>DX62+'User Input - Correlations'!Z62</f>
        <v>0</v>
      </c>
      <c r="AA62" s="263">
        <f>DY62+'User Input - Correlations'!AA62</f>
        <v>0</v>
      </c>
      <c r="AB62" s="263">
        <f>DZ62+'User Input - Correlations'!AB62</f>
        <v>0</v>
      </c>
      <c r="AC62" s="263">
        <f>EA62+'User Input - Correlations'!AC62</f>
        <v>0</v>
      </c>
      <c r="AD62" s="263">
        <f>EB62+'User Input - Correlations'!AD62</f>
        <v>0</v>
      </c>
      <c r="AE62" s="263">
        <f>EC62+'User Input - Correlations'!AE62</f>
        <v>0</v>
      </c>
      <c r="AF62" s="263">
        <f>ED62+'User Input - Correlations'!AF62</f>
        <v>0</v>
      </c>
      <c r="AG62" s="263">
        <f>EE62+'User Input - Correlations'!AG62</f>
        <v>0</v>
      </c>
      <c r="AH62" s="263">
        <f>EF62+'User Input - Correlations'!AH62</f>
        <v>0</v>
      </c>
      <c r="AI62" s="263">
        <f>EG62+'User Input - Correlations'!AI62</f>
        <v>0</v>
      </c>
      <c r="AJ62" s="263">
        <f>EH62+'User Input - Correlations'!AJ62</f>
        <v>0</v>
      </c>
      <c r="AK62" s="263">
        <f>EI62+'User Input - Correlations'!AK62</f>
        <v>0</v>
      </c>
      <c r="AL62" s="263">
        <f>EJ62+'User Input - Correlations'!AL62</f>
        <v>0</v>
      </c>
      <c r="AM62" s="263">
        <f>EK62+'User Input - Correlations'!AM62</f>
        <v>0</v>
      </c>
      <c r="AN62" s="263">
        <f>EL62+'User Input - Correlations'!AN62</f>
        <v>0</v>
      </c>
      <c r="AO62" s="263">
        <f>EM62+'User Input - Correlations'!AO62</f>
        <v>0</v>
      </c>
      <c r="AP62" s="263">
        <f>EN62+'User Input - Correlations'!AP62</f>
        <v>0</v>
      </c>
      <c r="AQ62" s="263">
        <f>EO62+'User Input - Correlations'!AQ62</f>
        <v>0</v>
      </c>
      <c r="AR62" s="263">
        <f>EP62+'User Input - Correlations'!AR62</f>
        <v>0</v>
      </c>
      <c r="AS62" s="263">
        <f>EQ62+'User Input - Correlations'!AS62</f>
        <v>0</v>
      </c>
      <c r="AT62" s="263">
        <f>ER62+'User Input - Correlations'!AT62</f>
        <v>0</v>
      </c>
      <c r="AU62" s="263">
        <f>ES62+'User Input - Correlations'!AU62</f>
        <v>0</v>
      </c>
      <c r="AV62" s="263">
        <f>ET62+'User Input - Correlations'!AV62</f>
        <v>0</v>
      </c>
      <c r="AW62" s="263">
        <f>EU62+'User Input - Correlations'!AW62</f>
        <v>0</v>
      </c>
      <c r="AX62" s="263">
        <f>EV62+'User Input - Correlations'!AX62</f>
        <v>0</v>
      </c>
      <c r="AY62" s="263">
        <f>EW62+'User Input - Correlations'!AY62</f>
        <v>0</v>
      </c>
      <c r="AZ62" s="263">
        <f>EX62+'User Input - Correlations'!AZ62</f>
        <v>0</v>
      </c>
      <c r="BA62" s="263">
        <f>EY62+'User Input - Correlations'!BA62</f>
        <v>0</v>
      </c>
      <c r="BB62" s="263">
        <v>1</v>
      </c>
      <c r="BC62" s="263">
        <f>FA62+'User Input - Correlations'!BC62</f>
        <v>0</v>
      </c>
      <c r="BD62" s="263">
        <f>FB62+'User Input - Correlations'!BD62</f>
        <v>0</v>
      </c>
      <c r="BE62" s="263">
        <f>FC62+'User Input - Correlations'!BE62</f>
        <v>0</v>
      </c>
      <c r="BF62" s="263">
        <f>FD62+'User Input - Correlations'!BF62</f>
        <v>0</v>
      </c>
      <c r="BG62" s="263">
        <f>FE62+'User Input - Correlations'!BG62</f>
        <v>0</v>
      </c>
      <c r="BH62" s="263">
        <f>FF62+'User Input - Correlations'!BH62</f>
        <v>0</v>
      </c>
      <c r="BI62" s="263">
        <f>FG62+'User Input - Correlations'!BI62</f>
        <v>0</v>
      </c>
      <c r="BJ62" s="263">
        <f>FH62+'User Input - Correlations'!BJ62</f>
        <v>0</v>
      </c>
      <c r="BK62" s="263">
        <f>FI62+'User Input - Correlations'!BK62</f>
        <v>0</v>
      </c>
      <c r="BL62" s="263">
        <f>FJ62+'User Input - Correlations'!BL62</f>
        <v>0</v>
      </c>
      <c r="BM62" s="263">
        <f>FK62+'User Input - Correlations'!BM62</f>
        <v>0</v>
      </c>
      <c r="BN62" s="263">
        <f>FL62+'User Input - Correlations'!BN62</f>
        <v>0</v>
      </c>
      <c r="BO62" s="263">
        <f>FM62+'User Input - Correlations'!BO62</f>
        <v>0</v>
      </c>
      <c r="BP62" s="263">
        <f>FN62+'User Input - Correlations'!BP62</f>
        <v>0</v>
      </c>
      <c r="BQ62" s="263">
        <f>FO62+'User Input - Correlations'!BQ62</f>
        <v>0</v>
      </c>
      <c r="BR62" s="263">
        <f>FP62+'User Input - Correlations'!BR62</f>
        <v>0</v>
      </c>
      <c r="BS62" s="263">
        <f>FQ62+'User Input - Correlations'!BS62</f>
        <v>0</v>
      </c>
      <c r="BT62" s="263">
        <f>FR62+'User Input - Correlations'!BT62</f>
        <v>0</v>
      </c>
      <c r="BU62" s="263">
        <f>FS62+'User Input - Correlations'!BU62</f>
        <v>0</v>
      </c>
      <c r="BV62" s="263">
        <f>FT62+'User Input - Correlations'!BV62</f>
        <v>0</v>
      </c>
      <c r="BW62" s="263">
        <f>FU62+'User Input - Correlations'!BW62</f>
        <v>0</v>
      </c>
      <c r="BX62" s="263">
        <f>FV62+'User Input - Correlations'!BX62</f>
        <v>0</v>
      </c>
      <c r="BY62" s="263">
        <f>FW62+'User Input - Correlations'!BY62</f>
        <v>0</v>
      </c>
      <c r="BZ62" s="263">
        <f>FX62+'User Input - Correlations'!BZ62</f>
        <v>0</v>
      </c>
      <c r="CA62" s="263">
        <f>FY62+'User Input - Correlations'!CA62</f>
        <v>0</v>
      </c>
      <c r="CB62" s="263">
        <f>FZ62+'User Input - Correlations'!CB62</f>
        <v>0</v>
      </c>
      <c r="CC62" s="263">
        <f>GA62+'User Input - Correlations'!CC62</f>
        <v>0</v>
      </c>
      <c r="CD62" s="263">
        <f>GB62+'User Input - Correlations'!CD62</f>
        <v>0</v>
      </c>
      <c r="CE62" s="263">
        <f>GC62+'User Input - Correlations'!CE62</f>
        <v>0</v>
      </c>
      <c r="CF62" s="263">
        <f>GD62+'User Input - Correlations'!CF62</f>
        <v>0</v>
      </c>
      <c r="CG62" s="263">
        <f>GE62+'User Input - Correlations'!CG62</f>
        <v>0</v>
      </c>
      <c r="CH62" s="263">
        <f>GF62+'User Input - Correlations'!CH62</f>
        <v>0</v>
      </c>
      <c r="CI62" s="263">
        <f>GG62+'User Input - Correlations'!CI62</f>
        <v>0</v>
      </c>
      <c r="CJ62" s="263">
        <f>GH62+'User Input - Correlations'!CJ62</f>
        <v>0</v>
      </c>
      <c r="CK62" s="263">
        <f>GI62+'User Input - Correlations'!CK62</f>
        <v>0</v>
      </c>
      <c r="CL62" s="263">
        <f>GJ62+'User Input - Correlations'!CL62</f>
        <v>0</v>
      </c>
      <c r="CM62" s="263">
        <f>GK62+'User Input - Correlations'!CM62</f>
        <v>0</v>
      </c>
      <c r="CN62" s="263">
        <f>GL62+'User Input - Correlations'!CN62</f>
        <v>0</v>
      </c>
      <c r="CO62" s="263">
        <f>GM62+'User Input - Correlations'!CO62</f>
        <v>0</v>
      </c>
      <c r="CP62" s="264">
        <f>GN62+'User Input - Correlations'!CP62</f>
        <v>0</v>
      </c>
      <c r="CQ62" s="281">
        <f ca="1">MDETERM(OFFSET($C$11,0,0,ROWS($CQ$11:$CQ62),ROWS($CQ$11:$CQ62)))</f>
        <v>1</v>
      </c>
      <c r="DA62" s="263">
        <v>0</v>
      </c>
      <c r="DB62" s="263">
        <v>0</v>
      </c>
      <c r="DC62" s="263">
        <v>0</v>
      </c>
      <c r="DD62" s="263">
        <v>0</v>
      </c>
      <c r="DE62" s="263">
        <v>0</v>
      </c>
      <c r="DF62" s="263">
        <v>0</v>
      </c>
      <c r="DG62" s="263">
        <v>0</v>
      </c>
      <c r="DH62" s="263">
        <v>0</v>
      </c>
      <c r="DI62" s="263">
        <v>0</v>
      </c>
      <c r="DJ62" s="263">
        <v>0</v>
      </c>
      <c r="DK62" s="263">
        <v>0</v>
      </c>
      <c r="DL62" s="263">
        <v>0</v>
      </c>
      <c r="DM62" s="263">
        <v>0</v>
      </c>
      <c r="DN62" s="263">
        <v>0</v>
      </c>
      <c r="DO62" s="263">
        <v>0</v>
      </c>
      <c r="DP62" s="263">
        <v>0</v>
      </c>
      <c r="DQ62" s="263">
        <v>0</v>
      </c>
      <c r="DR62" s="263">
        <v>0</v>
      </c>
      <c r="DS62" s="263">
        <v>0</v>
      </c>
      <c r="DT62" s="263">
        <v>0</v>
      </c>
      <c r="DU62" s="263">
        <v>0</v>
      </c>
      <c r="DV62" s="263">
        <v>0</v>
      </c>
      <c r="DW62" s="263">
        <v>0</v>
      </c>
      <c r="DX62" s="263">
        <v>0</v>
      </c>
      <c r="DY62" s="263">
        <v>0</v>
      </c>
      <c r="DZ62" s="263">
        <v>0</v>
      </c>
      <c r="EA62" s="263">
        <v>0</v>
      </c>
      <c r="EB62" s="263">
        <v>0</v>
      </c>
      <c r="EC62" s="263">
        <v>0</v>
      </c>
      <c r="ED62" s="263">
        <v>0</v>
      </c>
      <c r="EE62" s="263">
        <v>0</v>
      </c>
      <c r="EF62" s="263">
        <v>0</v>
      </c>
      <c r="EG62" s="263">
        <v>0</v>
      </c>
      <c r="EH62" s="263">
        <v>0</v>
      </c>
      <c r="EI62" s="263">
        <v>0</v>
      </c>
      <c r="EJ62" s="263">
        <v>0</v>
      </c>
      <c r="EK62" s="263">
        <v>0</v>
      </c>
      <c r="EL62" s="263">
        <v>0</v>
      </c>
      <c r="EM62" s="263">
        <v>0</v>
      </c>
      <c r="EN62" s="263">
        <v>0</v>
      </c>
      <c r="EO62" s="263">
        <v>0</v>
      </c>
      <c r="EP62" s="263">
        <v>0</v>
      </c>
      <c r="EQ62" s="263">
        <v>0</v>
      </c>
      <c r="ER62" s="263">
        <v>0</v>
      </c>
      <c r="ES62" s="263">
        <v>0</v>
      </c>
      <c r="ET62" s="263">
        <v>0</v>
      </c>
      <c r="EU62" s="263">
        <v>0</v>
      </c>
      <c r="EV62" s="263">
        <v>0</v>
      </c>
      <c r="EW62" s="263">
        <v>0</v>
      </c>
      <c r="EX62" s="263">
        <v>0</v>
      </c>
      <c r="EY62" s="263">
        <v>0</v>
      </c>
      <c r="EZ62" s="263">
        <v>1</v>
      </c>
      <c r="FA62" s="263">
        <v>0</v>
      </c>
      <c r="FB62" s="263">
        <v>0</v>
      </c>
      <c r="FC62" s="263">
        <v>0</v>
      </c>
      <c r="FD62" s="263">
        <v>0</v>
      </c>
      <c r="FE62" s="263">
        <v>0</v>
      </c>
      <c r="FF62" s="263">
        <v>0</v>
      </c>
      <c r="FG62" s="263">
        <v>0</v>
      </c>
      <c r="FH62" s="263">
        <v>0</v>
      </c>
      <c r="FI62" s="263">
        <v>0</v>
      </c>
      <c r="FJ62" s="263">
        <v>0</v>
      </c>
      <c r="FK62" s="263">
        <v>0</v>
      </c>
      <c r="FL62" s="263">
        <v>0</v>
      </c>
      <c r="FM62" s="263">
        <v>0</v>
      </c>
      <c r="FN62" s="263">
        <v>0</v>
      </c>
      <c r="FO62" s="263">
        <v>0</v>
      </c>
      <c r="FP62" s="263">
        <v>0</v>
      </c>
      <c r="FQ62" s="263">
        <v>0</v>
      </c>
      <c r="FR62" s="263">
        <v>0</v>
      </c>
      <c r="FS62" s="263">
        <v>0</v>
      </c>
      <c r="FT62" s="263">
        <v>0</v>
      </c>
      <c r="FU62" s="263">
        <v>0</v>
      </c>
      <c r="FV62" s="263">
        <v>0</v>
      </c>
      <c r="FW62" s="263">
        <v>0</v>
      </c>
      <c r="FX62" s="263">
        <v>0</v>
      </c>
      <c r="FY62" s="263">
        <v>0</v>
      </c>
      <c r="FZ62" s="263">
        <v>0</v>
      </c>
      <c r="GA62" s="263">
        <v>0</v>
      </c>
      <c r="GB62" s="263">
        <v>0</v>
      </c>
      <c r="GC62" s="263">
        <v>0</v>
      </c>
      <c r="GD62" s="263">
        <v>0</v>
      </c>
      <c r="GE62" s="263">
        <v>0</v>
      </c>
      <c r="GF62" s="263">
        <v>0</v>
      </c>
      <c r="GG62" s="263">
        <v>0</v>
      </c>
      <c r="GH62" s="263">
        <v>0</v>
      </c>
      <c r="GI62" s="263">
        <v>0</v>
      </c>
      <c r="GJ62" s="263">
        <v>0</v>
      </c>
      <c r="GK62" s="263">
        <v>0</v>
      </c>
      <c r="GL62" s="263">
        <v>0</v>
      </c>
      <c r="GM62" s="263">
        <v>0</v>
      </c>
      <c r="GN62" s="263">
        <v>0</v>
      </c>
    </row>
    <row r="63" ht="12.75" customHeight="1">
      <c r="A63" s="286" t="s">
        <v>85</v>
      </c>
      <c r="B63" s="286" t="s">
        <v>86</v>
      </c>
      <c r="C63" s="263">
        <f>DA63+'User Input - Correlations'!C63</f>
        <v>0</v>
      </c>
      <c r="D63" s="263">
        <f>DB63+'User Input - Correlations'!D63</f>
        <v>0</v>
      </c>
      <c r="E63" s="263">
        <f>DC63+'User Input - Correlations'!E63</f>
        <v>0</v>
      </c>
      <c r="F63" s="263">
        <f>DD63+'User Input - Correlations'!F63</f>
        <v>0</v>
      </c>
      <c r="G63" s="263">
        <f>DE63+'User Input - Correlations'!G63</f>
        <v>0</v>
      </c>
      <c r="H63" s="263">
        <f>DF63+'User Input - Correlations'!H63</f>
        <v>0</v>
      </c>
      <c r="I63" s="263">
        <f>DG63+'User Input - Correlations'!I63</f>
        <v>0</v>
      </c>
      <c r="J63" s="263">
        <f>DH63+'User Input - Correlations'!J63</f>
        <v>0</v>
      </c>
      <c r="K63" s="263">
        <f>DI63+'User Input - Correlations'!K63</f>
        <v>0</v>
      </c>
      <c r="L63" s="263">
        <f>DJ63+'User Input - Correlations'!L63</f>
        <v>0</v>
      </c>
      <c r="M63" s="263">
        <f>DK63+'User Input - Correlations'!M63</f>
        <v>0</v>
      </c>
      <c r="N63" s="263">
        <f>DL63+'User Input - Correlations'!N63</f>
        <v>0</v>
      </c>
      <c r="O63" s="263">
        <f>DM63+'User Input - Correlations'!O63</f>
        <v>0</v>
      </c>
      <c r="P63" s="263">
        <f>DN63+'User Input - Correlations'!P63</f>
        <v>0</v>
      </c>
      <c r="Q63" s="263">
        <f>DO63+'User Input - Correlations'!Q63</f>
        <v>0</v>
      </c>
      <c r="R63" s="263">
        <f>DP63+'User Input - Correlations'!R63</f>
        <v>0</v>
      </c>
      <c r="S63" s="263">
        <f>DQ63+'User Input - Correlations'!S63</f>
        <v>0</v>
      </c>
      <c r="T63" s="263">
        <f>DR63+'User Input - Correlations'!T63</f>
        <v>0</v>
      </c>
      <c r="U63" s="263">
        <f>DS63+'User Input - Correlations'!U63</f>
        <v>0</v>
      </c>
      <c r="V63" s="263">
        <f>DT63+'User Input - Correlations'!V63</f>
        <v>0</v>
      </c>
      <c r="W63" s="263">
        <f>DU63+'User Input - Correlations'!W63</f>
        <v>0</v>
      </c>
      <c r="X63" s="263">
        <f>DV63+'User Input - Correlations'!X63</f>
        <v>0</v>
      </c>
      <c r="Y63" s="263">
        <f>DW63+'User Input - Correlations'!Y63</f>
        <v>0</v>
      </c>
      <c r="Z63" s="263">
        <f>DX63+'User Input - Correlations'!Z63</f>
        <v>0</v>
      </c>
      <c r="AA63" s="263">
        <f>DY63+'User Input - Correlations'!AA63</f>
        <v>0</v>
      </c>
      <c r="AB63" s="263">
        <f>DZ63+'User Input - Correlations'!AB63</f>
        <v>0</v>
      </c>
      <c r="AC63" s="263">
        <f>EA63+'User Input - Correlations'!AC63</f>
        <v>0</v>
      </c>
      <c r="AD63" s="263">
        <f>EB63+'User Input - Correlations'!AD63</f>
        <v>0</v>
      </c>
      <c r="AE63" s="263">
        <f>EC63+'User Input - Correlations'!AE63</f>
        <v>0</v>
      </c>
      <c r="AF63" s="263">
        <f>ED63+'User Input - Correlations'!AF63</f>
        <v>0</v>
      </c>
      <c r="AG63" s="263">
        <f>EE63+'User Input - Correlations'!AG63</f>
        <v>0</v>
      </c>
      <c r="AH63" s="263">
        <f>EF63+'User Input - Correlations'!AH63</f>
        <v>0</v>
      </c>
      <c r="AI63" s="263">
        <f>EG63+'User Input - Correlations'!AI63</f>
        <v>0</v>
      </c>
      <c r="AJ63" s="263">
        <f>EH63+'User Input - Correlations'!AJ63</f>
        <v>0</v>
      </c>
      <c r="AK63" s="263">
        <f>EI63+'User Input - Correlations'!AK63</f>
        <v>0</v>
      </c>
      <c r="AL63" s="263">
        <f>EJ63+'User Input - Correlations'!AL63</f>
        <v>0</v>
      </c>
      <c r="AM63" s="263">
        <f>EK63+'User Input - Correlations'!AM63</f>
        <v>0</v>
      </c>
      <c r="AN63" s="263">
        <f>EL63+'User Input - Correlations'!AN63</f>
        <v>0</v>
      </c>
      <c r="AO63" s="263">
        <f>EM63+'User Input - Correlations'!AO63</f>
        <v>0</v>
      </c>
      <c r="AP63" s="263">
        <f>EN63+'User Input - Correlations'!AP63</f>
        <v>0</v>
      </c>
      <c r="AQ63" s="263">
        <f>EO63+'User Input - Correlations'!AQ63</f>
        <v>0</v>
      </c>
      <c r="AR63" s="263">
        <f>EP63+'User Input - Correlations'!AR63</f>
        <v>0</v>
      </c>
      <c r="AS63" s="263">
        <f>EQ63+'User Input - Correlations'!AS63</f>
        <v>0</v>
      </c>
      <c r="AT63" s="263">
        <f>ER63+'User Input - Correlations'!AT63</f>
        <v>0</v>
      </c>
      <c r="AU63" s="263">
        <f>ES63+'User Input - Correlations'!AU63</f>
        <v>0</v>
      </c>
      <c r="AV63" s="263">
        <f>ET63+'User Input - Correlations'!AV63</f>
        <v>0</v>
      </c>
      <c r="AW63" s="263">
        <f>EU63+'User Input - Correlations'!AW63</f>
        <v>0</v>
      </c>
      <c r="AX63" s="263">
        <f>EV63+'User Input - Correlations'!AX63</f>
        <v>0</v>
      </c>
      <c r="AY63" s="263">
        <f>EW63+'User Input - Correlations'!AY63</f>
        <v>0</v>
      </c>
      <c r="AZ63" s="263">
        <f>EX63+'User Input - Correlations'!AZ63</f>
        <v>0</v>
      </c>
      <c r="BA63" s="263">
        <f>EY63+'User Input - Correlations'!BA63</f>
        <v>0</v>
      </c>
      <c r="BB63" s="263">
        <f>EZ63+'User Input - Correlations'!BB63</f>
        <v>0</v>
      </c>
      <c r="BC63" s="263">
        <v>1</v>
      </c>
      <c r="BD63" s="263">
        <f>FB63+'User Input - Correlations'!BD63</f>
        <v>0</v>
      </c>
      <c r="BE63" s="263">
        <f>FC63+'User Input - Correlations'!BE63</f>
        <v>0</v>
      </c>
      <c r="BF63" s="263">
        <f>FD63+'User Input - Correlations'!BF63</f>
        <v>0</v>
      </c>
      <c r="BG63" s="263">
        <f>FE63+'User Input - Correlations'!BG63</f>
        <v>0</v>
      </c>
      <c r="BH63" s="263">
        <f>FF63+'User Input - Correlations'!BH63</f>
        <v>0</v>
      </c>
      <c r="BI63" s="263">
        <f>FG63+'User Input - Correlations'!BI63</f>
        <v>0</v>
      </c>
      <c r="BJ63" s="263">
        <f>FH63+'User Input - Correlations'!BJ63</f>
        <v>0</v>
      </c>
      <c r="BK63" s="263">
        <f>FI63+'User Input - Correlations'!BK63</f>
        <v>0</v>
      </c>
      <c r="BL63" s="263">
        <f>FJ63+'User Input - Correlations'!BL63</f>
        <v>0</v>
      </c>
      <c r="BM63" s="263">
        <f>FK63+'User Input - Correlations'!BM63</f>
        <v>0</v>
      </c>
      <c r="BN63" s="263">
        <f>FL63+'User Input - Correlations'!BN63</f>
        <v>0</v>
      </c>
      <c r="BO63" s="263">
        <f>FM63+'User Input - Correlations'!BO63</f>
        <v>0</v>
      </c>
      <c r="BP63" s="263">
        <f>FN63+'User Input - Correlations'!BP63</f>
        <v>0</v>
      </c>
      <c r="BQ63" s="263">
        <f>FO63+'User Input - Correlations'!BQ63</f>
        <v>0</v>
      </c>
      <c r="BR63" s="263">
        <f>FP63+'User Input - Correlations'!BR63</f>
        <v>0</v>
      </c>
      <c r="BS63" s="263">
        <f>FQ63+'User Input - Correlations'!BS63</f>
        <v>0</v>
      </c>
      <c r="BT63" s="263">
        <f>FR63+'User Input - Correlations'!BT63</f>
        <v>0</v>
      </c>
      <c r="BU63" s="263">
        <f>FS63+'User Input - Correlations'!BU63</f>
        <v>0</v>
      </c>
      <c r="BV63" s="263">
        <f>FT63+'User Input - Correlations'!BV63</f>
        <v>0</v>
      </c>
      <c r="BW63" s="263">
        <f>FU63+'User Input - Correlations'!BW63</f>
        <v>0</v>
      </c>
      <c r="BX63" s="263">
        <f>FV63+'User Input - Correlations'!BX63</f>
        <v>0</v>
      </c>
      <c r="BY63" s="263">
        <f>FW63+'User Input - Correlations'!BY63</f>
        <v>0</v>
      </c>
      <c r="BZ63" s="263">
        <f>FX63+'User Input - Correlations'!BZ63</f>
        <v>0</v>
      </c>
      <c r="CA63" s="263">
        <f>FY63+'User Input - Correlations'!CA63</f>
        <v>0</v>
      </c>
      <c r="CB63" s="263">
        <f>FZ63+'User Input - Correlations'!CB63</f>
        <v>0</v>
      </c>
      <c r="CC63" s="263">
        <f>GA63+'User Input - Correlations'!CC63</f>
        <v>0</v>
      </c>
      <c r="CD63" s="263">
        <f>GB63+'User Input - Correlations'!CD63</f>
        <v>0</v>
      </c>
      <c r="CE63" s="263">
        <f>GC63+'User Input - Correlations'!CE63</f>
        <v>0</v>
      </c>
      <c r="CF63" s="263">
        <f>GD63+'User Input - Correlations'!CF63</f>
        <v>0</v>
      </c>
      <c r="CG63" s="263">
        <f>GE63+'User Input - Correlations'!CG63</f>
        <v>0</v>
      </c>
      <c r="CH63" s="263">
        <f>GF63+'User Input - Correlations'!CH63</f>
        <v>0</v>
      </c>
      <c r="CI63" s="263">
        <f>GG63+'User Input - Correlations'!CI63</f>
        <v>0</v>
      </c>
      <c r="CJ63" s="263">
        <f>GH63+'User Input - Correlations'!CJ63</f>
        <v>0</v>
      </c>
      <c r="CK63" s="263">
        <f>GI63+'User Input - Correlations'!CK63</f>
        <v>0</v>
      </c>
      <c r="CL63" s="263">
        <f>GJ63+'User Input - Correlations'!CL63</f>
        <v>0</v>
      </c>
      <c r="CM63" s="263">
        <f>GK63+'User Input - Correlations'!CM63</f>
        <v>0</v>
      </c>
      <c r="CN63" s="263">
        <f>GL63+'User Input - Correlations'!CN63</f>
        <v>0</v>
      </c>
      <c r="CO63" s="263">
        <f>GM63+'User Input - Correlations'!CO63</f>
        <v>0</v>
      </c>
      <c r="CP63" s="264">
        <f>GN63+'User Input - Correlations'!CP63</f>
        <v>0</v>
      </c>
      <c r="CQ63" s="281">
        <f ca="1">MDETERM(OFFSET($C$11,0,0,ROWS($CQ$11:$CQ63),ROWS($CQ$11:$CQ63)))</f>
        <v>1</v>
      </c>
      <c r="DA63" s="263">
        <v>0</v>
      </c>
      <c r="DB63" s="263">
        <v>0</v>
      </c>
      <c r="DC63" s="263">
        <v>0</v>
      </c>
      <c r="DD63" s="263">
        <v>0</v>
      </c>
      <c r="DE63" s="263">
        <v>0</v>
      </c>
      <c r="DF63" s="263">
        <v>0</v>
      </c>
      <c r="DG63" s="263">
        <v>0</v>
      </c>
      <c r="DH63" s="263">
        <v>0</v>
      </c>
      <c r="DI63" s="263">
        <v>0</v>
      </c>
      <c r="DJ63" s="263">
        <v>0</v>
      </c>
      <c r="DK63" s="263">
        <v>0</v>
      </c>
      <c r="DL63" s="263">
        <v>0</v>
      </c>
      <c r="DM63" s="263">
        <v>0</v>
      </c>
      <c r="DN63" s="263">
        <v>0</v>
      </c>
      <c r="DO63" s="263">
        <v>0</v>
      </c>
      <c r="DP63" s="263">
        <v>0</v>
      </c>
      <c r="DQ63" s="263">
        <v>0</v>
      </c>
      <c r="DR63" s="263">
        <v>0</v>
      </c>
      <c r="DS63" s="263">
        <v>0</v>
      </c>
      <c r="DT63" s="263">
        <v>0</v>
      </c>
      <c r="DU63" s="263">
        <v>0</v>
      </c>
      <c r="DV63" s="263">
        <v>0</v>
      </c>
      <c r="DW63" s="263">
        <v>0</v>
      </c>
      <c r="DX63" s="263">
        <v>0</v>
      </c>
      <c r="DY63" s="263">
        <v>0</v>
      </c>
      <c r="DZ63" s="263">
        <v>0</v>
      </c>
      <c r="EA63" s="263">
        <v>0</v>
      </c>
      <c r="EB63" s="263">
        <v>0</v>
      </c>
      <c r="EC63" s="263">
        <v>0</v>
      </c>
      <c r="ED63" s="263">
        <v>0</v>
      </c>
      <c r="EE63" s="263">
        <v>0</v>
      </c>
      <c r="EF63" s="263">
        <v>0</v>
      </c>
      <c r="EG63" s="263">
        <v>0</v>
      </c>
      <c r="EH63" s="263">
        <v>0</v>
      </c>
      <c r="EI63" s="263">
        <v>0</v>
      </c>
      <c r="EJ63" s="263">
        <v>0</v>
      </c>
      <c r="EK63" s="263">
        <v>0</v>
      </c>
      <c r="EL63" s="263">
        <v>0</v>
      </c>
      <c r="EM63" s="263">
        <v>0</v>
      </c>
      <c r="EN63" s="263">
        <v>0</v>
      </c>
      <c r="EO63" s="263">
        <v>0</v>
      </c>
      <c r="EP63" s="263">
        <v>0</v>
      </c>
      <c r="EQ63" s="263">
        <v>0</v>
      </c>
      <c r="ER63" s="263">
        <v>0</v>
      </c>
      <c r="ES63" s="263">
        <v>0</v>
      </c>
      <c r="ET63" s="263">
        <v>0</v>
      </c>
      <c r="EU63" s="263">
        <v>0</v>
      </c>
      <c r="EV63" s="263">
        <v>0</v>
      </c>
      <c r="EW63" s="263">
        <v>0</v>
      </c>
      <c r="EX63" s="263">
        <v>0</v>
      </c>
      <c r="EY63" s="263">
        <v>0</v>
      </c>
      <c r="EZ63" s="263">
        <v>0</v>
      </c>
      <c r="FA63" s="263">
        <v>1</v>
      </c>
      <c r="FB63" s="263">
        <v>0</v>
      </c>
      <c r="FC63" s="263">
        <v>0</v>
      </c>
      <c r="FD63" s="263">
        <v>0</v>
      </c>
      <c r="FE63" s="263">
        <v>0</v>
      </c>
      <c r="FF63" s="263">
        <v>0</v>
      </c>
      <c r="FG63" s="263">
        <v>0</v>
      </c>
      <c r="FH63" s="263">
        <v>0</v>
      </c>
      <c r="FI63" s="263">
        <v>0</v>
      </c>
      <c r="FJ63" s="263">
        <v>0</v>
      </c>
      <c r="FK63" s="263">
        <v>0</v>
      </c>
      <c r="FL63" s="263">
        <v>0</v>
      </c>
      <c r="FM63" s="263">
        <v>0</v>
      </c>
      <c r="FN63" s="263">
        <v>0</v>
      </c>
      <c r="FO63" s="263">
        <v>0</v>
      </c>
      <c r="FP63" s="263">
        <v>0</v>
      </c>
      <c r="FQ63" s="263">
        <v>0</v>
      </c>
      <c r="FR63" s="263">
        <v>0</v>
      </c>
      <c r="FS63" s="263">
        <v>0</v>
      </c>
      <c r="FT63" s="263">
        <v>0</v>
      </c>
      <c r="FU63" s="263">
        <v>0</v>
      </c>
      <c r="FV63" s="263">
        <v>0</v>
      </c>
      <c r="FW63" s="263">
        <v>0</v>
      </c>
      <c r="FX63" s="263">
        <v>0</v>
      </c>
      <c r="FY63" s="263">
        <v>0</v>
      </c>
      <c r="FZ63" s="263">
        <v>0</v>
      </c>
      <c r="GA63" s="263">
        <v>0</v>
      </c>
      <c r="GB63" s="263">
        <v>0</v>
      </c>
      <c r="GC63" s="263">
        <v>0</v>
      </c>
      <c r="GD63" s="263">
        <v>0</v>
      </c>
      <c r="GE63" s="263">
        <v>0</v>
      </c>
      <c r="GF63" s="263">
        <v>0</v>
      </c>
      <c r="GG63" s="263">
        <v>0</v>
      </c>
      <c r="GH63" s="263">
        <v>0</v>
      </c>
      <c r="GI63" s="263">
        <v>0</v>
      </c>
      <c r="GJ63" s="263">
        <v>0</v>
      </c>
      <c r="GK63" s="263">
        <v>0</v>
      </c>
      <c r="GL63" s="263">
        <v>0</v>
      </c>
      <c r="GM63" s="263">
        <v>0</v>
      </c>
      <c r="GN63" s="263">
        <v>0</v>
      </c>
    </row>
    <row r="64" ht="12.75" customHeight="1">
      <c r="A64" s="286" t="s">
        <v>227</v>
      </c>
      <c r="B64" s="286" t="s">
        <v>86</v>
      </c>
      <c r="C64" s="263">
        <f>DA64+'User Input - Correlations'!C64</f>
        <v>0</v>
      </c>
      <c r="D64" s="263">
        <f>DB64+'User Input - Correlations'!D64</f>
        <v>0</v>
      </c>
      <c r="E64" s="263">
        <f>DC64+'User Input - Correlations'!E64</f>
        <v>0</v>
      </c>
      <c r="F64" s="263">
        <f>DD64+'User Input - Correlations'!F64</f>
        <v>0</v>
      </c>
      <c r="G64" s="263">
        <f>DE64+'User Input - Correlations'!G64</f>
        <v>0</v>
      </c>
      <c r="H64" s="263">
        <f>DF64+'User Input - Correlations'!H64</f>
        <v>0</v>
      </c>
      <c r="I64" s="263">
        <f>DG64+'User Input - Correlations'!I64</f>
        <v>0</v>
      </c>
      <c r="J64" s="263">
        <f>DH64+'User Input - Correlations'!J64</f>
        <v>0</v>
      </c>
      <c r="K64" s="263">
        <f>DI64+'User Input - Correlations'!K64</f>
        <v>0</v>
      </c>
      <c r="L64" s="263">
        <f>DJ64+'User Input - Correlations'!L64</f>
        <v>0</v>
      </c>
      <c r="M64" s="263">
        <f>DK64+'User Input - Correlations'!M64</f>
        <v>0</v>
      </c>
      <c r="N64" s="263">
        <f>DL64+'User Input - Correlations'!N64</f>
        <v>0</v>
      </c>
      <c r="O64" s="263">
        <f>DM64+'User Input - Correlations'!O64</f>
        <v>0</v>
      </c>
      <c r="P64" s="263">
        <f>DN64+'User Input - Correlations'!P64</f>
        <v>0</v>
      </c>
      <c r="Q64" s="263">
        <f>DO64+'User Input - Correlations'!Q64</f>
        <v>0</v>
      </c>
      <c r="R64" s="263">
        <f>DP64+'User Input - Correlations'!R64</f>
        <v>0</v>
      </c>
      <c r="S64" s="263">
        <f>DQ64+'User Input - Correlations'!S64</f>
        <v>0</v>
      </c>
      <c r="T64" s="263">
        <f>DR64+'User Input - Correlations'!T64</f>
        <v>0</v>
      </c>
      <c r="U64" s="263">
        <f>DS64+'User Input - Correlations'!U64</f>
        <v>0</v>
      </c>
      <c r="V64" s="263">
        <f>DT64+'User Input - Correlations'!V64</f>
        <v>0</v>
      </c>
      <c r="W64" s="263">
        <f>DU64+'User Input - Correlations'!W64</f>
        <v>0</v>
      </c>
      <c r="X64" s="263">
        <f>DV64+'User Input - Correlations'!X64</f>
        <v>0</v>
      </c>
      <c r="Y64" s="263">
        <f>DW64+'User Input - Correlations'!Y64</f>
        <v>0</v>
      </c>
      <c r="Z64" s="263">
        <f>DX64+'User Input - Correlations'!Z64</f>
        <v>0</v>
      </c>
      <c r="AA64" s="263">
        <f>DY64+'User Input - Correlations'!AA64</f>
        <v>0</v>
      </c>
      <c r="AB64" s="263">
        <f>DZ64+'User Input - Correlations'!AB64</f>
        <v>0</v>
      </c>
      <c r="AC64" s="263">
        <f>EA64+'User Input - Correlations'!AC64</f>
        <v>0</v>
      </c>
      <c r="AD64" s="263">
        <f>EB64+'User Input - Correlations'!AD64</f>
        <v>0</v>
      </c>
      <c r="AE64" s="263">
        <f>EC64+'User Input - Correlations'!AE64</f>
        <v>0</v>
      </c>
      <c r="AF64" s="263">
        <f>ED64+'User Input - Correlations'!AF64</f>
        <v>0</v>
      </c>
      <c r="AG64" s="263">
        <f>EE64+'User Input - Correlations'!AG64</f>
        <v>0</v>
      </c>
      <c r="AH64" s="263">
        <f>EF64+'User Input - Correlations'!AH64</f>
        <v>0</v>
      </c>
      <c r="AI64" s="263">
        <f>EG64+'User Input - Correlations'!AI64</f>
        <v>0</v>
      </c>
      <c r="AJ64" s="263">
        <f>EH64+'User Input - Correlations'!AJ64</f>
        <v>0</v>
      </c>
      <c r="AK64" s="263">
        <f>EI64+'User Input - Correlations'!AK64</f>
        <v>0</v>
      </c>
      <c r="AL64" s="263">
        <f>EJ64+'User Input - Correlations'!AL64</f>
        <v>0</v>
      </c>
      <c r="AM64" s="263">
        <f>EK64+'User Input - Correlations'!AM64</f>
        <v>0</v>
      </c>
      <c r="AN64" s="263">
        <f>EL64+'User Input - Correlations'!AN64</f>
        <v>0</v>
      </c>
      <c r="AO64" s="263">
        <f>EM64+'User Input - Correlations'!AO64</f>
        <v>0</v>
      </c>
      <c r="AP64" s="263">
        <f>EN64+'User Input - Correlations'!AP64</f>
        <v>0</v>
      </c>
      <c r="AQ64" s="263">
        <f>EO64+'User Input - Correlations'!AQ64</f>
        <v>0</v>
      </c>
      <c r="AR64" s="263">
        <f>EP64+'User Input - Correlations'!AR64</f>
        <v>0</v>
      </c>
      <c r="AS64" s="263">
        <f>EQ64+'User Input - Correlations'!AS64</f>
        <v>0</v>
      </c>
      <c r="AT64" s="263">
        <f>ER64+'User Input - Correlations'!AT64</f>
        <v>0</v>
      </c>
      <c r="AU64" s="263">
        <f>ES64+'User Input - Correlations'!AU64</f>
        <v>0</v>
      </c>
      <c r="AV64" s="263">
        <f>ET64+'User Input - Correlations'!AV64</f>
        <v>0</v>
      </c>
      <c r="AW64" s="263">
        <f>EU64+'User Input - Correlations'!AW64</f>
        <v>0</v>
      </c>
      <c r="AX64" s="263">
        <f>EV64+'User Input - Correlations'!AX64</f>
        <v>0</v>
      </c>
      <c r="AY64" s="263">
        <f>EW64+'User Input - Correlations'!AY64</f>
        <v>0</v>
      </c>
      <c r="AZ64" s="263">
        <f>EX64+'User Input - Correlations'!AZ64</f>
        <v>0</v>
      </c>
      <c r="BA64" s="263">
        <f>EY64+'User Input - Correlations'!BA64</f>
        <v>0</v>
      </c>
      <c r="BB64" s="263">
        <f>EZ64+'User Input - Correlations'!BB64</f>
        <v>0</v>
      </c>
      <c r="BC64" s="263">
        <f>FA64+'User Input - Correlations'!BC64</f>
        <v>0</v>
      </c>
      <c r="BD64" s="263">
        <v>1</v>
      </c>
      <c r="BE64" s="263">
        <f>FC64+'User Input - Correlations'!BE64</f>
        <v>0</v>
      </c>
      <c r="BF64" s="263">
        <f>FD64+'User Input - Correlations'!BF64</f>
        <v>0</v>
      </c>
      <c r="BG64" s="263">
        <f>FE64+'User Input - Correlations'!BG64</f>
        <v>0</v>
      </c>
      <c r="BH64" s="263">
        <f>FF64+'User Input - Correlations'!BH64</f>
        <v>0</v>
      </c>
      <c r="BI64" s="263">
        <f>FG64+'User Input - Correlations'!BI64</f>
        <v>0</v>
      </c>
      <c r="BJ64" s="263">
        <f>FH64+'User Input - Correlations'!BJ64</f>
        <v>0</v>
      </c>
      <c r="BK64" s="263">
        <f>FI64+'User Input - Correlations'!BK64</f>
        <v>0</v>
      </c>
      <c r="BL64" s="263">
        <f>FJ64+'User Input - Correlations'!BL64</f>
        <v>0</v>
      </c>
      <c r="BM64" s="263">
        <f>FK64+'User Input - Correlations'!BM64</f>
        <v>0</v>
      </c>
      <c r="BN64" s="263">
        <f>FL64+'User Input - Correlations'!BN64</f>
        <v>0</v>
      </c>
      <c r="BO64" s="263">
        <f>FM64+'User Input - Correlations'!BO64</f>
        <v>0</v>
      </c>
      <c r="BP64" s="263">
        <f>FN64+'User Input - Correlations'!BP64</f>
        <v>0</v>
      </c>
      <c r="BQ64" s="263">
        <f>FO64+'User Input - Correlations'!BQ64</f>
        <v>0</v>
      </c>
      <c r="BR64" s="263">
        <f>FP64+'User Input - Correlations'!BR64</f>
        <v>0</v>
      </c>
      <c r="BS64" s="263">
        <f>FQ64+'User Input - Correlations'!BS64</f>
        <v>0</v>
      </c>
      <c r="BT64" s="263">
        <f>FR64+'User Input - Correlations'!BT64</f>
        <v>0</v>
      </c>
      <c r="BU64" s="263">
        <f>FS64+'User Input - Correlations'!BU64</f>
        <v>0</v>
      </c>
      <c r="BV64" s="263">
        <f>FT64+'User Input - Correlations'!BV64</f>
        <v>0</v>
      </c>
      <c r="BW64" s="263">
        <f>FU64+'User Input - Correlations'!BW64</f>
        <v>0</v>
      </c>
      <c r="BX64" s="263">
        <f>FV64+'User Input - Correlations'!BX64</f>
        <v>0</v>
      </c>
      <c r="BY64" s="263">
        <f>FW64+'User Input - Correlations'!BY64</f>
        <v>0</v>
      </c>
      <c r="BZ64" s="263">
        <f>FX64+'User Input - Correlations'!BZ64</f>
        <v>0</v>
      </c>
      <c r="CA64" s="263">
        <f>FY64+'User Input - Correlations'!CA64</f>
        <v>0</v>
      </c>
      <c r="CB64" s="263">
        <f>FZ64+'User Input - Correlations'!CB64</f>
        <v>0</v>
      </c>
      <c r="CC64" s="263">
        <f>GA64+'User Input - Correlations'!CC64</f>
        <v>0</v>
      </c>
      <c r="CD64" s="263">
        <f>GB64+'User Input - Correlations'!CD64</f>
        <v>0</v>
      </c>
      <c r="CE64" s="263">
        <f>GC64+'User Input - Correlations'!CE64</f>
        <v>0</v>
      </c>
      <c r="CF64" s="263">
        <f>GD64+'User Input - Correlations'!CF64</f>
        <v>0</v>
      </c>
      <c r="CG64" s="263">
        <f>GE64+'User Input - Correlations'!CG64</f>
        <v>0</v>
      </c>
      <c r="CH64" s="263">
        <f>GF64+'User Input - Correlations'!CH64</f>
        <v>0</v>
      </c>
      <c r="CI64" s="263">
        <f>GG64+'User Input - Correlations'!CI64</f>
        <v>0</v>
      </c>
      <c r="CJ64" s="263">
        <f>GH64+'User Input - Correlations'!CJ64</f>
        <v>0</v>
      </c>
      <c r="CK64" s="263">
        <f>GI64+'User Input - Correlations'!CK64</f>
        <v>0</v>
      </c>
      <c r="CL64" s="263">
        <f>GJ64+'User Input - Correlations'!CL64</f>
        <v>0</v>
      </c>
      <c r="CM64" s="263">
        <f>GK64+'User Input - Correlations'!CM64</f>
        <v>0</v>
      </c>
      <c r="CN64" s="263">
        <f>GL64+'User Input - Correlations'!CN64</f>
        <v>0</v>
      </c>
      <c r="CO64" s="263">
        <f>GM64+'User Input - Correlations'!CO64</f>
        <v>0</v>
      </c>
      <c r="CP64" s="264">
        <f>GN64+'User Input - Correlations'!CP64</f>
        <v>0</v>
      </c>
      <c r="CQ64" s="281">
        <f ca="1">MDETERM(OFFSET($C$11,0,0,ROWS($CQ$11:$CQ64),ROWS($CQ$11:$CQ64)))</f>
        <v>1</v>
      </c>
      <c r="DA64" s="263">
        <v>0</v>
      </c>
      <c r="DB64" s="263">
        <v>0</v>
      </c>
      <c r="DC64" s="263">
        <v>0</v>
      </c>
      <c r="DD64" s="263">
        <v>0</v>
      </c>
      <c r="DE64" s="263">
        <v>0</v>
      </c>
      <c r="DF64" s="263">
        <v>0</v>
      </c>
      <c r="DG64" s="263">
        <v>0</v>
      </c>
      <c r="DH64" s="263">
        <v>0</v>
      </c>
      <c r="DI64" s="263">
        <v>0</v>
      </c>
      <c r="DJ64" s="263">
        <v>0</v>
      </c>
      <c r="DK64" s="263">
        <v>0</v>
      </c>
      <c r="DL64" s="263">
        <v>0</v>
      </c>
      <c r="DM64" s="263">
        <v>0</v>
      </c>
      <c r="DN64" s="263">
        <v>0</v>
      </c>
      <c r="DO64" s="263">
        <v>0</v>
      </c>
      <c r="DP64" s="263">
        <v>0</v>
      </c>
      <c r="DQ64" s="263">
        <v>0</v>
      </c>
      <c r="DR64" s="263">
        <v>0</v>
      </c>
      <c r="DS64" s="263">
        <v>0</v>
      </c>
      <c r="DT64" s="263">
        <v>0</v>
      </c>
      <c r="DU64" s="263">
        <v>0</v>
      </c>
      <c r="DV64" s="263">
        <v>0</v>
      </c>
      <c r="DW64" s="263">
        <v>0</v>
      </c>
      <c r="DX64" s="263">
        <v>0</v>
      </c>
      <c r="DY64" s="263">
        <v>0</v>
      </c>
      <c r="DZ64" s="263">
        <v>0</v>
      </c>
      <c r="EA64" s="263">
        <v>0</v>
      </c>
      <c r="EB64" s="263">
        <v>0</v>
      </c>
      <c r="EC64" s="263">
        <v>0</v>
      </c>
      <c r="ED64" s="263">
        <v>0</v>
      </c>
      <c r="EE64" s="263">
        <v>0</v>
      </c>
      <c r="EF64" s="263">
        <v>0</v>
      </c>
      <c r="EG64" s="263">
        <v>0</v>
      </c>
      <c r="EH64" s="263">
        <v>0</v>
      </c>
      <c r="EI64" s="263">
        <v>0</v>
      </c>
      <c r="EJ64" s="263">
        <v>0</v>
      </c>
      <c r="EK64" s="263">
        <v>0</v>
      </c>
      <c r="EL64" s="263">
        <v>0</v>
      </c>
      <c r="EM64" s="263">
        <v>0</v>
      </c>
      <c r="EN64" s="263">
        <v>0</v>
      </c>
      <c r="EO64" s="263">
        <v>0</v>
      </c>
      <c r="EP64" s="263">
        <v>0</v>
      </c>
      <c r="EQ64" s="263">
        <v>0</v>
      </c>
      <c r="ER64" s="263">
        <v>0</v>
      </c>
      <c r="ES64" s="263">
        <v>0</v>
      </c>
      <c r="ET64" s="263">
        <v>0</v>
      </c>
      <c r="EU64" s="263">
        <v>0</v>
      </c>
      <c r="EV64" s="263">
        <v>0</v>
      </c>
      <c r="EW64" s="263">
        <v>0</v>
      </c>
      <c r="EX64" s="263">
        <v>0</v>
      </c>
      <c r="EY64" s="263">
        <v>0</v>
      </c>
      <c r="EZ64" s="263">
        <v>0</v>
      </c>
      <c r="FA64" s="263">
        <v>0</v>
      </c>
      <c r="FB64" s="263">
        <v>1</v>
      </c>
      <c r="FC64" s="263">
        <v>0</v>
      </c>
      <c r="FD64" s="263">
        <v>0</v>
      </c>
      <c r="FE64" s="263">
        <v>0</v>
      </c>
      <c r="FF64" s="263">
        <v>0</v>
      </c>
      <c r="FG64" s="263">
        <v>0</v>
      </c>
      <c r="FH64" s="263">
        <v>0</v>
      </c>
      <c r="FI64" s="263">
        <v>0</v>
      </c>
      <c r="FJ64" s="263">
        <v>0</v>
      </c>
      <c r="FK64" s="263">
        <v>0</v>
      </c>
      <c r="FL64" s="263">
        <v>0</v>
      </c>
      <c r="FM64" s="263">
        <v>0</v>
      </c>
      <c r="FN64" s="263">
        <v>0</v>
      </c>
      <c r="FO64" s="263">
        <v>0</v>
      </c>
      <c r="FP64" s="263">
        <v>0</v>
      </c>
      <c r="FQ64" s="263">
        <v>0</v>
      </c>
      <c r="FR64" s="263">
        <v>0</v>
      </c>
      <c r="FS64" s="263">
        <v>0</v>
      </c>
      <c r="FT64" s="263">
        <v>0</v>
      </c>
      <c r="FU64" s="263">
        <v>0</v>
      </c>
      <c r="FV64" s="263">
        <v>0</v>
      </c>
      <c r="FW64" s="263">
        <v>0</v>
      </c>
      <c r="FX64" s="263">
        <v>0</v>
      </c>
      <c r="FY64" s="263">
        <v>0</v>
      </c>
      <c r="FZ64" s="263">
        <v>0</v>
      </c>
      <c r="GA64" s="263">
        <v>0</v>
      </c>
      <c r="GB64" s="263">
        <v>0</v>
      </c>
      <c r="GC64" s="263">
        <v>0</v>
      </c>
      <c r="GD64" s="263">
        <v>0</v>
      </c>
      <c r="GE64" s="263">
        <v>0</v>
      </c>
      <c r="GF64" s="263">
        <v>0</v>
      </c>
      <c r="GG64" s="263">
        <v>0</v>
      </c>
      <c r="GH64" s="263">
        <v>0</v>
      </c>
      <c r="GI64" s="263">
        <v>0</v>
      </c>
      <c r="GJ64" s="263">
        <v>0</v>
      </c>
      <c r="GK64" s="263">
        <v>0</v>
      </c>
      <c r="GL64" s="263">
        <v>0</v>
      </c>
      <c r="GM64" s="263">
        <v>0</v>
      </c>
      <c r="GN64" s="263">
        <v>0</v>
      </c>
    </row>
    <row r="65" ht="12.75" customHeight="1">
      <c r="A65" s="286" t="s">
        <v>191</v>
      </c>
      <c r="B65" s="286" t="s">
        <v>86</v>
      </c>
      <c r="C65" s="263">
        <f>DA65+'User Input - Correlations'!C65</f>
        <v>0</v>
      </c>
      <c r="D65" s="263">
        <f>DB65+'User Input - Correlations'!D65</f>
        <v>0</v>
      </c>
      <c r="E65" s="263">
        <f>DC65+'User Input - Correlations'!E65</f>
        <v>0</v>
      </c>
      <c r="F65" s="263">
        <f>DD65+'User Input - Correlations'!F65</f>
        <v>0</v>
      </c>
      <c r="G65" s="263">
        <f>DE65+'User Input - Correlations'!G65</f>
        <v>0</v>
      </c>
      <c r="H65" s="263">
        <f>DF65+'User Input - Correlations'!H65</f>
        <v>0</v>
      </c>
      <c r="I65" s="263">
        <f>DG65+'User Input - Correlations'!I65</f>
        <v>0</v>
      </c>
      <c r="J65" s="263">
        <f>DH65+'User Input - Correlations'!J65</f>
        <v>0</v>
      </c>
      <c r="K65" s="263">
        <f>DI65+'User Input - Correlations'!K65</f>
        <v>0</v>
      </c>
      <c r="L65" s="263">
        <f>DJ65+'User Input - Correlations'!L65</f>
        <v>0</v>
      </c>
      <c r="M65" s="263">
        <f>DK65+'User Input - Correlations'!M65</f>
        <v>0</v>
      </c>
      <c r="N65" s="263">
        <f>DL65+'User Input - Correlations'!N65</f>
        <v>0</v>
      </c>
      <c r="O65" s="263">
        <f>DM65+'User Input - Correlations'!O65</f>
        <v>0</v>
      </c>
      <c r="P65" s="263">
        <f>DN65+'User Input - Correlations'!P65</f>
        <v>0</v>
      </c>
      <c r="Q65" s="263">
        <f>DO65+'User Input - Correlations'!Q65</f>
        <v>0</v>
      </c>
      <c r="R65" s="263">
        <f>DP65+'User Input - Correlations'!R65</f>
        <v>0</v>
      </c>
      <c r="S65" s="263">
        <f>DQ65+'User Input - Correlations'!S65</f>
        <v>0</v>
      </c>
      <c r="T65" s="263">
        <f>DR65+'User Input - Correlations'!T65</f>
        <v>0</v>
      </c>
      <c r="U65" s="263">
        <f>DS65+'User Input - Correlations'!U65</f>
        <v>0</v>
      </c>
      <c r="V65" s="263">
        <f>DT65+'User Input - Correlations'!V65</f>
        <v>0</v>
      </c>
      <c r="W65" s="263">
        <f>DU65+'User Input - Correlations'!W65</f>
        <v>0</v>
      </c>
      <c r="X65" s="263">
        <f>DV65+'User Input - Correlations'!X65</f>
        <v>0</v>
      </c>
      <c r="Y65" s="263">
        <f>DW65+'User Input - Correlations'!Y65</f>
        <v>0</v>
      </c>
      <c r="Z65" s="263">
        <f>DX65+'User Input - Correlations'!Z65</f>
        <v>0</v>
      </c>
      <c r="AA65" s="263">
        <f>DY65+'User Input - Correlations'!AA65</f>
        <v>0</v>
      </c>
      <c r="AB65" s="263">
        <f>DZ65+'User Input - Correlations'!AB65</f>
        <v>0</v>
      </c>
      <c r="AC65" s="263">
        <f>EA65+'User Input - Correlations'!AC65</f>
        <v>0</v>
      </c>
      <c r="AD65" s="263">
        <f>EB65+'User Input - Correlations'!AD65</f>
        <v>0</v>
      </c>
      <c r="AE65" s="263">
        <f>EC65+'User Input - Correlations'!AE65</f>
        <v>0</v>
      </c>
      <c r="AF65" s="263">
        <f>ED65+'User Input - Correlations'!AF65</f>
        <v>0</v>
      </c>
      <c r="AG65" s="263">
        <f>EE65+'User Input - Correlations'!AG65</f>
        <v>0</v>
      </c>
      <c r="AH65" s="263">
        <f>EF65+'User Input - Correlations'!AH65</f>
        <v>0</v>
      </c>
      <c r="AI65" s="263">
        <f>EG65+'User Input - Correlations'!AI65</f>
        <v>0</v>
      </c>
      <c r="AJ65" s="263">
        <f>EH65+'User Input - Correlations'!AJ65</f>
        <v>0</v>
      </c>
      <c r="AK65" s="263">
        <f>EI65+'User Input - Correlations'!AK65</f>
        <v>0</v>
      </c>
      <c r="AL65" s="263">
        <f>EJ65+'User Input - Correlations'!AL65</f>
        <v>0</v>
      </c>
      <c r="AM65" s="263">
        <f>EK65+'User Input - Correlations'!AM65</f>
        <v>0</v>
      </c>
      <c r="AN65" s="263">
        <f>EL65+'User Input - Correlations'!AN65</f>
        <v>0</v>
      </c>
      <c r="AO65" s="263">
        <f>EM65+'User Input - Correlations'!AO65</f>
        <v>0</v>
      </c>
      <c r="AP65" s="263">
        <f>EN65+'User Input - Correlations'!AP65</f>
        <v>0</v>
      </c>
      <c r="AQ65" s="263">
        <f>EO65+'User Input - Correlations'!AQ65</f>
        <v>0</v>
      </c>
      <c r="AR65" s="263">
        <f>EP65+'User Input - Correlations'!AR65</f>
        <v>0</v>
      </c>
      <c r="AS65" s="263">
        <f>EQ65+'User Input - Correlations'!AS65</f>
        <v>0</v>
      </c>
      <c r="AT65" s="263">
        <f>ER65+'User Input - Correlations'!AT65</f>
        <v>0</v>
      </c>
      <c r="AU65" s="263">
        <f>ES65+'User Input - Correlations'!AU65</f>
        <v>0</v>
      </c>
      <c r="AV65" s="263">
        <f>ET65+'User Input - Correlations'!AV65</f>
        <v>0</v>
      </c>
      <c r="AW65" s="263">
        <f>EU65+'User Input - Correlations'!AW65</f>
        <v>0</v>
      </c>
      <c r="AX65" s="263">
        <f>EV65+'User Input - Correlations'!AX65</f>
        <v>0</v>
      </c>
      <c r="AY65" s="263">
        <f>EW65+'User Input - Correlations'!AY65</f>
        <v>0</v>
      </c>
      <c r="AZ65" s="263">
        <f>EX65+'User Input - Correlations'!AZ65</f>
        <v>0</v>
      </c>
      <c r="BA65" s="263">
        <f>EY65+'User Input - Correlations'!BA65</f>
        <v>0</v>
      </c>
      <c r="BB65" s="263">
        <f>EZ65+'User Input - Correlations'!BB65</f>
        <v>0</v>
      </c>
      <c r="BC65" s="263">
        <f>FA65+'User Input - Correlations'!BC65</f>
        <v>0</v>
      </c>
      <c r="BD65" s="263">
        <f>FB65+'User Input - Correlations'!BD65</f>
        <v>0</v>
      </c>
      <c r="BE65" s="263">
        <v>1</v>
      </c>
      <c r="BF65" s="263">
        <f>FD65+'User Input - Correlations'!BF65</f>
        <v>0</v>
      </c>
      <c r="BG65" s="263">
        <f>FE65+'User Input - Correlations'!BG65</f>
        <v>0</v>
      </c>
      <c r="BH65" s="263">
        <f>FF65+'User Input - Correlations'!BH65</f>
        <v>0</v>
      </c>
      <c r="BI65" s="263">
        <f>FG65+'User Input - Correlations'!BI65</f>
        <v>0</v>
      </c>
      <c r="BJ65" s="263">
        <f>FH65+'User Input - Correlations'!BJ65</f>
        <v>0</v>
      </c>
      <c r="BK65" s="263">
        <f>FI65+'User Input - Correlations'!BK65</f>
        <v>0</v>
      </c>
      <c r="BL65" s="263">
        <f>FJ65+'User Input - Correlations'!BL65</f>
        <v>0</v>
      </c>
      <c r="BM65" s="263">
        <f>FK65+'User Input - Correlations'!BM65</f>
        <v>0</v>
      </c>
      <c r="BN65" s="263">
        <f>FL65+'User Input - Correlations'!BN65</f>
        <v>0</v>
      </c>
      <c r="BO65" s="263">
        <f>FM65+'User Input - Correlations'!BO65</f>
        <v>0</v>
      </c>
      <c r="BP65" s="263">
        <f>FN65+'User Input - Correlations'!BP65</f>
        <v>0</v>
      </c>
      <c r="BQ65" s="263">
        <f>FO65+'User Input - Correlations'!BQ65</f>
        <v>0</v>
      </c>
      <c r="BR65" s="263">
        <f>FP65+'User Input - Correlations'!BR65</f>
        <v>0</v>
      </c>
      <c r="BS65" s="263">
        <f>FQ65+'User Input - Correlations'!BS65</f>
        <v>0</v>
      </c>
      <c r="BT65" s="263">
        <f>FR65+'User Input - Correlations'!BT65</f>
        <v>0</v>
      </c>
      <c r="BU65" s="263">
        <f>FS65+'User Input - Correlations'!BU65</f>
        <v>0</v>
      </c>
      <c r="BV65" s="263">
        <f>FT65+'User Input - Correlations'!BV65</f>
        <v>0</v>
      </c>
      <c r="BW65" s="263">
        <f>FU65+'User Input - Correlations'!BW65</f>
        <v>0</v>
      </c>
      <c r="BX65" s="263">
        <f>FV65+'User Input - Correlations'!BX65</f>
        <v>0</v>
      </c>
      <c r="BY65" s="263">
        <f>FW65+'User Input - Correlations'!BY65</f>
        <v>0</v>
      </c>
      <c r="BZ65" s="263">
        <f>FX65+'User Input - Correlations'!BZ65</f>
        <v>0</v>
      </c>
      <c r="CA65" s="263">
        <f>FY65+'User Input - Correlations'!CA65</f>
        <v>0</v>
      </c>
      <c r="CB65" s="263">
        <f>FZ65+'User Input - Correlations'!CB65</f>
        <v>0</v>
      </c>
      <c r="CC65" s="263">
        <f>GA65+'User Input - Correlations'!CC65</f>
        <v>0</v>
      </c>
      <c r="CD65" s="263">
        <f>GB65+'User Input - Correlations'!CD65</f>
        <v>0</v>
      </c>
      <c r="CE65" s="263">
        <f>GC65+'User Input - Correlations'!CE65</f>
        <v>0</v>
      </c>
      <c r="CF65" s="263">
        <f>GD65+'User Input - Correlations'!CF65</f>
        <v>0</v>
      </c>
      <c r="CG65" s="263">
        <f>GE65+'User Input - Correlations'!CG65</f>
        <v>0</v>
      </c>
      <c r="CH65" s="263">
        <f>GF65+'User Input - Correlations'!CH65</f>
        <v>0</v>
      </c>
      <c r="CI65" s="263">
        <f>GG65+'User Input - Correlations'!CI65</f>
        <v>0</v>
      </c>
      <c r="CJ65" s="263">
        <f>GH65+'User Input - Correlations'!CJ65</f>
        <v>0</v>
      </c>
      <c r="CK65" s="263">
        <f>GI65+'User Input - Correlations'!CK65</f>
        <v>0</v>
      </c>
      <c r="CL65" s="263">
        <f>GJ65+'User Input - Correlations'!CL65</f>
        <v>0</v>
      </c>
      <c r="CM65" s="263">
        <f>GK65+'User Input - Correlations'!CM65</f>
        <v>0</v>
      </c>
      <c r="CN65" s="263">
        <f>GL65+'User Input - Correlations'!CN65</f>
        <v>0</v>
      </c>
      <c r="CO65" s="263">
        <f>GM65+'User Input - Correlations'!CO65</f>
        <v>0</v>
      </c>
      <c r="CP65" s="264">
        <f>GN65+'User Input - Correlations'!CP65</f>
        <v>0</v>
      </c>
      <c r="CQ65" s="281">
        <f ca="1">MDETERM(OFFSET($C$11,0,0,ROWS($CQ$11:$CQ65),ROWS($CQ$11:$CQ65)))</f>
        <v>1</v>
      </c>
      <c r="DA65" s="263">
        <v>0</v>
      </c>
      <c r="DB65" s="263">
        <v>0</v>
      </c>
      <c r="DC65" s="263">
        <v>0</v>
      </c>
      <c r="DD65" s="263">
        <v>0</v>
      </c>
      <c r="DE65" s="263">
        <v>0</v>
      </c>
      <c r="DF65" s="263">
        <v>0</v>
      </c>
      <c r="DG65" s="263">
        <v>0</v>
      </c>
      <c r="DH65" s="263">
        <v>0</v>
      </c>
      <c r="DI65" s="263">
        <v>0</v>
      </c>
      <c r="DJ65" s="263">
        <v>0</v>
      </c>
      <c r="DK65" s="263">
        <v>0</v>
      </c>
      <c r="DL65" s="263">
        <v>0</v>
      </c>
      <c r="DM65" s="263">
        <v>0</v>
      </c>
      <c r="DN65" s="263">
        <v>0</v>
      </c>
      <c r="DO65" s="263">
        <v>0</v>
      </c>
      <c r="DP65" s="263">
        <v>0</v>
      </c>
      <c r="DQ65" s="263">
        <v>0</v>
      </c>
      <c r="DR65" s="263">
        <v>0</v>
      </c>
      <c r="DS65" s="263">
        <v>0</v>
      </c>
      <c r="DT65" s="263">
        <v>0</v>
      </c>
      <c r="DU65" s="263">
        <v>0</v>
      </c>
      <c r="DV65" s="263">
        <v>0</v>
      </c>
      <c r="DW65" s="263">
        <v>0</v>
      </c>
      <c r="DX65" s="263">
        <v>0</v>
      </c>
      <c r="DY65" s="263">
        <v>0</v>
      </c>
      <c r="DZ65" s="263">
        <v>0</v>
      </c>
      <c r="EA65" s="263">
        <v>0</v>
      </c>
      <c r="EB65" s="263">
        <v>0</v>
      </c>
      <c r="EC65" s="263">
        <v>0</v>
      </c>
      <c r="ED65" s="263">
        <v>0</v>
      </c>
      <c r="EE65" s="263">
        <v>0</v>
      </c>
      <c r="EF65" s="263">
        <v>0</v>
      </c>
      <c r="EG65" s="263">
        <v>0</v>
      </c>
      <c r="EH65" s="263">
        <v>0</v>
      </c>
      <c r="EI65" s="263">
        <v>0</v>
      </c>
      <c r="EJ65" s="263">
        <v>0</v>
      </c>
      <c r="EK65" s="263">
        <v>0</v>
      </c>
      <c r="EL65" s="263">
        <v>0</v>
      </c>
      <c r="EM65" s="263">
        <v>0</v>
      </c>
      <c r="EN65" s="263">
        <v>0</v>
      </c>
      <c r="EO65" s="263">
        <v>0</v>
      </c>
      <c r="EP65" s="263">
        <v>0</v>
      </c>
      <c r="EQ65" s="263">
        <v>0</v>
      </c>
      <c r="ER65" s="263">
        <v>0</v>
      </c>
      <c r="ES65" s="263">
        <v>0</v>
      </c>
      <c r="ET65" s="263">
        <v>0</v>
      </c>
      <c r="EU65" s="263">
        <v>0</v>
      </c>
      <c r="EV65" s="263">
        <v>0</v>
      </c>
      <c r="EW65" s="263">
        <v>0</v>
      </c>
      <c r="EX65" s="263">
        <v>0</v>
      </c>
      <c r="EY65" s="263">
        <v>0</v>
      </c>
      <c r="EZ65" s="263">
        <v>0</v>
      </c>
      <c r="FA65" s="263">
        <v>0</v>
      </c>
      <c r="FB65" s="263">
        <v>0</v>
      </c>
      <c r="FC65" s="263">
        <v>1</v>
      </c>
      <c r="FD65" s="263">
        <v>0</v>
      </c>
      <c r="FE65" s="263">
        <v>0</v>
      </c>
      <c r="FF65" s="263">
        <v>0</v>
      </c>
      <c r="FG65" s="263">
        <v>0</v>
      </c>
      <c r="FH65" s="263">
        <v>0</v>
      </c>
      <c r="FI65" s="263">
        <v>0</v>
      </c>
      <c r="FJ65" s="263">
        <v>0</v>
      </c>
      <c r="FK65" s="263">
        <v>0</v>
      </c>
      <c r="FL65" s="263">
        <v>0</v>
      </c>
      <c r="FM65" s="263">
        <v>0</v>
      </c>
      <c r="FN65" s="263">
        <v>0</v>
      </c>
      <c r="FO65" s="263">
        <v>0</v>
      </c>
      <c r="FP65" s="263">
        <v>0</v>
      </c>
      <c r="FQ65" s="263">
        <v>0</v>
      </c>
      <c r="FR65" s="263">
        <v>0</v>
      </c>
      <c r="FS65" s="263">
        <v>0</v>
      </c>
      <c r="FT65" s="263">
        <v>0</v>
      </c>
      <c r="FU65" s="263">
        <v>0</v>
      </c>
      <c r="FV65" s="263">
        <v>0</v>
      </c>
      <c r="FW65" s="263">
        <v>0</v>
      </c>
      <c r="FX65" s="263">
        <v>0</v>
      </c>
      <c r="FY65" s="263">
        <v>0</v>
      </c>
      <c r="FZ65" s="263">
        <v>0</v>
      </c>
      <c r="GA65" s="263">
        <v>0</v>
      </c>
      <c r="GB65" s="263">
        <v>0</v>
      </c>
      <c r="GC65" s="263">
        <v>0</v>
      </c>
      <c r="GD65" s="263">
        <v>0</v>
      </c>
      <c r="GE65" s="263">
        <v>0</v>
      </c>
      <c r="GF65" s="263">
        <v>0</v>
      </c>
      <c r="GG65" s="263">
        <v>0</v>
      </c>
      <c r="GH65" s="263">
        <v>0</v>
      </c>
      <c r="GI65" s="263">
        <v>0</v>
      </c>
      <c r="GJ65" s="263">
        <v>0</v>
      </c>
      <c r="GK65" s="263">
        <v>0</v>
      </c>
      <c r="GL65" s="263">
        <v>0</v>
      </c>
      <c r="GM65" s="263">
        <v>0</v>
      </c>
      <c r="GN65" s="263">
        <v>0</v>
      </c>
    </row>
    <row r="66" ht="12.75" customHeight="1">
      <c r="A66" s="286" t="s">
        <v>180</v>
      </c>
      <c r="B66" s="286" t="s">
        <v>86</v>
      </c>
      <c r="C66" s="263">
        <f>DA66+'User Input - Correlations'!C66</f>
        <v>0</v>
      </c>
      <c r="D66" s="263">
        <f>DB66+'User Input - Correlations'!D66</f>
        <v>0</v>
      </c>
      <c r="E66" s="263">
        <f>DC66+'User Input - Correlations'!E66</f>
        <v>0</v>
      </c>
      <c r="F66" s="263">
        <f>DD66+'User Input - Correlations'!F66</f>
        <v>0</v>
      </c>
      <c r="G66" s="263">
        <f>DE66+'User Input - Correlations'!G66</f>
        <v>0</v>
      </c>
      <c r="H66" s="263">
        <f>DF66+'User Input - Correlations'!H66</f>
        <v>0</v>
      </c>
      <c r="I66" s="263">
        <f>DG66+'User Input - Correlations'!I66</f>
        <v>0</v>
      </c>
      <c r="J66" s="263">
        <f>DH66+'User Input - Correlations'!J66</f>
        <v>0</v>
      </c>
      <c r="K66" s="263">
        <f>DI66+'User Input - Correlations'!K66</f>
        <v>0</v>
      </c>
      <c r="L66" s="263">
        <f>DJ66+'User Input - Correlations'!L66</f>
        <v>0</v>
      </c>
      <c r="M66" s="263">
        <f>DK66+'User Input - Correlations'!M66</f>
        <v>0</v>
      </c>
      <c r="N66" s="263">
        <f>DL66+'User Input - Correlations'!N66</f>
        <v>0</v>
      </c>
      <c r="O66" s="263">
        <f>DM66+'User Input - Correlations'!O66</f>
        <v>0</v>
      </c>
      <c r="P66" s="263">
        <f>DN66+'User Input - Correlations'!P66</f>
        <v>0</v>
      </c>
      <c r="Q66" s="263">
        <f>DO66+'User Input - Correlations'!Q66</f>
        <v>0</v>
      </c>
      <c r="R66" s="263">
        <f>DP66+'User Input - Correlations'!R66</f>
        <v>0</v>
      </c>
      <c r="S66" s="263">
        <f>DQ66+'User Input - Correlations'!S66</f>
        <v>0</v>
      </c>
      <c r="T66" s="263">
        <f>DR66+'User Input - Correlations'!T66</f>
        <v>0</v>
      </c>
      <c r="U66" s="263">
        <f>DS66+'User Input - Correlations'!U66</f>
        <v>0</v>
      </c>
      <c r="V66" s="263">
        <f>DT66+'User Input - Correlations'!V66</f>
        <v>0</v>
      </c>
      <c r="W66" s="263">
        <f>DU66+'User Input - Correlations'!W66</f>
        <v>0</v>
      </c>
      <c r="X66" s="263">
        <f>DV66+'User Input - Correlations'!X66</f>
        <v>0</v>
      </c>
      <c r="Y66" s="263">
        <f>DW66+'User Input - Correlations'!Y66</f>
        <v>0</v>
      </c>
      <c r="Z66" s="263">
        <f>DX66+'User Input - Correlations'!Z66</f>
        <v>0</v>
      </c>
      <c r="AA66" s="263">
        <f>DY66+'User Input - Correlations'!AA66</f>
        <v>0</v>
      </c>
      <c r="AB66" s="263">
        <f>DZ66+'User Input - Correlations'!AB66</f>
        <v>0</v>
      </c>
      <c r="AC66" s="263">
        <f>EA66+'User Input - Correlations'!AC66</f>
        <v>0</v>
      </c>
      <c r="AD66" s="263">
        <f>EB66+'User Input - Correlations'!AD66</f>
        <v>0</v>
      </c>
      <c r="AE66" s="263">
        <f>EC66+'User Input - Correlations'!AE66</f>
        <v>0</v>
      </c>
      <c r="AF66" s="263">
        <f>ED66+'User Input - Correlations'!AF66</f>
        <v>0</v>
      </c>
      <c r="AG66" s="263">
        <f>EE66+'User Input - Correlations'!AG66</f>
        <v>0</v>
      </c>
      <c r="AH66" s="263">
        <f>EF66+'User Input - Correlations'!AH66</f>
        <v>0</v>
      </c>
      <c r="AI66" s="263">
        <f>EG66+'User Input - Correlations'!AI66</f>
        <v>0</v>
      </c>
      <c r="AJ66" s="263">
        <f>EH66+'User Input - Correlations'!AJ66</f>
        <v>0</v>
      </c>
      <c r="AK66" s="263">
        <f>EI66+'User Input - Correlations'!AK66</f>
        <v>0</v>
      </c>
      <c r="AL66" s="263">
        <f>EJ66+'User Input - Correlations'!AL66</f>
        <v>0</v>
      </c>
      <c r="AM66" s="263">
        <f>EK66+'User Input - Correlations'!AM66</f>
        <v>0</v>
      </c>
      <c r="AN66" s="263">
        <f>EL66+'User Input - Correlations'!AN66</f>
        <v>0</v>
      </c>
      <c r="AO66" s="263">
        <f>EM66+'User Input - Correlations'!AO66</f>
        <v>0</v>
      </c>
      <c r="AP66" s="263">
        <f>EN66+'User Input - Correlations'!AP66</f>
        <v>0</v>
      </c>
      <c r="AQ66" s="263">
        <f>EO66+'User Input - Correlations'!AQ66</f>
        <v>0</v>
      </c>
      <c r="AR66" s="263">
        <f>EP66+'User Input - Correlations'!AR66</f>
        <v>0</v>
      </c>
      <c r="AS66" s="263">
        <f>EQ66+'User Input - Correlations'!AS66</f>
        <v>0</v>
      </c>
      <c r="AT66" s="263">
        <f>ER66+'User Input - Correlations'!AT66</f>
        <v>0</v>
      </c>
      <c r="AU66" s="263">
        <f>ES66+'User Input - Correlations'!AU66</f>
        <v>0</v>
      </c>
      <c r="AV66" s="263">
        <f>ET66+'User Input - Correlations'!AV66</f>
        <v>0</v>
      </c>
      <c r="AW66" s="263">
        <f>EU66+'User Input - Correlations'!AW66</f>
        <v>0</v>
      </c>
      <c r="AX66" s="263">
        <f>EV66+'User Input - Correlations'!AX66</f>
        <v>0</v>
      </c>
      <c r="AY66" s="263">
        <f>EW66+'User Input - Correlations'!AY66</f>
        <v>0</v>
      </c>
      <c r="AZ66" s="263">
        <f>EX66+'User Input - Correlations'!AZ66</f>
        <v>0</v>
      </c>
      <c r="BA66" s="263">
        <f>EY66+'User Input - Correlations'!BA66</f>
        <v>0</v>
      </c>
      <c r="BB66" s="263">
        <f>EZ66+'User Input - Correlations'!BB66</f>
        <v>0</v>
      </c>
      <c r="BC66" s="263">
        <f>FA66+'User Input - Correlations'!BC66</f>
        <v>0</v>
      </c>
      <c r="BD66" s="263">
        <f>FB66+'User Input - Correlations'!BD66</f>
        <v>0</v>
      </c>
      <c r="BE66" s="263">
        <f>FC66+'User Input - Correlations'!BE66</f>
        <v>0</v>
      </c>
      <c r="BF66" s="263">
        <v>1</v>
      </c>
      <c r="BG66" s="263">
        <f>FE66+'User Input - Correlations'!BG66</f>
        <v>0</v>
      </c>
      <c r="BH66" s="263">
        <f>FF66+'User Input - Correlations'!BH66</f>
        <v>0</v>
      </c>
      <c r="BI66" s="263">
        <f>FG66+'User Input - Correlations'!BI66</f>
        <v>0</v>
      </c>
      <c r="BJ66" s="263">
        <f>FH66+'User Input - Correlations'!BJ66</f>
        <v>0</v>
      </c>
      <c r="BK66" s="263">
        <f>FI66+'User Input - Correlations'!BK66</f>
        <v>0</v>
      </c>
      <c r="BL66" s="263">
        <f>FJ66+'User Input - Correlations'!BL66</f>
        <v>0</v>
      </c>
      <c r="BM66" s="263">
        <f>FK66+'User Input - Correlations'!BM66</f>
        <v>0</v>
      </c>
      <c r="BN66" s="263">
        <f>FL66+'User Input - Correlations'!BN66</f>
        <v>0</v>
      </c>
      <c r="BO66" s="263">
        <f>FM66+'User Input - Correlations'!BO66</f>
        <v>0</v>
      </c>
      <c r="BP66" s="263">
        <f>FN66+'User Input - Correlations'!BP66</f>
        <v>0</v>
      </c>
      <c r="BQ66" s="263">
        <f>FO66+'User Input - Correlations'!BQ66</f>
        <v>0</v>
      </c>
      <c r="BR66" s="263">
        <f>FP66+'User Input - Correlations'!BR66</f>
        <v>0</v>
      </c>
      <c r="BS66" s="263">
        <f>FQ66+'User Input - Correlations'!BS66</f>
        <v>0</v>
      </c>
      <c r="BT66" s="263">
        <f>FR66+'User Input - Correlations'!BT66</f>
        <v>0</v>
      </c>
      <c r="BU66" s="263">
        <f>FS66+'User Input - Correlations'!BU66</f>
        <v>0</v>
      </c>
      <c r="BV66" s="263">
        <f>FT66+'User Input - Correlations'!BV66</f>
        <v>0</v>
      </c>
      <c r="BW66" s="263">
        <f>FU66+'User Input - Correlations'!BW66</f>
        <v>0</v>
      </c>
      <c r="BX66" s="263">
        <f>FV66+'User Input - Correlations'!BX66</f>
        <v>0</v>
      </c>
      <c r="BY66" s="263">
        <f>FW66+'User Input - Correlations'!BY66</f>
        <v>0</v>
      </c>
      <c r="BZ66" s="263">
        <f>FX66+'User Input - Correlations'!BZ66</f>
        <v>0</v>
      </c>
      <c r="CA66" s="263">
        <f>FY66+'User Input - Correlations'!CA66</f>
        <v>0</v>
      </c>
      <c r="CB66" s="263">
        <f>FZ66+'User Input - Correlations'!CB66</f>
        <v>0</v>
      </c>
      <c r="CC66" s="263">
        <f>GA66+'User Input - Correlations'!CC66</f>
        <v>0</v>
      </c>
      <c r="CD66" s="263">
        <f>GB66+'User Input - Correlations'!CD66</f>
        <v>0</v>
      </c>
      <c r="CE66" s="263">
        <f>GC66+'User Input - Correlations'!CE66</f>
        <v>0</v>
      </c>
      <c r="CF66" s="263">
        <f>GD66+'User Input - Correlations'!CF66</f>
        <v>0</v>
      </c>
      <c r="CG66" s="263">
        <f>GE66+'User Input - Correlations'!CG66</f>
        <v>0</v>
      </c>
      <c r="CH66" s="263">
        <f>GF66+'User Input - Correlations'!CH66</f>
        <v>0</v>
      </c>
      <c r="CI66" s="263">
        <f>GG66+'User Input - Correlations'!CI66</f>
        <v>0</v>
      </c>
      <c r="CJ66" s="263">
        <f>GH66+'User Input - Correlations'!CJ66</f>
        <v>0</v>
      </c>
      <c r="CK66" s="263">
        <f>GI66+'User Input - Correlations'!CK66</f>
        <v>0</v>
      </c>
      <c r="CL66" s="263">
        <f>GJ66+'User Input - Correlations'!CL66</f>
        <v>0</v>
      </c>
      <c r="CM66" s="263">
        <f>GK66+'User Input - Correlations'!CM66</f>
        <v>0</v>
      </c>
      <c r="CN66" s="263">
        <f>GL66+'User Input - Correlations'!CN66</f>
        <v>0</v>
      </c>
      <c r="CO66" s="263">
        <f>GM66+'User Input - Correlations'!CO66</f>
        <v>0</v>
      </c>
      <c r="CP66" s="264">
        <f>GN66+'User Input - Correlations'!CP66</f>
        <v>0</v>
      </c>
      <c r="CQ66" s="281">
        <f ca="1">MDETERM(OFFSET($C$11,0,0,ROWS($CQ$11:$CQ66),ROWS($CQ$11:$CQ66)))</f>
        <v>1</v>
      </c>
      <c r="DA66" s="263">
        <v>0</v>
      </c>
      <c r="DB66" s="263">
        <v>0</v>
      </c>
      <c r="DC66" s="263">
        <v>0</v>
      </c>
      <c r="DD66" s="263">
        <v>0</v>
      </c>
      <c r="DE66" s="263">
        <v>0</v>
      </c>
      <c r="DF66" s="263">
        <v>0</v>
      </c>
      <c r="DG66" s="263">
        <v>0</v>
      </c>
      <c r="DH66" s="263">
        <v>0</v>
      </c>
      <c r="DI66" s="263">
        <v>0</v>
      </c>
      <c r="DJ66" s="263">
        <v>0</v>
      </c>
      <c r="DK66" s="263">
        <v>0</v>
      </c>
      <c r="DL66" s="263">
        <v>0</v>
      </c>
      <c r="DM66" s="263">
        <v>0</v>
      </c>
      <c r="DN66" s="263">
        <v>0</v>
      </c>
      <c r="DO66" s="263">
        <v>0</v>
      </c>
      <c r="DP66" s="263">
        <v>0</v>
      </c>
      <c r="DQ66" s="263">
        <v>0</v>
      </c>
      <c r="DR66" s="263">
        <v>0</v>
      </c>
      <c r="DS66" s="263">
        <v>0</v>
      </c>
      <c r="DT66" s="263">
        <v>0</v>
      </c>
      <c r="DU66" s="263">
        <v>0</v>
      </c>
      <c r="DV66" s="263">
        <v>0</v>
      </c>
      <c r="DW66" s="263">
        <v>0</v>
      </c>
      <c r="DX66" s="263">
        <v>0</v>
      </c>
      <c r="DY66" s="263">
        <v>0</v>
      </c>
      <c r="DZ66" s="263">
        <v>0</v>
      </c>
      <c r="EA66" s="263">
        <v>0</v>
      </c>
      <c r="EB66" s="263">
        <v>0</v>
      </c>
      <c r="EC66" s="263">
        <v>0</v>
      </c>
      <c r="ED66" s="263">
        <v>0</v>
      </c>
      <c r="EE66" s="263">
        <v>0</v>
      </c>
      <c r="EF66" s="263">
        <v>0</v>
      </c>
      <c r="EG66" s="263">
        <v>0</v>
      </c>
      <c r="EH66" s="263">
        <v>0</v>
      </c>
      <c r="EI66" s="263">
        <v>0</v>
      </c>
      <c r="EJ66" s="263">
        <v>0</v>
      </c>
      <c r="EK66" s="263">
        <v>0</v>
      </c>
      <c r="EL66" s="263">
        <v>0</v>
      </c>
      <c r="EM66" s="263">
        <v>0</v>
      </c>
      <c r="EN66" s="263">
        <v>0</v>
      </c>
      <c r="EO66" s="263">
        <v>0</v>
      </c>
      <c r="EP66" s="263">
        <v>0</v>
      </c>
      <c r="EQ66" s="263">
        <v>0</v>
      </c>
      <c r="ER66" s="263">
        <v>0</v>
      </c>
      <c r="ES66" s="263">
        <v>0</v>
      </c>
      <c r="ET66" s="263">
        <v>0</v>
      </c>
      <c r="EU66" s="263">
        <v>0</v>
      </c>
      <c r="EV66" s="263">
        <v>0</v>
      </c>
      <c r="EW66" s="263">
        <v>0</v>
      </c>
      <c r="EX66" s="263">
        <v>0</v>
      </c>
      <c r="EY66" s="263">
        <v>0</v>
      </c>
      <c r="EZ66" s="263">
        <v>0</v>
      </c>
      <c r="FA66" s="263">
        <v>0</v>
      </c>
      <c r="FB66" s="263">
        <v>0</v>
      </c>
      <c r="FC66" s="263">
        <v>0</v>
      </c>
      <c r="FD66" s="263">
        <v>1</v>
      </c>
      <c r="FE66" s="263">
        <v>0</v>
      </c>
      <c r="FF66" s="263">
        <v>0</v>
      </c>
      <c r="FG66" s="263">
        <v>0</v>
      </c>
      <c r="FH66" s="263">
        <v>0</v>
      </c>
      <c r="FI66" s="263">
        <v>0</v>
      </c>
      <c r="FJ66" s="263">
        <v>0</v>
      </c>
      <c r="FK66" s="263">
        <v>0</v>
      </c>
      <c r="FL66" s="263">
        <v>0</v>
      </c>
      <c r="FM66" s="263">
        <v>0</v>
      </c>
      <c r="FN66" s="263">
        <v>0</v>
      </c>
      <c r="FO66" s="263">
        <v>0</v>
      </c>
      <c r="FP66" s="263">
        <v>0</v>
      </c>
      <c r="FQ66" s="263">
        <v>0</v>
      </c>
      <c r="FR66" s="263">
        <v>0</v>
      </c>
      <c r="FS66" s="263">
        <v>0</v>
      </c>
      <c r="FT66" s="263">
        <v>0</v>
      </c>
      <c r="FU66" s="263">
        <v>0</v>
      </c>
      <c r="FV66" s="263">
        <v>0</v>
      </c>
      <c r="FW66" s="263">
        <v>0</v>
      </c>
      <c r="FX66" s="263">
        <v>0</v>
      </c>
      <c r="FY66" s="263">
        <v>0</v>
      </c>
      <c r="FZ66" s="263">
        <v>0</v>
      </c>
      <c r="GA66" s="263">
        <v>0</v>
      </c>
      <c r="GB66" s="263">
        <v>0</v>
      </c>
      <c r="GC66" s="263">
        <v>0</v>
      </c>
      <c r="GD66" s="263">
        <v>0</v>
      </c>
      <c r="GE66" s="263">
        <v>0</v>
      </c>
      <c r="GF66" s="263">
        <v>0</v>
      </c>
      <c r="GG66" s="263">
        <v>0</v>
      </c>
      <c r="GH66" s="263">
        <v>0</v>
      </c>
      <c r="GI66" s="263">
        <v>0</v>
      </c>
      <c r="GJ66" s="263">
        <v>0</v>
      </c>
      <c r="GK66" s="263">
        <v>0</v>
      </c>
      <c r="GL66" s="263">
        <v>0</v>
      </c>
      <c r="GM66" s="263">
        <v>0</v>
      </c>
      <c r="GN66" s="263">
        <v>0</v>
      </c>
    </row>
    <row r="67" ht="12.75" customHeight="1">
      <c r="A67" s="286" t="s">
        <v>181</v>
      </c>
      <c r="B67" s="286" t="s">
        <v>86</v>
      </c>
      <c r="C67" s="263">
        <f>DA67+'User Input - Correlations'!C67</f>
        <v>0</v>
      </c>
      <c r="D67" s="263">
        <f>DB67+'User Input - Correlations'!D67</f>
        <v>0</v>
      </c>
      <c r="E67" s="263">
        <f>DC67+'User Input - Correlations'!E67</f>
        <v>0</v>
      </c>
      <c r="F67" s="263">
        <f>DD67+'User Input - Correlations'!F67</f>
        <v>0</v>
      </c>
      <c r="G67" s="263">
        <f>DE67+'User Input - Correlations'!G67</f>
        <v>0</v>
      </c>
      <c r="H67" s="263">
        <f>DF67+'User Input - Correlations'!H67</f>
        <v>0</v>
      </c>
      <c r="I67" s="263">
        <f>DG67+'User Input - Correlations'!I67</f>
        <v>0</v>
      </c>
      <c r="J67" s="263">
        <f>DH67+'User Input - Correlations'!J67</f>
        <v>0</v>
      </c>
      <c r="K67" s="263">
        <f>DI67+'User Input - Correlations'!K67</f>
        <v>0</v>
      </c>
      <c r="L67" s="263">
        <f>DJ67+'User Input - Correlations'!L67</f>
        <v>0</v>
      </c>
      <c r="M67" s="263">
        <f>DK67+'User Input - Correlations'!M67</f>
        <v>0</v>
      </c>
      <c r="N67" s="263">
        <f>DL67+'User Input - Correlations'!N67</f>
        <v>0</v>
      </c>
      <c r="O67" s="263">
        <f>DM67+'User Input - Correlations'!O67</f>
        <v>0</v>
      </c>
      <c r="P67" s="263">
        <f>DN67+'User Input - Correlations'!P67</f>
        <v>0</v>
      </c>
      <c r="Q67" s="263">
        <f>DO67+'User Input - Correlations'!Q67</f>
        <v>0</v>
      </c>
      <c r="R67" s="263">
        <f>DP67+'User Input - Correlations'!R67</f>
        <v>0</v>
      </c>
      <c r="S67" s="263">
        <f>DQ67+'User Input - Correlations'!S67</f>
        <v>0</v>
      </c>
      <c r="T67" s="263">
        <f>DR67+'User Input - Correlations'!T67</f>
        <v>0</v>
      </c>
      <c r="U67" s="263">
        <f>DS67+'User Input - Correlations'!U67</f>
        <v>0</v>
      </c>
      <c r="V67" s="263">
        <f>DT67+'User Input - Correlations'!V67</f>
        <v>0</v>
      </c>
      <c r="W67" s="263">
        <f>DU67+'User Input - Correlations'!W67</f>
        <v>0</v>
      </c>
      <c r="X67" s="263">
        <f>DV67+'User Input - Correlations'!X67</f>
        <v>0</v>
      </c>
      <c r="Y67" s="263">
        <f>DW67+'User Input - Correlations'!Y67</f>
        <v>0</v>
      </c>
      <c r="Z67" s="263">
        <f>DX67+'User Input - Correlations'!Z67</f>
        <v>0</v>
      </c>
      <c r="AA67" s="263">
        <f>DY67+'User Input - Correlations'!AA67</f>
        <v>0</v>
      </c>
      <c r="AB67" s="263">
        <f>DZ67+'User Input - Correlations'!AB67</f>
        <v>0</v>
      </c>
      <c r="AC67" s="263">
        <f>EA67+'User Input - Correlations'!AC67</f>
        <v>0</v>
      </c>
      <c r="AD67" s="263">
        <f>EB67+'User Input - Correlations'!AD67</f>
        <v>0</v>
      </c>
      <c r="AE67" s="263">
        <f>EC67+'User Input - Correlations'!AE67</f>
        <v>0</v>
      </c>
      <c r="AF67" s="263">
        <f>ED67+'User Input - Correlations'!AF67</f>
        <v>0</v>
      </c>
      <c r="AG67" s="263">
        <f>EE67+'User Input - Correlations'!AG67</f>
        <v>0</v>
      </c>
      <c r="AH67" s="263">
        <f>EF67+'User Input - Correlations'!AH67</f>
        <v>0</v>
      </c>
      <c r="AI67" s="263">
        <f>EG67+'User Input - Correlations'!AI67</f>
        <v>0</v>
      </c>
      <c r="AJ67" s="263">
        <f>EH67+'User Input - Correlations'!AJ67</f>
        <v>0</v>
      </c>
      <c r="AK67" s="263">
        <f>EI67+'User Input - Correlations'!AK67</f>
        <v>0</v>
      </c>
      <c r="AL67" s="263">
        <f>EJ67+'User Input - Correlations'!AL67</f>
        <v>0</v>
      </c>
      <c r="AM67" s="263">
        <f>EK67+'User Input - Correlations'!AM67</f>
        <v>0</v>
      </c>
      <c r="AN67" s="263">
        <f>EL67+'User Input - Correlations'!AN67</f>
        <v>0</v>
      </c>
      <c r="AO67" s="263">
        <f>EM67+'User Input - Correlations'!AO67</f>
        <v>0</v>
      </c>
      <c r="AP67" s="263">
        <f>EN67+'User Input - Correlations'!AP67</f>
        <v>0</v>
      </c>
      <c r="AQ67" s="263">
        <f>EO67+'User Input - Correlations'!AQ67</f>
        <v>0</v>
      </c>
      <c r="AR67" s="263">
        <f>EP67+'User Input - Correlations'!AR67</f>
        <v>0</v>
      </c>
      <c r="AS67" s="263">
        <f>EQ67+'User Input - Correlations'!AS67</f>
        <v>0</v>
      </c>
      <c r="AT67" s="263">
        <f>ER67+'User Input - Correlations'!AT67</f>
        <v>0</v>
      </c>
      <c r="AU67" s="263">
        <f>ES67+'User Input - Correlations'!AU67</f>
        <v>0</v>
      </c>
      <c r="AV67" s="263">
        <f>ET67+'User Input - Correlations'!AV67</f>
        <v>0</v>
      </c>
      <c r="AW67" s="263">
        <f>EU67+'User Input - Correlations'!AW67</f>
        <v>0</v>
      </c>
      <c r="AX67" s="263">
        <f>EV67+'User Input - Correlations'!AX67</f>
        <v>0</v>
      </c>
      <c r="AY67" s="263">
        <f>EW67+'User Input - Correlations'!AY67</f>
        <v>0</v>
      </c>
      <c r="AZ67" s="263">
        <f>EX67+'User Input - Correlations'!AZ67</f>
        <v>0</v>
      </c>
      <c r="BA67" s="263">
        <f>EY67+'User Input - Correlations'!BA67</f>
        <v>0</v>
      </c>
      <c r="BB67" s="263">
        <f>EZ67+'User Input - Correlations'!BB67</f>
        <v>0</v>
      </c>
      <c r="BC67" s="263">
        <f>FA67+'User Input - Correlations'!BC67</f>
        <v>0</v>
      </c>
      <c r="BD67" s="263">
        <f>FB67+'User Input - Correlations'!BD67</f>
        <v>0</v>
      </c>
      <c r="BE67" s="263">
        <f>FC67+'User Input - Correlations'!BE67</f>
        <v>0</v>
      </c>
      <c r="BF67" s="263">
        <f>FD67+'User Input - Correlations'!BF67</f>
        <v>0</v>
      </c>
      <c r="BG67" s="263">
        <v>1</v>
      </c>
      <c r="BH67" s="263">
        <f>FF67+'User Input - Correlations'!BH67</f>
        <v>0</v>
      </c>
      <c r="BI67" s="263">
        <f>FG67+'User Input - Correlations'!BI67</f>
        <v>0</v>
      </c>
      <c r="BJ67" s="263">
        <f>FH67+'User Input - Correlations'!BJ67</f>
        <v>0</v>
      </c>
      <c r="BK67" s="263">
        <f>FI67+'User Input - Correlations'!BK67</f>
        <v>0</v>
      </c>
      <c r="BL67" s="263">
        <f>FJ67+'User Input - Correlations'!BL67</f>
        <v>0</v>
      </c>
      <c r="BM67" s="263">
        <f>FK67+'User Input - Correlations'!BM67</f>
        <v>0</v>
      </c>
      <c r="BN67" s="263">
        <f>FL67+'User Input - Correlations'!BN67</f>
        <v>0</v>
      </c>
      <c r="BO67" s="263">
        <f>FM67+'User Input - Correlations'!BO67</f>
        <v>0</v>
      </c>
      <c r="BP67" s="263">
        <f>FN67+'User Input - Correlations'!BP67</f>
        <v>0</v>
      </c>
      <c r="BQ67" s="263">
        <f>FO67+'User Input - Correlations'!BQ67</f>
        <v>0</v>
      </c>
      <c r="BR67" s="263">
        <f>FP67+'User Input - Correlations'!BR67</f>
        <v>0</v>
      </c>
      <c r="BS67" s="263">
        <f>FQ67+'User Input - Correlations'!BS67</f>
        <v>0</v>
      </c>
      <c r="BT67" s="263">
        <f>FR67+'User Input - Correlations'!BT67</f>
        <v>0</v>
      </c>
      <c r="BU67" s="263">
        <f>FS67+'User Input - Correlations'!BU67</f>
        <v>0</v>
      </c>
      <c r="BV67" s="263">
        <f>FT67+'User Input - Correlations'!BV67</f>
        <v>0</v>
      </c>
      <c r="BW67" s="263">
        <f>FU67+'User Input - Correlations'!BW67</f>
        <v>0</v>
      </c>
      <c r="BX67" s="263">
        <f>FV67+'User Input - Correlations'!BX67</f>
        <v>0</v>
      </c>
      <c r="BY67" s="263">
        <f>FW67+'User Input - Correlations'!BY67</f>
        <v>0</v>
      </c>
      <c r="BZ67" s="263">
        <f>FX67+'User Input - Correlations'!BZ67</f>
        <v>0</v>
      </c>
      <c r="CA67" s="263">
        <f>FY67+'User Input - Correlations'!CA67</f>
        <v>0</v>
      </c>
      <c r="CB67" s="263">
        <f>FZ67+'User Input - Correlations'!CB67</f>
        <v>0</v>
      </c>
      <c r="CC67" s="263">
        <f>GA67+'User Input - Correlations'!CC67</f>
        <v>0</v>
      </c>
      <c r="CD67" s="263">
        <f>GB67+'User Input - Correlations'!CD67</f>
        <v>0</v>
      </c>
      <c r="CE67" s="263">
        <f>GC67+'User Input - Correlations'!CE67</f>
        <v>0</v>
      </c>
      <c r="CF67" s="263">
        <f>GD67+'User Input - Correlations'!CF67</f>
        <v>0</v>
      </c>
      <c r="CG67" s="263">
        <f>GE67+'User Input - Correlations'!CG67</f>
        <v>0</v>
      </c>
      <c r="CH67" s="263">
        <f>GF67+'User Input - Correlations'!CH67</f>
        <v>0</v>
      </c>
      <c r="CI67" s="263">
        <f>GG67+'User Input - Correlations'!CI67</f>
        <v>0</v>
      </c>
      <c r="CJ67" s="263">
        <f>GH67+'User Input - Correlations'!CJ67</f>
        <v>0</v>
      </c>
      <c r="CK67" s="263">
        <f>GI67+'User Input - Correlations'!CK67</f>
        <v>0</v>
      </c>
      <c r="CL67" s="263">
        <f>GJ67+'User Input - Correlations'!CL67</f>
        <v>0</v>
      </c>
      <c r="CM67" s="263">
        <f>GK67+'User Input - Correlations'!CM67</f>
        <v>0</v>
      </c>
      <c r="CN67" s="263">
        <f>GL67+'User Input - Correlations'!CN67</f>
        <v>0</v>
      </c>
      <c r="CO67" s="263">
        <f>GM67+'User Input - Correlations'!CO67</f>
        <v>0</v>
      </c>
      <c r="CP67" s="264">
        <f>GN67+'User Input - Correlations'!CP67</f>
        <v>0</v>
      </c>
      <c r="CQ67" s="281">
        <f ca="1">MDETERM(OFFSET($C$11,0,0,ROWS($CQ$11:$CQ67),ROWS($CQ$11:$CQ67)))</f>
        <v>1</v>
      </c>
      <c r="DA67" s="263">
        <v>0</v>
      </c>
      <c r="DB67" s="263">
        <v>0</v>
      </c>
      <c r="DC67" s="263">
        <v>0</v>
      </c>
      <c r="DD67" s="263">
        <v>0</v>
      </c>
      <c r="DE67" s="263">
        <v>0</v>
      </c>
      <c r="DF67" s="263">
        <v>0</v>
      </c>
      <c r="DG67" s="263">
        <v>0</v>
      </c>
      <c r="DH67" s="263">
        <v>0</v>
      </c>
      <c r="DI67" s="263">
        <v>0</v>
      </c>
      <c r="DJ67" s="263">
        <v>0</v>
      </c>
      <c r="DK67" s="263">
        <v>0</v>
      </c>
      <c r="DL67" s="263">
        <v>0</v>
      </c>
      <c r="DM67" s="263">
        <v>0</v>
      </c>
      <c r="DN67" s="263">
        <v>0</v>
      </c>
      <c r="DO67" s="263">
        <v>0</v>
      </c>
      <c r="DP67" s="263">
        <v>0</v>
      </c>
      <c r="DQ67" s="263">
        <v>0</v>
      </c>
      <c r="DR67" s="263">
        <v>0</v>
      </c>
      <c r="DS67" s="263">
        <v>0</v>
      </c>
      <c r="DT67" s="263">
        <v>0</v>
      </c>
      <c r="DU67" s="263">
        <v>0</v>
      </c>
      <c r="DV67" s="263">
        <v>0</v>
      </c>
      <c r="DW67" s="263">
        <v>0</v>
      </c>
      <c r="DX67" s="263">
        <v>0</v>
      </c>
      <c r="DY67" s="263">
        <v>0</v>
      </c>
      <c r="DZ67" s="263">
        <v>0</v>
      </c>
      <c r="EA67" s="263">
        <v>0</v>
      </c>
      <c r="EB67" s="263">
        <v>0</v>
      </c>
      <c r="EC67" s="263">
        <v>0</v>
      </c>
      <c r="ED67" s="263">
        <v>0</v>
      </c>
      <c r="EE67" s="263">
        <v>0</v>
      </c>
      <c r="EF67" s="263">
        <v>0</v>
      </c>
      <c r="EG67" s="263">
        <v>0</v>
      </c>
      <c r="EH67" s="263">
        <v>0</v>
      </c>
      <c r="EI67" s="263">
        <v>0</v>
      </c>
      <c r="EJ67" s="263">
        <v>0</v>
      </c>
      <c r="EK67" s="263">
        <v>0</v>
      </c>
      <c r="EL67" s="263">
        <v>0</v>
      </c>
      <c r="EM67" s="263">
        <v>0</v>
      </c>
      <c r="EN67" s="263">
        <v>0</v>
      </c>
      <c r="EO67" s="263">
        <v>0</v>
      </c>
      <c r="EP67" s="263">
        <v>0</v>
      </c>
      <c r="EQ67" s="263">
        <v>0</v>
      </c>
      <c r="ER67" s="263">
        <v>0</v>
      </c>
      <c r="ES67" s="263">
        <v>0</v>
      </c>
      <c r="ET67" s="263">
        <v>0</v>
      </c>
      <c r="EU67" s="263">
        <v>0</v>
      </c>
      <c r="EV67" s="263">
        <v>0</v>
      </c>
      <c r="EW67" s="263">
        <v>0</v>
      </c>
      <c r="EX67" s="263">
        <v>0</v>
      </c>
      <c r="EY67" s="263">
        <v>0</v>
      </c>
      <c r="EZ67" s="263">
        <v>0</v>
      </c>
      <c r="FA67" s="263">
        <v>0</v>
      </c>
      <c r="FB67" s="263">
        <v>0</v>
      </c>
      <c r="FC67" s="263">
        <v>0</v>
      </c>
      <c r="FD67" s="263">
        <v>0</v>
      </c>
      <c r="FE67" s="263">
        <v>1</v>
      </c>
      <c r="FF67" s="263">
        <v>0</v>
      </c>
      <c r="FG67" s="263">
        <v>0</v>
      </c>
      <c r="FH67" s="263">
        <v>0</v>
      </c>
      <c r="FI67" s="263">
        <v>0</v>
      </c>
      <c r="FJ67" s="263">
        <v>0</v>
      </c>
      <c r="FK67" s="263">
        <v>0</v>
      </c>
      <c r="FL67" s="263">
        <v>0</v>
      </c>
      <c r="FM67" s="263">
        <v>0</v>
      </c>
      <c r="FN67" s="263">
        <v>0</v>
      </c>
      <c r="FO67" s="263">
        <v>0</v>
      </c>
      <c r="FP67" s="263">
        <v>0</v>
      </c>
      <c r="FQ67" s="263">
        <v>0</v>
      </c>
      <c r="FR67" s="263">
        <v>0</v>
      </c>
      <c r="FS67" s="263">
        <v>0</v>
      </c>
      <c r="FT67" s="263">
        <v>0</v>
      </c>
      <c r="FU67" s="263">
        <v>0</v>
      </c>
      <c r="FV67" s="263">
        <v>0</v>
      </c>
      <c r="FW67" s="263">
        <v>0</v>
      </c>
      <c r="FX67" s="263">
        <v>0</v>
      </c>
      <c r="FY67" s="263">
        <v>0</v>
      </c>
      <c r="FZ67" s="263">
        <v>0</v>
      </c>
      <c r="GA67" s="263">
        <v>0</v>
      </c>
      <c r="GB67" s="263">
        <v>0</v>
      </c>
      <c r="GC67" s="263">
        <v>0</v>
      </c>
      <c r="GD67" s="263">
        <v>0</v>
      </c>
      <c r="GE67" s="263">
        <v>0</v>
      </c>
      <c r="GF67" s="263">
        <v>0</v>
      </c>
      <c r="GG67" s="263">
        <v>0</v>
      </c>
      <c r="GH67" s="263">
        <v>0</v>
      </c>
      <c r="GI67" s="263">
        <v>0</v>
      </c>
      <c r="GJ67" s="263">
        <v>0</v>
      </c>
      <c r="GK67" s="263">
        <v>0</v>
      </c>
      <c r="GL67" s="263">
        <v>0</v>
      </c>
      <c r="GM67" s="263">
        <v>0</v>
      </c>
      <c r="GN67" s="263">
        <v>0</v>
      </c>
    </row>
    <row r="68" ht="12.75" customHeight="1">
      <c r="A68" s="286" t="s">
        <v>182</v>
      </c>
      <c r="B68" s="286" t="s">
        <v>86</v>
      </c>
      <c r="C68" s="263">
        <f>DA68+'User Input - Correlations'!C68</f>
        <v>0</v>
      </c>
      <c r="D68" s="263">
        <f>DB68+'User Input - Correlations'!D68</f>
        <v>0</v>
      </c>
      <c r="E68" s="263">
        <f>DC68+'User Input - Correlations'!E68</f>
        <v>0</v>
      </c>
      <c r="F68" s="263">
        <f>DD68+'User Input - Correlations'!F68</f>
        <v>0</v>
      </c>
      <c r="G68" s="263">
        <f>DE68+'User Input - Correlations'!G68</f>
        <v>0</v>
      </c>
      <c r="H68" s="263">
        <f>DF68+'User Input - Correlations'!H68</f>
        <v>0</v>
      </c>
      <c r="I68" s="263">
        <f>DG68+'User Input - Correlations'!I68</f>
        <v>0</v>
      </c>
      <c r="J68" s="263">
        <f>DH68+'User Input - Correlations'!J68</f>
        <v>0</v>
      </c>
      <c r="K68" s="263">
        <f>DI68+'User Input - Correlations'!K68</f>
        <v>0</v>
      </c>
      <c r="L68" s="263">
        <f>DJ68+'User Input - Correlations'!L68</f>
        <v>0</v>
      </c>
      <c r="M68" s="263">
        <f>DK68+'User Input - Correlations'!M68</f>
        <v>0</v>
      </c>
      <c r="N68" s="263">
        <f>DL68+'User Input - Correlations'!N68</f>
        <v>0</v>
      </c>
      <c r="O68" s="263">
        <f>DM68+'User Input - Correlations'!O68</f>
        <v>0</v>
      </c>
      <c r="P68" s="263">
        <f>DN68+'User Input - Correlations'!P68</f>
        <v>0</v>
      </c>
      <c r="Q68" s="263">
        <f>DO68+'User Input - Correlations'!Q68</f>
        <v>0</v>
      </c>
      <c r="R68" s="263">
        <f>DP68+'User Input - Correlations'!R68</f>
        <v>0</v>
      </c>
      <c r="S68" s="263">
        <f>DQ68+'User Input - Correlations'!S68</f>
        <v>0</v>
      </c>
      <c r="T68" s="263">
        <f>DR68+'User Input - Correlations'!T68</f>
        <v>0</v>
      </c>
      <c r="U68" s="263">
        <f>DS68+'User Input - Correlations'!U68</f>
        <v>0</v>
      </c>
      <c r="V68" s="263">
        <f>DT68+'User Input - Correlations'!V68</f>
        <v>0</v>
      </c>
      <c r="W68" s="263">
        <f>DU68+'User Input - Correlations'!W68</f>
        <v>0</v>
      </c>
      <c r="X68" s="263">
        <f>DV68+'User Input - Correlations'!X68</f>
        <v>0</v>
      </c>
      <c r="Y68" s="263">
        <f>DW68+'User Input - Correlations'!Y68</f>
        <v>0</v>
      </c>
      <c r="Z68" s="263">
        <f>DX68+'User Input - Correlations'!Z68</f>
        <v>0</v>
      </c>
      <c r="AA68" s="263">
        <f>DY68+'User Input - Correlations'!AA68</f>
        <v>0</v>
      </c>
      <c r="AB68" s="263">
        <f>DZ68+'User Input - Correlations'!AB68</f>
        <v>0</v>
      </c>
      <c r="AC68" s="263">
        <f>EA68+'User Input - Correlations'!AC68</f>
        <v>0</v>
      </c>
      <c r="AD68" s="263">
        <f>EB68+'User Input - Correlations'!AD68</f>
        <v>0</v>
      </c>
      <c r="AE68" s="263">
        <f>EC68+'User Input - Correlations'!AE68</f>
        <v>0</v>
      </c>
      <c r="AF68" s="263">
        <f>ED68+'User Input - Correlations'!AF68</f>
        <v>0</v>
      </c>
      <c r="AG68" s="263">
        <f>EE68+'User Input - Correlations'!AG68</f>
        <v>0</v>
      </c>
      <c r="AH68" s="263">
        <f>EF68+'User Input - Correlations'!AH68</f>
        <v>0</v>
      </c>
      <c r="AI68" s="263">
        <f>EG68+'User Input - Correlations'!AI68</f>
        <v>0</v>
      </c>
      <c r="AJ68" s="263">
        <f>EH68+'User Input - Correlations'!AJ68</f>
        <v>0</v>
      </c>
      <c r="AK68" s="263">
        <f>EI68+'User Input - Correlations'!AK68</f>
        <v>0</v>
      </c>
      <c r="AL68" s="263">
        <f>EJ68+'User Input - Correlations'!AL68</f>
        <v>0</v>
      </c>
      <c r="AM68" s="263">
        <f>EK68+'User Input - Correlations'!AM68</f>
        <v>0</v>
      </c>
      <c r="AN68" s="263">
        <f>EL68+'User Input - Correlations'!AN68</f>
        <v>0</v>
      </c>
      <c r="AO68" s="263">
        <f>EM68+'User Input - Correlations'!AO68</f>
        <v>0</v>
      </c>
      <c r="AP68" s="263">
        <f>EN68+'User Input - Correlations'!AP68</f>
        <v>0</v>
      </c>
      <c r="AQ68" s="263">
        <f>EO68+'User Input - Correlations'!AQ68</f>
        <v>0</v>
      </c>
      <c r="AR68" s="263">
        <f>EP68+'User Input - Correlations'!AR68</f>
        <v>0</v>
      </c>
      <c r="AS68" s="263">
        <f>EQ68+'User Input - Correlations'!AS68</f>
        <v>0</v>
      </c>
      <c r="AT68" s="263">
        <f>ER68+'User Input - Correlations'!AT68</f>
        <v>0</v>
      </c>
      <c r="AU68" s="263">
        <f>ES68+'User Input - Correlations'!AU68</f>
        <v>0</v>
      </c>
      <c r="AV68" s="263">
        <f>ET68+'User Input - Correlations'!AV68</f>
        <v>0</v>
      </c>
      <c r="AW68" s="263">
        <f>EU68+'User Input - Correlations'!AW68</f>
        <v>0</v>
      </c>
      <c r="AX68" s="263">
        <f>EV68+'User Input - Correlations'!AX68</f>
        <v>0</v>
      </c>
      <c r="AY68" s="263">
        <f>EW68+'User Input - Correlations'!AY68</f>
        <v>0</v>
      </c>
      <c r="AZ68" s="263">
        <f>EX68+'User Input - Correlations'!AZ68</f>
        <v>0</v>
      </c>
      <c r="BA68" s="263">
        <f>EY68+'User Input - Correlations'!BA68</f>
        <v>0</v>
      </c>
      <c r="BB68" s="263">
        <f>EZ68+'User Input - Correlations'!BB68</f>
        <v>0</v>
      </c>
      <c r="BC68" s="263">
        <f>FA68+'User Input - Correlations'!BC68</f>
        <v>0</v>
      </c>
      <c r="BD68" s="263">
        <f>FB68+'User Input - Correlations'!BD68</f>
        <v>0</v>
      </c>
      <c r="BE68" s="263">
        <f>FC68+'User Input - Correlations'!BE68</f>
        <v>0</v>
      </c>
      <c r="BF68" s="263">
        <f>FD68+'User Input - Correlations'!BF68</f>
        <v>0</v>
      </c>
      <c r="BG68" s="263">
        <f>FE68+'User Input - Correlations'!BG68</f>
        <v>0</v>
      </c>
      <c r="BH68" s="263">
        <v>1</v>
      </c>
      <c r="BI68" s="263">
        <f>FG68+'User Input - Correlations'!BI68</f>
        <v>0</v>
      </c>
      <c r="BJ68" s="263">
        <f>FH68+'User Input - Correlations'!BJ68</f>
        <v>0</v>
      </c>
      <c r="BK68" s="263">
        <f>FI68+'User Input - Correlations'!BK68</f>
        <v>0</v>
      </c>
      <c r="BL68" s="263">
        <f>FJ68+'User Input - Correlations'!BL68</f>
        <v>0</v>
      </c>
      <c r="BM68" s="263">
        <f>FK68+'User Input - Correlations'!BM68</f>
        <v>0</v>
      </c>
      <c r="BN68" s="263">
        <f>FL68+'User Input - Correlations'!BN68</f>
        <v>0</v>
      </c>
      <c r="BO68" s="263">
        <f>FM68+'User Input - Correlations'!BO68</f>
        <v>0</v>
      </c>
      <c r="BP68" s="263">
        <f>FN68+'User Input - Correlations'!BP68</f>
        <v>0</v>
      </c>
      <c r="BQ68" s="263">
        <f>FO68+'User Input - Correlations'!BQ68</f>
        <v>0</v>
      </c>
      <c r="BR68" s="263">
        <f>FP68+'User Input - Correlations'!BR68</f>
        <v>0</v>
      </c>
      <c r="BS68" s="263">
        <f>FQ68+'User Input - Correlations'!BS68</f>
        <v>0</v>
      </c>
      <c r="BT68" s="263">
        <f>FR68+'User Input - Correlations'!BT68</f>
        <v>0</v>
      </c>
      <c r="BU68" s="263">
        <f>FS68+'User Input - Correlations'!BU68</f>
        <v>0</v>
      </c>
      <c r="BV68" s="263">
        <f>FT68+'User Input - Correlations'!BV68</f>
        <v>0</v>
      </c>
      <c r="BW68" s="263">
        <f>FU68+'User Input - Correlations'!BW68</f>
        <v>0</v>
      </c>
      <c r="BX68" s="263">
        <f>FV68+'User Input - Correlations'!BX68</f>
        <v>0</v>
      </c>
      <c r="BY68" s="263">
        <f>FW68+'User Input - Correlations'!BY68</f>
        <v>0</v>
      </c>
      <c r="BZ68" s="263">
        <f>FX68+'User Input - Correlations'!BZ68</f>
        <v>0</v>
      </c>
      <c r="CA68" s="263">
        <f>FY68+'User Input - Correlations'!CA68</f>
        <v>0</v>
      </c>
      <c r="CB68" s="263">
        <f>FZ68+'User Input - Correlations'!CB68</f>
        <v>0</v>
      </c>
      <c r="CC68" s="263">
        <f>GA68+'User Input - Correlations'!CC68</f>
        <v>0</v>
      </c>
      <c r="CD68" s="263">
        <f>GB68+'User Input - Correlations'!CD68</f>
        <v>0</v>
      </c>
      <c r="CE68" s="263">
        <f>GC68+'User Input - Correlations'!CE68</f>
        <v>0</v>
      </c>
      <c r="CF68" s="263">
        <f>GD68+'User Input - Correlations'!CF68</f>
        <v>0</v>
      </c>
      <c r="CG68" s="263">
        <f>GE68+'User Input - Correlations'!CG68</f>
        <v>0</v>
      </c>
      <c r="CH68" s="263">
        <f>GF68+'User Input - Correlations'!CH68</f>
        <v>0</v>
      </c>
      <c r="CI68" s="263">
        <f>GG68+'User Input - Correlations'!CI68</f>
        <v>0</v>
      </c>
      <c r="CJ68" s="263">
        <f>GH68+'User Input - Correlations'!CJ68</f>
        <v>0</v>
      </c>
      <c r="CK68" s="263">
        <f>GI68+'User Input - Correlations'!CK68</f>
        <v>0</v>
      </c>
      <c r="CL68" s="263">
        <f>GJ68+'User Input - Correlations'!CL68</f>
        <v>0</v>
      </c>
      <c r="CM68" s="263">
        <f>GK68+'User Input - Correlations'!CM68</f>
        <v>0</v>
      </c>
      <c r="CN68" s="263">
        <f>GL68+'User Input - Correlations'!CN68</f>
        <v>0</v>
      </c>
      <c r="CO68" s="263">
        <f>GM68+'User Input - Correlations'!CO68</f>
        <v>0</v>
      </c>
      <c r="CP68" s="264">
        <f>GN68+'User Input - Correlations'!CP68</f>
        <v>0</v>
      </c>
      <c r="CQ68" s="281">
        <f ca="1">MDETERM(OFFSET($C$11,0,0,ROWS($CQ$11:$CQ68),ROWS($CQ$11:$CQ68)))</f>
        <v>1</v>
      </c>
      <c r="DA68" s="263">
        <v>0</v>
      </c>
      <c r="DB68" s="263">
        <v>0</v>
      </c>
      <c r="DC68" s="263">
        <v>0</v>
      </c>
      <c r="DD68" s="263">
        <v>0</v>
      </c>
      <c r="DE68" s="263">
        <v>0</v>
      </c>
      <c r="DF68" s="263">
        <v>0</v>
      </c>
      <c r="DG68" s="263">
        <v>0</v>
      </c>
      <c r="DH68" s="263">
        <v>0</v>
      </c>
      <c r="DI68" s="263">
        <v>0</v>
      </c>
      <c r="DJ68" s="263">
        <v>0</v>
      </c>
      <c r="DK68" s="263">
        <v>0</v>
      </c>
      <c r="DL68" s="263">
        <v>0</v>
      </c>
      <c r="DM68" s="263">
        <v>0</v>
      </c>
      <c r="DN68" s="263">
        <v>0</v>
      </c>
      <c r="DO68" s="263">
        <v>0</v>
      </c>
      <c r="DP68" s="263">
        <v>0</v>
      </c>
      <c r="DQ68" s="263">
        <v>0</v>
      </c>
      <c r="DR68" s="263">
        <v>0</v>
      </c>
      <c r="DS68" s="263">
        <v>0</v>
      </c>
      <c r="DT68" s="263">
        <v>0</v>
      </c>
      <c r="DU68" s="263">
        <v>0</v>
      </c>
      <c r="DV68" s="263">
        <v>0</v>
      </c>
      <c r="DW68" s="263">
        <v>0</v>
      </c>
      <c r="DX68" s="263">
        <v>0</v>
      </c>
      <c r="DY68" s="263">
        <v>0</v>
      </c>
      <c r="DZ68" s="263">
        <v>0</v>
      </c>
      <c r="EA68" s="263">
        <v>0</v>
      </c>
      <c r="EB68" s="263">
        <v>0</v>
      </c>
      <c r="EC68" s="263">
        <v>0</v>
      </c>
      <c r="ED68" s="263">
        <v>0</v>
      </c>
      <c r="EE68" s="263">
        <v>0</v>
      </c>
      <c r="EF68" s="263">
        <v>0</v>
      </c>
      <c r="EG68" s="263">
        <v>0</v>
      </c>
      <c r="EH68" s="263">
        <v>0</v>
      </c>
      <c r="EI68" s="263">
        <v>0</v>
      </c>
      <c r="EJ68" s="263">
        <v>0</v>
      </c>
      <c r="EK68" s="263">
        <v>0</v>
      </c>
      <c r="EL68" s="263">
        <v>0</v>
      </c>
      <c r="EM68" s="263">
        <v>0</v>
      </c>
      <c r="EN68" s="263">
        <v>0</v>
      </c>
      <c r="EO68" s="263">
        <v>0</v>
      </c>
      <c r="EP68" s="263">
        <v>0</v>
      </c>
      <c r="EQ68" s="263">
        <v>0</v>
      </c>
      <c r="ER68" s="263">
        <v>0</v>
      </c>
      <c r="ES68" s="263">
        <v>0</v>
      </c>
      <c r="ET68" s="263">
        <v>0</v>
      </c>
      <c r="EU68" s="263">
        <v>0</v>
      </c>
      <c r="EV68" s="263">
        <v>0</v>
      </c>
      <c r="EW68" s="263">
        <v>0</v>
      </c>
      <c r="EX68" s="263">
        <v>0</v>
      </c>
      <c r="EY68" s="263">
        <v>0</v>
      </c>
      <c r="EZ68" s="263">
        <v>0</v>
      </c>
      <c r="FA68" s="263">
        <v>0</v>
      </c>
      <c r="FB68" s="263">
        <v>0</v>
      </c>
      <c r="FC68" s="263">
        <v>0</v>
      </c>
      <c r="FD68" s="263">
        <v>0</v>
      </c>
      <c r="FE68" s="263">
        <v>0</v>
      </c>
      <c r="FF68" s="263">
        <v>1</v>
      </c>
      <c r="FG68" s="263">
        <v>0</v>
      </c>
      <c r="FH68" s="263">
        <v>0</v>
      </c>
      <c r="FI68" s="263">
        <v>0</v>
      </c>
      <c r="FJ68" s="263">
        <v>0</v>
      </c>
      <c r="FK68" s="263">
        <v>0</v>
      </c>
      <c r="FL68" s="263">
        <v>0</v>
      </c>
      <c r="FM68" s="263">
        <v>0</v>
      </c>
      <c r="FN68" s="263">
        <v>0</v>
      </c>
      <c r="FO68" s="263">
        <v>0</v>
      </c>
      <c r="FP68" s="263">
        <v>0</v>
      </c>
      <c r="FQ68" s="263">
        <v>0</v>
      </c>
      <c r="FR68" s="263">
        <v>0</v>
      </c>
      <c r="FS68" s="263">
        <v>0</v>
      </c>
      <c r="FT68" s="263">
        <v>0</v>
      </c>
      <c r="FU68" s="263">
        <v>0</v>
      </c>
      <c r="FV68" s="263">
        <v>0</v>
      </c>
      <c r="FW68" s="263">
        <v>0</v>
      </c>
      <c r="FX68" s="263">
        <v>0</v>
      </c>
      <c r="FY68" s="263">
        <v>0</v>
      </c>
      <c r="FZ68" s="263">
        <v>0</v>
      </c>
      <c r="GA68" s="263">
        <v>0</v>
      </c>
      <c r="GB68" s="263">
        <v>0</v>
      </c>
      <c r="GC68" s="263">
        <v>0</v>
      </c>
      <c r="GD68" s="263">
        <v>0</v>
      </c>
      <c r="GE68" s="263">
        <v>0</v>
      </c>
      <c r="GF68" s="263">
        <v>0</v>
      </c>
      <c r="GG68" s="263">
        <v>0</v>
      </c>
      <c r="GH68" s="263">
        <v>0</v>
      </c>
      <c r="GI68" s="263">
        <v>0</v>
      </c>
      <c r="GJ68" s="263">
        <v>0</v>
      </c>
      <c r="GK68" s="263">
        <v>0</v>
      </c>
      <c r="GL68" s="263">
        <v>0</v>
      </c>
      <c r="GM68" s="263">
        <v>0</v>
      </c>
      <c r="GN68" s="263">
        <v>0</v>
      </c>
    </row>
    <row r="69" ht="12.75" customHeight="1">
      <c r="A69" s="286" t="s">
        <v>184</v>
      </c>
      <c r="B69" s="286" t="s">
        <v>86</v>
      </c>
      <c r="C69" s="263">
        <f>DA69+'User Input - Correlations'!C69</f>
        <v>0</v>
      </c>
      <c r="D69" s="263">
        <f>DB69+'User Input - Correlations'!D69</f>
        <v>0</v>
      </c>
      <c r="E69" s="263">
        <f>DC69+'User Input - Correlations'!E69</f>
        <v>0</v>
      </c>
      <c r="F69" s="263">
        <f>DD69+'User Input - Correlations'!F69</f>
        <v>0</v>
      </c>
      <c r="G69" s="263">
        <f>DE69+'User Input - Correlations'!G69</f>
        <v>0</v>
      </c>
      <c r="H69" s="263">
        <f>DF69+'User Input - Correlations'!H69</f>
        <v>0</v>
      </c>
      <c r="I69" s="263">
        <f>DG69+'User Input - Correlations'!I69</f>
        <v>0</v>
      </c>
      <c r="J69" s="263">
        <f>DH69+'User Input - Correlations'!J69</f>
        <v>0</v>
      </c>
      <c r="K69" s="263">
        <f>DI69+'User Input - Correlations'!K69</f>
        <v>0</v>
      </c>
      <c r="L69" s="263">
        <f>DJ69+'User Input - Correlations'!L69</f>
        <v>0</v>
      </c>
      <c r="M69" s="263">
        <f>DK69+'User Input - Correlations'!M69</f>
        <v>0</v>
      </c>
      <c r="N69" s="263">
        <f>DL69+'User Input - Correlations'!N69</f>
        <v>0</v>
      </c>
      <c r="O69" s="263">
        <f>DM69+'User Input - Correlations'!O69</f>
        <v>0</v>
      </c>
      <c r="P69" s="263">
        <f>DN69+'User Input - Correlations'!P69</f>
        <v>0</v>
      </c>
      <c r="Q69" s="263">
        <f>DO69+'User Input - Correlations'!Q69</f>
        <v>0</v>
      </c>
      <c r="R69" s="263">
        <f>DP69+'User Input - Correlations'!R69</f>
        <v>0</v>
      </c>
      <c r="S69" s="263">
        <f>DQ69+'User Input - Correlations'!S69</f>
        <v>0</v>
      </c>
      <c r="T69" s="263">
        <f>DR69+'User Input - Correlations'!T69</f>
        <v>0</v>
      </c>
      <c r="U69" s="263">
        <f>DS69+'User Input - Correlations'!U69</f>
        <v>0</v>
      </c>
      <c r="V69" s="263">
        <f>DT69+'User Input - Correlations'!V69</f>
        <v>0</v>
      </c>
      <c r="W69" s="263">
        <f>DU69+'User Input - Correlations'!W69</f>
        <v>0</v>
      </c>
      <c r="X69" s="263">
        <f>DV69+'User Input - Correlations'!X69</f>
        <v>0</v>
      </c>
      <c r="Y69" s="263">
        <f>DW69+'User Input - Correlations'!Y69</f>
        <v>0</v>
      </c>
      <c r="Z69" s="263">
        <f>DX69+'User Input - Correlations'!Z69</f>
        <v>0</v>
      </c>
      <c r="AA69" s="263">
        <f>DY69+'User Input - Correlations'!AA69</f>
        <v>0</v>
      </c>
      <c r="AB69" s="263">
        <f>DZ69+'User Input - Correlations'!AB69</f>
        <v>0</v>
      </c>
      <c r="AC69" s="263">
        <f>EA69+'User Input - Correlations'!AC69</f>
        <v>0</v>
      </c>
      <c r="AD69" s="263">
        <f>EB69+'User Input - Correlations'!AD69</f>
        <v>0</v>
      </c>
      <c r="AE69" s="263">
        <f>EC69+'User Input - Correlations'!AE69</f>
        <v>0</v>
      </c>
      <c r="AF69" s="263">
        <f>ED69+'User Input - Correlations'!AF69</f>
        <v>0</v>
      </c>
      <c r="AG69" s="263">
        <f>EE69+'User Input - Correlations'!AG69</f>
        <v>0</v>
      </c>
      <c r="AH69" s="263">
        <f>EF69+'User Input - Correlations'!AH69</f>
        <v>0</v>
      </c>
      <c r="AI69" s="263">
        <f>EG69+'User Input - Correlations'!AI69</f>
        <v>0</v>
      </c>
      <c r="AJ69" s="263">
        <f>EH69+'User Input - Correlations'!AJ69</f>
        <v>0</v>
      </c>
      <c r="AK69" s="263">
        <f>EI69+'User Input - Correlations'!AK69</f>
        <v>0</v>
      </c>
      <c r="AL69" s="263">
        <f>EJ69+'User Input - Correlations'!AL69</f>
        <v>0</v>
      </c>
      <c r="AM69" s="263">
        <f>EK69+'User Input - Correlations'!AM69</f>
        <v>0</v>
      </c>
      <c r="AN69" s="263">
        <f>EL69+'User Input - Correlations'!AN69</f>
        <v>0</v>
      </c>
      <c r="AO69" s="263">
        <f>EM69+'User Input - Correlations'!AO69</f>
        <v>0</v>
      </c>
      <c r="AP69" s="263">
        <f>EN69+'User Input - Correlations'!AP69</f>
        <v>0</v>
      </c>
      <c r="AQ69" s="263">
        <f>EO69+'User Input - Correlations'!AQ69</f>
        <v>0</v>
      </c>
      <c r="AR69" s="263">
        <f>EP69+'User Input - Correlations'!AR69</f>
        <v>0</v>
      </c>
      <c r="AS69" s="263">
        <f>EQ69+'User Input - Correlations'!AS69</f>
        <v>0</v>
      </c>
      <c r="AT69" s="263">
        <f>ER69+'User Input - Correlations'!AT69</f>
        <v>0</v>
      </c>
      <c r="AU69" s="263">
        <f>ES69+'User Input - Correlations'!AU69</f>
        <v>0</v>
      </c>
      <c r="AV69" s="263">
        <f>ET69+'User Input - Correlations'!AV69</f>
        <v>0</v>
      </c>
      <c r="AW69" s="263">
        <f>EU69+'User Input - Correlations'!AW69</f>
        <v>0</v>
      </c>
      <c r="AX69" s="263">
        <f>EV69+'User Input - Correlations'!AX69</f>
        <v>0</v>
      </c>
      <c r="AY69" s="263">
        <f>EW69+'User Input - Correlations'!AY69</f>
        <v>0</v>
      </c>
      <c r="AZ69" s="263">
        <f>EX69+'User Input - Correlations'!AZ69</f>
        <v>0</v>
      </c>
      <c r="BA69" s="263">
        <f>EY69+'User Input - Correlations'!BA69</f>
        <v>0</v>
      </c>
      <c r="BB69" s="263">
        <f>EZ69+'User Input - Correlations'!BB69</f>
        <v>0</v>
      </c>
      <c r="BC69" s="263">
        <f>FA69+'User Input - Correlations'!BC69</f>
        <v>0</v>
      </c>
      <c r="BD69" s="263">
        <f>FB69+'User Input - Correlations'!BD69</f>
        <v>0</v>
      </c>
      <c r="BE69" s="263">
        <f>FC69+'User Input - Correlations'!BE69</f>
        <v>0</v>
      </c>
      <c r="BF69" s="263">
        <f>FD69+'User Input - Correlations'!BF69</f>
        <v>0</v>
      </c>
      <c r="BG69" s="263">
        <f>FE69+'User Input - Correlations'!BG69</f>
        <v>0</v>
      </c>
      <c r="BH69" s="263">
        <f>FF69+'User Input - Correlations'!BH69</f>
        <v>0</v>
      </c>
      <c r="BI69" s="263">
        <v>1</v>
      </c>
      <c r="BJ69" s="263">
        <f>FH69+'User Input - Correlations'!BJ69</f>
        <v>0</v>
      </c>
      <c r="BK69" s="263">
        <f>FI69+'User Input - Correlations'!BK69</f>
        <v>0</v>
      </c>
      <c r="BL69" s="263">
        <f>FJ69+'User Input - Correlations'!BL69</f>
        <v>0</v>
      </c>
      <c r="BM69" s="263">
        <f>FK69+'User Input - Correlations'!BM69</f>
        <v>0</v>
      </c>
      <c r="BN69" s="263">
        <f>FL69+'User Input - Correlations'!BN69</f>
        <v>0</v>
      </c>
      <c r="BO69" s="263">
        <f>FM69+'User Input - Correlations'!BO69</f>
        <v>0</v>
      </c>
      <c r="BP69" s="263">
        <f>FN69+'User Input - Correlations'!BP69</f>
        <v>0</v>
      </c>
      <c r="BQ69" s="263">
        <f>FO69+'User Input - Correlations'!BQ69</f>
        <v>0</v>
      </c>
      <c r="BR69" s="263">
        <f>FP69+'User Input - Correlations'!BR69</f>
        <v>0</v>
      </c>
      <c r="BS69" s="263">
        <f>FQ69+'User Input - Correlations'!BS69</f>
        <v>0</v>
      </c>
      <c r="BT69" s="263">
        <f>FR69+'User Input - Correlations'!BT69</f>
        <v>0</v>
      </c>
      <c r="BU69" s="263">
        <f>FS69+'User Input - Correlations'!BU69</f>
        <v>0</v>
      </c>
      <c r="BV69" s="263">
        <f>FT69+'User Input - Correlations'!BV69</f>
        <v>0</v>
      </c>
      <c r="BW69" s="263">
        <f>FU69+'User Input - Correlations'!BW69</f>
        <v>0</v>
      </c>
      <c r="BX69" s="263">
        <f>FV69+'User Input - Correlations'!BX69</f>
        <v>0</v>
      </c>
      <c r="BY69" s="263">
        <f>FW69+'User Input - Correlations'!BY69</f>
        <v>0</v>
      </c>
      <c r="BZ69" s="263">
        <f>FX69+'User Input - Correlations'!BZ69</f>
        <v>0</v>
      </c>
      <c r="CA69" s="263">
        <f>FY69+'User Input - Correlations'!CA69</f>
        <v>0</v>
      </c>
      <c r="CB69" s="263">
        <f>FZ69+'User Input - Correlations'!CB69</f>
        <v>0</v>
      </c>
      <c r="CC69" s="263">
        <f>GA69+'User Input - Correlations'!CC69</f>
        <v>0</v>
      </c>
      <c r="CD69" s="263">
        <f>GB69+'User Input - Correlations'!CD69</f>
        <v>0</v>
      </c>
      <c r="CE69" s="263">
        <f>GC69+'User Input - Correlations'!CE69</f>
        <v>0</v>
      </c>
      <c r="CF69" s="263">
        <f>GD69+'User Input - Correlations'!CF69</f>
        <v>0</v>
      </c>
      <c r="CG69" s="263">
        <f>GE69+'User Input - Correlations'!CG69</f>
        <v>0</v>
      </c>
      <c r="CH69" s="263">
        <f>GF69+'User Input - Correlations'!CH69</f>
        <v>0</v>
      </c>
      <c r="CI69" s="263">
        <f>GG69+'User Input - Correlations'!CI69</f>
        <v>0</v>
      </c>
      <c r="CJ69" s="263">
        <f>GH69+'User Input - Correlations'!CJ69</f>
        <v>0</v>
      </c>
      <c r="CK69" s="263">
        <f>GI69+'User Input - Correlations'!CK69</f>
        <v>0</v>
      </c>
      <c r="CL69" s="263">
        <f>GJ69+'User Input - Correlations'!CL69</f>
        <v>0</v>
      </c>
      <c r="CM69" s="263">
        <f>GK69+'User Input - Correlations'!CM69</f>
        <v>0</v>
      </c>
      <c r="CN69" s="263">
        <f>GL69+'User Input - Correlations'!CN69</f>
        <v>0</v>
      </c>
      <c r="CO69" s="263">
        <f>GM69+'User Input - Correlations'!CO69</f>
        <v>0</v>
      </c>
      <c r="CP69" s="264">
        <f>GN69+'User Input - Correlations'!CP69</f>
        <v>0</v>
      </c>
      <c r="CQ69" s="281">
        <f ca="1">MDETERM(OFFSET($C$11,0,0,ROWS($CQ$11:$CQ69),ROWS($CQ$11:$CQ69)))</f>
        <v>1</v>
      </c>
      <c r="DA69" s="263">
        <v>0</v>
      </c>
      <c r="DB69" s="263">
        <v>0</v>
      </c>
      <c r="DC69" s="263">
        <v>0</v>
      </c>
      <c r="DD69" s="263">
        <v>0</v>
      </c>
      <c r="DE69" s="263">
        <v>0</v>
      </c>
      <c r="DF69" s="263">
        <v>0</v>
      </c>
      <c r="DG69" s="263">
        <v>0</v>
      </c>
      <c r="DH69" s="263">
        <v>0</v>
      </c>
      <c r="DI69" s="263">
        <v>0</v>
      </c>
      <c r="DJ69" s="263">
        <v>0</v>
      </c>
      <c r="DK69" s="263">
        <v>0</v>
      </c>
      <c r="DL69" s="263">
        <v>0</v>
      </c>
      <c r="DM69" s="263">
        <v>0</v>
      </c>
      <c r="DN69" s="263">
        <v>0</v>
      </c>
      <c r="DO69" s="263">
        <v>0</v>
      </c>
      <c r="DP69" s="263">
        <v>0</v>
      </c>
      <c r="DQ69" s="263">
        <v>0</v>
      </c>
      <c r="DR69" s="263">
        <v>0</v>
      </c>
      <c r="DS69" s="263">
        <v>0</v>
      </c>
      <c r="DT69" s="263">
        <v>0</v>
      </c>
      <c r="DU69" s="263">
        <v>0</v>
      </c>
      <c r="DV69" s="263">
        <v>0</v>
      </c>
      <c r="DW69" s="263">
        <v>0</v>
      </c>
      <c r="DX69" s="263">
        <v>0</v>
      </c>
      <c r="DY69" s="263">
        <v>0</v>
      </c>
      <c r="DZ69" s="263">
        <v>0</v>
      </c>
      <c r="EA69" s="263">
        <v>0</v>
      </c>
      <c r="EB69" s="263">
        <v>0</v>
      </c>
      <c r="EC69" s="263">
        <v>0</v>
      </c>
      <c r="ED69" s="263">
        <v>0</v>
      </c>
      <c r="EE69" s="263">
        <v>0</v>
      </c>
      <c r="EF69" s="263">
        <v>0</v>
      </c>
      <c r="EG69" s="263">
        <v>0</v>
      </c>
      <c r="EH69" s="263">
        <v>0</v>
      </c>
      <c r="EI69" s="263">
        <v>0</v>
      </c>
      <c r="EJ69" s="263">
        <v>0</v>
      </c>
      <c r="EK69" s="263">
        <v>0</v>
      </c>
      <c r="EL69" s="263">
        <v>0</v>
      </c>
      <c r="EM69" s="263">
        <v>0</v>
      </c>
      <c r="EN69" s="263">
        <v>0</v>
      </c>
      <c r="EO69" s="263">
        <v>0</v>
      </c>
      <c r="EP69" s="263">
        <v>0</v>
      </c>
      <c r="EQ69" s="263">
        <v>0</v>
      </c>
      <c r="ER69" s="263">
        <v>0</v>
      </c>
      <c r="ES69" s="263">
        <v>0</v>
      </c>
      <c r="ET69" s="263">
        <v>0</v>
      </c>
      <c r="EU69" s="263">
        <v>0</v>
      </c>
      <c r="EV69" s="263">
        <v>0</v>
      </c>
      <c r="EW69" s="263">
        <v>0</v>
      </c>
      <c r="EX69" s="263">
        <v>0</v>
      </c>
      <c r="EY69" s="263">
        <v>0</v>
      </c>
      <c r="EZ69" s="263">
        <v>0</v>
      </c>
      <c r="FA69" s="263">
        <v>0</v>
      </c>
      <c r="FB69" s="263">
        <v>0</v>
      </c>
      <c r="FC69" s="263">
        <v>0</v>
      </c>
      <c r="FD69" s="263">
        <v>0</v>
      </c>
      <c r="FE69" s="263">
        <v>0</v>
      </c>
      <c r="FF69" s="263">
        <v>0</v>
      </c>
      <c r="FG69" s="263">
        <v>1</v>
      </c>
      <c r="FH69" s="263">
        <v>0</v>
      </c>
      <c r="FI69" s="263">
        <v>0</v>
      </c>
      <c r="FJ69" s="263">
        <v>0</v>
      </c>
      <c r="FK69" s="263">
        <v>0</v>
      </c>
      <c r="FL69" s="263">
        <v>0</v>
      </c>
      <c r="FM69" s="263">
        <v>0</v>
      </c>
      <c r="FN69" s="263">
        <v>0</v>
      </c>
      <c r="FO69" s="263">
        <v>0</v>
      </c>
      <c r="FP69" s="263">
        <v>0</v>
      </c>
      <c r="FQ69" s="263">
        <v>0</v>
      </c>
      <c r="FR69" s="263">
        <v>0</v>
      </c>
      <c r="FS69" s="263">
        <v>0</v>
      </c>
      <c r="FT69" s="263">
        <v>0</v>
      </c>
      <c r="FU69" s="263">
        <v>0</v>
      </c>
      <c r="FV69" s="263">
        <v>0</v>
      </c>
      <c r="FW69" s="263">
        <v>0</v>
      </c>
      <c r="FX69" s="263">
        <v>0</v>
      </c>
      <c r="FY69" s="263">
        <v>0</v>
      </c>
      <c r="FZ69" s="263">
        <v>0</v>
      </c>
      <c r="GA69" s="263">
        <v>0</v>
      </c>
      <c r="GB69" s="263">
        <v>0</v>
      </c>
      <c r="GC69" s="263">
        <v>0</v>
      </c>
      <c r="GD69" s="263">
        <v>0</v>
      </c>
      <c r="GE69" s="263">
        <v>0</v>
      </c>
      <c r="GF69" s="263">
        <v>0</v>
      </c>
      <c r="GG69" s="263">
        <v>0</v>
      </c>
      <c r="GH69" s="263">
        <v>0</v>
      </c>
      <c r="GI69" s="263">
        <v>0</v>
      </c>
      <c r="GJ69" s="263">
        <v>0</v>
      </c>
      <c r="GK69" s="263">
        <v>0</v>
      </c>
      <c r="GL69" s="263">
        <v>0</v>
      </c>
      <c r="GM69" s="263">
        <v>0</v>
      </c>
      <c r="GN69" s="263">
        <v>0</v>
      </c>
    </row>
    <row r="70" ht="12.75" customHeight="1">
      <c r="A70" s="286" t="s">
        <v>183</v>
      </c>
      <c r="B70" s="286" t="s">
        <v>86</v>
      </c>
      <c r="C70" s="263">
        <f>DA70+'User Input - Correlations'!C70</f>
        <v>0</v>
      </c>
      <c r="D70" s="263">
        <f>DB70+'User Input - Correlations'!D70</f>
        <v>0</v>
      </c>
      <c r="E70" s="263">
        <f>DC70+'User Input - Correlations'!E70</f>
        <v>0</v>
      </c>
      <c r="F70" s="263">
        <f>DD70+'User Input - Correlations'!F70</f>
        <v>0</v>
      </c>
      <c r="G70" s="263">
        <f>DE70+'User Input - Correlations'!G70</f>
        <v>0</v>
      </c>
      <c r="H70" s="263">
        <f>DF70+'User Input - Correlations'!H70</f>
        <v>0</v>
      </c>
      <c r="I70" s="263">
        <f>DG70+'User Input - Correlations'!I70</f>
        <v>0</v>
      </c>
      <c r="J70" s="263">
        <f>DH70+'User Input - Correlations'!J70</f>
        <v>0</v>
      </c>
      <c r="K70" s="263">
        <f>DI70+'User Input - Correlations'!K70</f>
        <v>0</v>
      </c>
      <c r="L70" s="263">
        <f>DJ70+'User Input - Correlations'!L70</f>
        <v>0</v>
      </c>
      <c r="M70" s="263">
        <f>DK70+'User Input - Correlations'!M70</f>
        <v>0</v>
      </c>
      <c r="N70" s="263">
        <f>DL70+'User Input - Correlations'!N70</f>
        <v>0</v>
      </c>
      <c r="O70" s="263">
        <f>DM70+'User Input - Correlations'!O70</f>
        <v>0</v>
      </c>
      <c r="P70" s="263">
        <f>DN70+'User Input - Correlations'!P70</f>
        <v>0</v>
      </c>
      <c r="Q70" s="263">
        <f>DO70+'User Input - Correlations'!Q70</f>
        <v>0</v>
      </c>
      <c r="R70" s="263">
        <f>DP70+'User Input - Correlations'!R70</f>
        <v>0</v>
      </c>
      <c r="S70" s="263">
        <f>DQ70+'User Input - Correlations'!S70</f>
        <v>0</v>
      </c>
      <c r="T70" s="263">
        <f>DR70+'User Input - Correlations'!T70</f>
        <v>0</v>
      </c>
      <c r="U70" s="263">
        <f>DS70+'User Input - Correlations'!U70</f>
        <v>0</v>
      </c>
      <c r="V70" s="263">
        <f>DT70+'User Input - Correlations'!V70</f>
        <v>0</v>
      </c>
      <c r="W70" s="263">
        <f>DU70+'User Input - Correlations'!W70</f>
        <v>0</v>
      </c>
      <c r="X70" s="263">
        <f>DV70+'User Input - Correlations'!X70</f>
        <v>0</v>
      </c>
      <c r="Y70" s="263">
        <f>DW70+'User Input - Correlations'!Y70</f>
        <v>0</v>
      </c>
      <c r="Z70" s="263">
        <f>DX70+'User Input - Correlations'!Z70</f>
        <v>0</v>
      </c>
      <c r="AA70" s="263">
        <f>DY70+'User Input - Correlations'!AA70</f>
        <v>0</v>
      </c>
      <c r="AB70" s="263">
        <f>DZ70+'User Input - Correlations'!AB70</f>
        <v>0</v>
      </c>
      <c r="AC70" s="263">
        <f>EA70+'User Input - Correlations'!AC70</f>
        <v>0</v>
      </c>
      <c r="AD70" s="263">
        <f>EB70+'User Input - Correlations'!AD70</f>
        <v>0</v>
      </c>
      <c r="AE70" s="263">
        <f>EC70+'User Input - Correlations'!AE70</f>
        <v>0</v>
      </c>
      <c r="AF70" s="263">
        <f>ED70+'User Input - Correlations'!AF70</f>
        <v>0</v>
      </c>
      <c r="AG70" s="263">
        <f>EE70+'User Input - Correlations'!AG70</f>
        <v>0</v>
      </c>
      <c r="AH70" s="263">
        <f>EF70+'User Input - Correlations'!AH70</f>
        <v>0</v>
      </c>
      <c r="AI70" s="263">
        <f>EG70+'User Input - Correlations'!AI70</f>
        <v>0</v>
      </c>
      <c r="AJ70" s="263">
        <f>EH70+'User Input - Correlations'!AJ70</f>
        <v>0</v>
      </c>
      <c r="AK70" s="263">
        <f>EI70+'User Input - Correlations'!AK70</f>
        <v>0</v>
      </c>
      <c r="AL70" s="263">
        <f>EJ70+'User Input - Correlations'!AL70</f>
        <v>0</v>
      </c>
      <c r="AM70" s="263">
        <f>EK70+'User Input - Correlations'!AM70</f>
        <v>0</v>
      </c>
      <c r="AN70" s="263">
        <f>EL70+'User Input - Correlations'!AN70</f>
        <v>0</v>
      </c>
      <c r="AO70" s="263">
        <f>EM70+'User Input - Correlations'!AO70</f>
        <v>0</v>
      </c>
      <c r="AP70" s="263">
        <f>EN70+'User Input - Correlations'!AP70</f>
        <v>0</v>
      </c>
      <c r="AQ70" s="263">
        <f>EO70+'User Input - Correlations'!AQ70</f>
        <v>0</v>
      </c>
      <c r="AR70" s="263">
        <f>EP70+'User Input - Correlations'!AR70</f>
        <v>0</v>
      </c>
      <c r="AS70" s="263">
        <f>EQ70+'User Input - Correlations'!AS70</f>
        <v>0</v>
      </c>
      <c r="AT70" s="263">
        <f>ER70+'User Input - Correlations'!AT70</f>
        <v>0</v>
      </c>
      <c r="AU70" s="263">
        <f>ES70+'User Input - Correlations'!AU70</f>
        <v>0</v>
      </c>
      <c r="AV70" s="263">
        <f>ET70+'User Input - Correlations'!AV70</f>
        <v>0</v>
      </c>
      <c r="AW70" s="263">
        <f>EU70+'User Input - Correlations'!AW70</f>
        <v>0</v>
      </c>
      <c r="AX70" s="263">
        <f>EV70+'User Input - Correlations'!AX70</f>
        <v>0</v>
      </c>
      <c r="AY70" s="263">
        <f>EW70+'User Input - Correlations'!AY70</f>
        <v>0</v>
      </c>
      <c r="AZ70" s="263">
        <f>EX70+'User Input - Correlations'!AZ70</f>
        <v>0</v>
      </c>
      <c r="BA70" s="263">
        <f>EY70+'User Input - Correlations'!BA70</f>
        <v>0</v>
      </c>
      <c r="BB70" s="263">
        <f>EZ70+'User Input - Correlations'!BB70</f>
        <v>0</v>
      </c>
      <c r="BC70" s="263">
        <f>FA70+'User Input - Correlations'!BC70</f>
        <v>0</v>
      </c>
      <c r="BD70" s="263">
        <f>FB70+'User Input - Correlations'!BD70</f>
        <v>0</v>
      </c>
      <c r="BE70" s="263">
        <f>FC70+'User Input - Correlations'!BE70</f>
        <v>0</v>
      </c>
      <c r="BF70" s="263">
        <f>FD70+'User Input - Correlations'!BF70</f>
        <v>0</v>
      </c>
      <c r="BG70" s="263">
        <f>FE70+'User Input - Correlations'!BG70</f>
        <v>0</v>
      </c>
      <c r="BH70" s="263">
        <f>FF70+'User Input - Correlations'!BH70</f>
        <v>0</v>
      </c>
      <c r="BI70" s="263">
        <f>FG70+'User Input - Correlations'!BI70</f>
        <v>0</v>
      </c>
      <c r="BJ70" s="263">
        <v>1</v>
      </c>
      <c r="BK70" s="263">
        <f>FI70+'User Input - Correlations'!BK70</f>
        <v>0</v>
      </c>
      <c r="BL70" s="263">
        <f>FJ70+'User Input - Correlations'!BL70</f>
        <v>0</v>
      </c>
      <c r="BM70" s="263">
        <f>FK70+'User Input - Correlations'!BM70</f>
        <v>0</v>
      </c>
      <c r="BN70" s="263">
        <f>FL70+'User Input - Correlations'!BN70</f>
        <v>0</v>
      </c>
      <c r="BO70" s="263">
        <f>FM70+'User Input - Correlations'!BO70</f>
        <v>0</v>
      </c>
      <c r="BP70" s="263">
        <f>FN70+'User Input - Correlations'!BP70</f>
        <v>0</v>
      </c>
      <c r="BQ70" s="263">
        <f>FO70+'User Input - Correlations'!BQ70</f>
        <v>0</v>
      </c>
      <c r="BR70" s="263">
        <f>FP70+'User Input - Correlations'!BR70</f>
        <v>0</v>
      </c>
      <c r="BS70" s="263">
        <f>FQ70+'User Input - Correlations'!BS70</f>
        <v>0</v>
      </c>
      <c r="BT70" s="263">
        <f>FR70+'User Input - Correlations'!BT70</f>
        <v>0</v>
      </c>
      <c r="BU70" s="263">
        <f>FS70+'User Input - Correlations'!BU70</f>
        <v>0</v>
      </c>
      <c r="BV70" s="263">
        <f>FT70+'User Input - Correlations'!BV70</f>
        <v>0</v>
      </c>
      <c r="BW70" s="263">
        <f>FU70+'User Input - Correlations'!BW70</f>
        <v>0</v>
      </c>
      <c r="BX70" s="263">
        <f>FV70+'User Input - Correlations'!BX70</f>
        <v>0</v>
      </c>
      <c r="BY70" s="263">
        <f>FW70+'User Input - Correlations'!BY70</f>
        <v>0</v>
      </c>
      <c r="BZ70" s="263">
        <f>FX70+'User Input - Correlations'!BZ70</f>
        <v>0</v>
      </c>
      <c r="CA70" s="263">
        <f>FY70+'User Input - Correlations'!CA70</f>
        <v>0</v>
      </c>
      <c r="CB70" s="263">
        <f>FZ70+'User Input - Correlations'!CB70</f>
        <v>0</v>
      </c>
      <c r="CC70" s="263">
        <f>GA70+'User Input - Correlations'!CC70</f>
        <v>0</v>
      </c>
      <c r="CD70" s="263">
        <f>GB70+'User Input - Correlations'!CD70</f>
        <v>0</v>
      </c>
      <c r="CE70" s="263">
        <f>GC70+'User Input - Correlations'!CE70</f>
        <v>0</v>
      </c>
      <c r="CF70" s="263">
        <f>GD70+'User Input - Correlations'!CF70</f>
        <v>0</v>
      </c>
      <c r="CG70" s="263">
        <f>GE70+'User Input - Correlations'!CG70</f>
        <v>0</v>
      </c>
      <c r="CH70" s="263">
        <f>GF70+'User Input - Correlations'!CH70</f>
        <v>0</v>
      </c>
      <c r="CI70" s="263">
        <f>GG70+'User Input - Correlations'!CI70</f>
        <v>0</v>
      </c>
      <c r="CJ70" s="263">
        <f>GH70+'User Input - Correlations'!CJ70</f>
        <v>0</v>
      </c>
      <c r="CK70" s="263">
        <f>GI70+'User Input - Correlations'!CK70</f>
        <v>0</v>
      </c>
      <c r="CL70" s="263">
        <f>GJ70+'User Input - Correlations'!CL70</f>
        <v>0</v>
      </c>
      <c r="CM70" s="263">
        <f>GK70+'User Input - Correlations'!CM70</f>
        <v>0</v>
      </c>
      <c r="CN70" s="263">
        <f>GL70+'User Input - Correlations'!CN70</f>
        <v>0</v>
      </c>
      <c r="CO70" s="263">
        <f>GM70+'User Input - Correlations'!CO70</f>
        <v>0</v>
      </c>
      <c r="CP70" s="264">
        <f>GN70+'User Input - Correlations'!CP70</f>
        <v>0</v>
      </c>
      <c r="CQ70" s="281">
        <f ca="1">MDETERM(OFFSET($C$11,0,0,ROWS($CQ$11:$CQ70),ROWS($CQ$11:$CQ70)))</f>
        <v>1</v>
      </c>
      <c r="DA70" s="263">
        <v>0</v>
      </c>
      <c r="DB70" s="263">
        <v>0</v>
      </c>
      <c r="DC70" s="263">
        <v>0</v>
      </c>
      <c r="DD70" s="263">
        <v>0</v>
      </c>
      <c r="DE70" s="263">
        <v>0</v>
      </c>
      <c r="DF70" s="263">
        <v>0</v>
      </c>
      <c r="DG70" s="263">
        <v>0</v>
      </c>
      <c r="DH70" s="263">
        <v>0</v>
      </c>
      <c r="DI70" s="263">
        <v>0</v>
      </c>
      <c r="DJ70" s="263">
        <v>0</v>
      </c>
      <c r="DK70" s="263">
        <v>0</v>
      </c>
      <c r="DL70" s="263">
        <v>0</v>
      </c>
      <c r="DM70" s="263">
        <v>0</v>
      </c>
      <c r="DN70" s="263">
        <v>0</v>
      </c>
      <c r="DO70" s="263">
        <v>0</v>
      </c>
      <c r="DP70" s="263">
        <v>0</v>
      </c>
      <c r="DQ70" s="263">
        <v>0</v>
      </c>
      <c r="DR70" s="263">
        <v>0</v>
      </c>
      <c r="DS70" s="263">
        <v>0</v>
      </c>
      <c r="DT70" s="263">
        <v>0</v>
      </c>
      <c r="DU70" s="263">
        <v>0</v>
      </c>
      <c r="DV70" s="263">
        <v>0</v>
      </c>
      <c r="DW70" s="263">
        <v>0</v>
      </c>
      <c r="DX70" s="263">
        <v>0</v>
      </c>
      <c r="DY70" s="263">
        <v>0</v>
      </c>
      <c r="DZ70" s="263">
        <v>0</v>
      </c>
      <c r="EA70" s="263">
        <v>0</v>
      </c>
      <c r="EB70" s="263">
        <v>0</v>
      </c>
      <c r="EC70" s="263">
        <v>0</v>
      </c>
      <c r="ED70" s="263">
        <v>0</v>
      </c>
      <c r="EE70" s="263">
        <v>0</v>
      </c>
      <c r="EF70" s="263">
        <v>0</v>
      </c>
      <c r="EG70" s="263">
        <v>0</v>
      </c>
      <c r="EH70" s="263">
        <v>0</v>
      </c>
      <c r="EI70" s="263">
        <v>0</v>
      </c>
      <c r="EJ70" s="263">
        <v>0</v>
      </c>
      <c r="EK70" s="263">
        <v>0</v>
      </c>
      <c r="EL70" s="263">
        <v>0</v>
      </c>
      <c r="EM70" s="263">
        <v>0</v>
      </c>
      <c r="EN70" s="263">
        <v>0</v>
      </c>
      <c r="EO70" s="263">
        <v>0</v>
      </c>
      <c r="EP70" s="263">
        <v>0</v>
      </c>
      <c r="EQ70" s="263">
        <v>0</v>
      </c>
      <c r="ER70" s="263">
        <v>0</v>
      </c>
      <c r="ES70" s="263">
        <v>0</v>
      </c>
      <c r="ET70" s="263">
        <v>0</v>
      </c>
      <c r="EU70" s="263">
        <v>0</v>
      </c>
      <c r="EV70" s="263">
        <v>0</v>
      </c>
      <c r="EW70" s="263">
        <v>0</v>
      </c>
      <c r="EX70" s="263">
        <v>0</v>
      </c>
      <c r="EY70" s="263">
        <v>0</v>
      </c>
      <c r="EZ70" s="263">
        <v>0</v>
      </c>
      <c r="FA70" s="263">
        <v>0</v>
      </c>
      <c r="FB70" s="263">
        <v>0</v>
      </c>
      <c r="FC70" s="263">
        <v>0</v>
      </c>
      <c r="FD70" s="263">
        <v>0</v>
      </c>
      <c r="FE70" s="263">
        <v>0</v>
      </c>
      <c r="FF70" s="263">
        <v>0</v>
      </c>
      <c r="FG70" s="263">
        <v>0</v>
      </c>
      <c r="FH70" s="263">
        <v>1</v>
      </c>
      <c r="FI70" s="263">
        <v>0</v>
      </c>
      <c r="FJ70" s="263">
        <v>0</v>
      </c>
      <c r="FK70" s="263">
        <v>0</v>
      </c>
      <c r="FL70" s="263">
        <v>0</v>
      </c>
      <c r="FM70" s="263">
        <v>0</v>
      </c>
      <c r="FN70" s="263">
        <v>0</v>
      </c>
      <c r="FO70" s="263">
        <v>0</v>
      </c>
      <c r="FP70" s="263">
        <v>0</v>
      </c>
      <c r="FQ70" s="263">
        <v>0</v>
      </c>
      <c r="FR70" s="263">
        <v>0</v>
      </c>
      <c r="FS70" s="263">
        <v>0</v>
      </c>
      <c r="FT70" s="263">
        <v>0</v>
      </c>
      <c r="FU70" s="263">
        <v>0</v>
      </c>
      <c r="FV70" s="263">
        <v>0</v>
      </c>
      <c r="FW70" s="263">
        <v>0</v>
      </c>
      <c r="FX70" s="263">
        <v>0</v>
      </c>
      <c r="FY70" s="263">
        <v>0</v>
      </c>
      <c r="FZ70" s="263">
        <v>0</v>
      </c>
      <c r="GA70" s="263">
        <v>0</v>
      </c>
      <c r="GB70" s="263">
        <v>0</v>
      </c>
      <c r="GC70" s="263">
        <v>0</v>
      </c>
      <c r="GD70" s="263">
        <v>0</v>
      </c>
      <c r="GE70" s="263">
        <v>0</v>
      </c>
      <c r="GF70" s="263">
        <v>0</v>
      </c>
      <c r="GG70" s="263">
        <v>0</v>
      </c>
      <c r="GH70" s="263">
        <v>0</v>
      </c>
      <c r="GI70" s="263">
        <v>0</v>
      </c>
      <c r="GJ70" s="263">
        <v>0</v>
      </c>
      <c r="GK70" s="263">
        <v>0</v>
      </c>
      <c r="GL70" s="263">
        <v>0</v>
      </c>
      <c r="GM70" s="263">
        <v>0</v>
      </c>
      <c r="GN70" s="263">
        <v>0</v>
      </c>
    </row>
    <row r="71" ht="12.75" customHeight="1">
      <c r="A71" s="286" t="s">
        <v>192</v>
      </c>
      <c r="B71" s="286" t="s">
        <v>86</v>
      </c>
      <c r="C71" s="263">
        <f>DA71+'User Input - Correlations'!C71</f>
        <v>0</v>
      </c>
      <c r="D71" s="263">
        <f>DB71+'User Input - Correlations'!D71</f>
        <v>0</v>
      </c>
      <c r="E71" s="263">
        <f>DC71+'User Input - Correlations'!E71</f>
        <v>0</v>
      </c>
      <c r="F71" s="263">
        <f>DD71+'User Input - Correlations'!F71</f>
        <v>0</v>
      </c>
      <c r="G71" s="263">
        <f>DE71+'User Input - Correlations'!G71</f>
        <v>0</v>
      </c>
      <c r="H71" s="263">
        <f>DF71+'User Input - Correlations'!H71</f>
        <v>0</v>
      </c>
      <c r="I71" s="263">
        <f>DG71+'User Input - Correlations'!I71</f>
        <v>0</v>
      </c>
      <c r="J71" s="263">
        <f>DH71+'User Input - Correlations'!J71</f>
        <v>0</v>
      </c>
      <c r="K71" s="263">
        <f>DI71+'User Input - Correlations'!K71</f>
        <v>0</v>
      </c>
      <c r="L71" s="263">
        <f>DJ71+'User Input - Correlations'!L71</f>
        <v>0</v>
      </c>
      <c r="M71" s="263">
        <f>DK71+'User Input - Correlations'!M71</f>
        <v>0</v>
      </c>
      <c r="N71" s="263">
        <f>DL71+'User Input - Correlations'!N71</f>
        <v>0</v>
      </c>
      <c r="O71" s="263">
        <f>DM71+'User Input - Correlations'!O71</f>
        <v>0</v>
      </c>
      <c r="P71" s="263">
        <f>DN71+'User Input - Correlations'!P71</f>
        <v>0</v>
      </c>
      <c r="Q71" s="263">
        <f>DO71+'User Input - Correlations'!Q71</f>
        <v>0</v>
      </c>
      <c r="R71" s="263">
        <f>DP71+'User Input - Correlations'!R71</f>
        <v>0</v>
      </c>
      <c r="S71" s="263">
        <f>DQ71+'User Input - Correlations'!S71</f>
        <v>0</v>
      </c>
      <c r="T71" s="263">
        <f>DR71+'User Input - Correlations'!T71</f>
        <v>0</v>
      </c>
      <c r="U71" s="263">
        <f>DS71+'User Input - Correlations'!U71</f>
        <v>0</v>
      </c>
      <c r="V71" s="263">
        <f>DT71+'User Input - Correlations'!V71</f>
        <v>0</v>
      </c>
      <c r="W71" s="263">
        <f>DU71+'User Input - Correlations'!W71</f>
        <v>0</v>
      </c>
      <c r="X71" s="263">
        <f>DV71+'User Input - Correlations'!X71</f>
        <v>0</v>
      </c>
      <c r="Y71" s="263">
        <f>DW71+'User Input - Correlations'!Y71</f>
        <v>0</v>
      </c>
      <c r="Z71" s="263">
        <f>DX71+'User Input - Correlations'!Z71</f>
        <v>0</v>
      </c>
      <c r="AA71" s="263">
        <f>DY71+'User Input - Correlations'!AA71</f>
        <v>0</v>
      </c>
      <c r="AB71" s="263">
        <f>DZ71+'User Input - Correlations'!AB71</f>
        <v>0</v>
      </c>
      <c r="AC71" s="263">
        <f>EA71+'User Input - Correlations'!AC71</f>
        <v>0</v>
      </c>
      <c r="AD71" s="263">
        <f>EB71+'User Input - Correlations'!AD71</f>
        <v>0</v>
      </c>
      <c r="AE71" s="263">
        <f>EC71+'User Input - Correlations'!AE71</f>
        <v>0</v>
      </c>
      <c r="AF71" s="263">
        <f>ED71+'User Input - Correlations'!AF71</f>
        <v>0</v>
      </c>
      <c r="AG71" s="263">
        <f>EE71+'User Input - Correlations'!AG71</f>
        <v>0</v>
      </c>
      <c r="AH71" s="263">
        <f>EF71+'User Input - Correlations'!AH71</f>
        <v>0</v>
      </c>
      <c r="AI71" s="263">
        <f>EG71+'User Input - Correlations'!AI71</f>
        <v>0</v>
      </c>
      <c r="AJ71" s="263">
        <f>EH71+'User Input - Correlations'!AJ71</f>
        <v>0</v>
      </c>
      <c r="AK71" s="263">
        <f>EI71+'User Input - Correlations'!AK71</f>
        <v>0</v>
      </c>
      <c r="AL71" s="263">
        <f>EJ71+'User Input - Correlations'!AL71</f>
        <v>0</v>
      </c>
      <c r="AM71" s="263">
        <f>EK71+'User Input - Correlations'!AM71</f>
        <v>0</v>
      </c>
      <c r="AN71" s="263">
        <f>EL71+'User Input - Correlations'!AN71</f>
        <v>0</v>
      </c>
      <c r="AO71" s="263">
        <f>EM71+'User Input - Correlations'!AO71</f>
        <v>0</v>
      </c>
      <c r="AP71" s="263">
        <f>EN71+'User Input - Correlations'!AP71</f>
        <v>0</v>
      </c>
      <c r="AQ71" s="263">
        <f>EO71+'User Input - Correlations'!AQ71</f>
        <v>0</v>
      </c>
      <c r="AR71" s="263">
        <f>EP71+'User Input - Correlations'!AR71</f>
        <v>0</v>
      </c>
      <c r="AS71" s="263">
        <f>EQ71+'User Input - Correlations'!AS71</f>
        <v>0</v>
      </c>
      <c r="AT71" s="263">
        <f>ER71+'User Input - Correlations'!AT71</f>
        <v>0</v>
      </c>
      <c r="AU71" s="263">
        <f>ES71+'User Input - Correlations'!AU71</f>
        <v>0</v>
      </c>
      <c r="AV71" s="263">
        <f>ET71+'User Input - Correlations'!AV71</f>
        <v>0</v>
      </c>
      <c r="AW71" s="263">
        <f>EU71+'User Input - Correlations'!AW71</f>
        <v>0</v>
      </c>
      <c r="AX71" s="263">
        <f>EV71+'User Input - Correlations'!AX71</f>
        <v>0</v>
      </c>
      <c r="AY71" s="263">
        <f>EW71+'User Input - Correlations'!AY71</f>
        <v>0</v>
      </c>
      <c r="AZ71" s="263">
        <f>EX71+'User Input - Correlations'!AZ71</f>
        <v>0</v>
      </c>
      <c r="BA71" s="263">
        <f>EY71+'User Input - Correlations'!BA71</f>
        <v>0</v>
      </c>
      <c r="BB71" s="263">
        <f>EZ71+'User Input - Correlations'!BB71</f>
        <v>0</v>
      </c>
      <c r="BC71" s="263">
        <f>FA71+'User Input - Correlations'!BC71</f>
        <v>0</v>
      </c>
      <c r="BD71" s="263">
        <f>FB71+'User Input - Correlations'!BD71</f>
        <v>0</v>
      </c>
      <c r="BE71" s="263">
        <f>FC71+'User Input - Correlations'!BE71</f>
        <v>0</v>
      </c>
      <c r="BF71" s="263">
        <f>FD71+'User Input - Correlations'!BF71</f>
        <v>0</v>
      </c>
      <c r="BG71" s="263">
        <f>FE71+'User Input - Correlations'!BG71</f>
        <v>0</v>
      </c>
      <c r="BH71" s="263">
        <f>FF71+'User Input - Correlations'!BH71</f>
        <v>0</v>
      </c>
      <c r="BI71" s="263">
        <f>FG71+'User Input - Correlations'!BI71</f>
        <v>0</v>
      </c>
      <c r="BJ71" s="263">
        <f>FH71+'User Input - Correlations'!BJ71</f>
        <v>0</v>
      </c>
      <c r="BK71" s="263">
        <v>1</v>
      </c>
      <c r="BL71" s="263">
        <f>FJ71+'User Input - Correlations'!BL71</f>
        <v>0</v>
      </c>
      <c r="BM71" s="263">
        <f>FK71+'User Input - Correlations'!BM71</f>
        <v>0</v>
      </c>
      <c r="BN71" s="263">
        <f>FL71+'User Input - Correlations'!BN71</f>
        <v>0</v>
      </c>
      <c r="BO71" s="263">
        <f>FM71+'User Input - Correlations'!BO71</f>
        <v>0</v>
      </c>
      <c r="BP71" s="263">
        <f>FN71+'User Input - Correlations'!BP71</f>
        <v>0</v>
      </c>
      <c r="BQ71" s="263">
        <f>FO71+'User Input - Correlations'!BQ71</f>
        <v>0</v>
      </c>
      <c r="BR71" s="263">
        <f>FP71+'User Input - Correlations'!BR71</f>
        <v>0</v>
      </c>
      <c r="BS71" s="263">
        <f>FQ71+'User Input - Correlations'!BS71</f>
        <v>0</v>
      </c>
      <c r="BT71" s="263">
        <f>FR71+'User Input - Correlations'!BT71</f>
        <v>0</v>
      </c>
      <c r="BU71" s="263">
        <f>FS71+'User Input - Correlations'!BU71</f>
        <v>0</v>
      </c>
      <c r="BV71" s="263">
        <f>FT71+'User Input - Correlations'!BV71</f>
        <v>0</v>
      </c>
      <c r="BW71" s="263">
        <f>FU71+'User Input - Correlations'!BW71</f>
        <v>0</v>
      </c>
      <c r="BX71" s="263">
        <f>FV71+'User Input - Correlations'!BX71</f>
        <v>0</v>
      </c>
      <c r="BY71" s="263">
        <f>FW71+'User Input - Correlations'!BY71</f>
        <v>0</v>
      </c>
      <c r="BZ71" s="263">
        <f>FX71+'User Input - Correlations'!BZ71</f>
        <v>0</v>
      </c>
      <c r="CA71" s="263">
        <f>FY71+'User Input - Correlations'!CA71</f>
        <v>0</v>
      </c>
      <c r="CB71" s="263">
        <f>FZ71+'User Input - Correlations'!CB71</f>
        <v>0</v>
      </c>
      <c r="CC71" s="263">
        <f>GA71+'User Input - Correlations'!CC71</f>
        <v>0</v>
      </c>
      <c r="CD71" s="263">
        <f>GB71+'User Input - Correlations'!CD71</f>
        <v>0</v>
      </c>
      <c r="CE71" s="263">
        <f>GC71+'User Input - Correlations'!CE71</f>
        <v>0</v>
      </c>
      <c r="CF71" s="263">
        <f>GD71+'User Input - Correlations'!CF71</f>
        <v>0</v>
      </c>
      <c r="CG71" s="263">
        <f>GE71+'User Input - Correlations'!CG71</f>
        <v>0</v>
      </c>
      <c r="CH71" s="263">
        <f>GF71+'User Input - Correlations'!CH71</f>
        <v>0</v>
      </c>
      <c r="CI71" s="263">
        <f>GG71+'User Input - Correlations'!CI71</f>
        <v>0</v>
      </c>
      <c r="CJ71" s="263">
        <f>GH71+'User Input - Correlations'!CJ71</f>
        <v>0</v>
      </c>
      <c r="CK71" s="263">
        <f>GI71+'User Input - Correlations'!CK71</f>
        <v>0</v>
      </c>
      <c r="CL71" s="263">
        <f>GJ71+'User Input - Correlations'!CL71</f>
        <v>0</v>
      </c>
      <c r="CM71" s="263">
        <f>GK71+'User Input - Correlations'!CM71</f>
        <v>0</v>
      </c>
      <c r="CN71" s="263">
        <f>GL71+'User Input - Correlations'!CN71</f>
        <v>0</v>
      </c>
      <c r="CO71" s="263">
        <f>GM71+'User Input - Correlations'!CO71</f>
        <v>0</v>
      </c>
      <c r="CP71" s="264">
        <f>GN71+'User Input - Correlations'!CP71</f>
        <v>0</v>
      </c>
      <c r="CQ71" s="281">
        <f ca="1">MDETERM(OFFSET($C$11,0,0,ROWS($CQ$11:$CQ71),ROWS($CQ$11:$CQ71)))</f>
        <v>1</v>
      </c>
      <c r="DA71" s="263">
        <v>0</v>
      </c>
      <c r="DB71" s="263">
        <v>0</v>
      </c>
      <c r="DC71" s="263">
        <v>0</v>
      </c>
      <c r="DD71" s="263">
        <v>0</v>
      </c>
      <c r="DE71" s="263">
        <v>0</v>
      </c>
      <c r="DF71" s="263">
        <v>0</v>
      </c>
      <c r="DG71" s="263">
        <v>0</v>
      </c>
      <c r="DH71" s="263">
        <v>0</v>
      </c>
      <c r="DI71" s="263">
        <v>0</v>
      </c>
      <c r="DJ71" s="263">
        <v>0</v>
      </c>
      <c r="DK71" s="263">
        <v>0</v>
      </c>
      <c r="DL71" s="263">
        <v>0</v>
      </c>
      <c r="DM71" s="263">
        <v>0</v>
      </c>
      <c r="DN71" s="263">
        <v>0</v>
      </c>
      <c r="DO71" s="263">
        <v>0</v>
      </c>
      <c r="DP71" s="263">
        <v>0</v>
      </c>
      <c r="DQ71" s="263">
        <v>0</v>
      </c>
      <c r="DR71" s="263">
        <v>0</v>
      </c>
      <c r="DS71" s="263">
        <v>0</v>
      </c>
      <c r="DT71" s="263">
        <v>0</v>
      </c>
      <c r="DU71" s="263">
        <v>0</v>
      </c>
      <c r="DV71" s="263">
        <v>0</v>
      </c>
      <c r="DW71" s="263">
        <v>0</v>
      </c>
      <c r="DX71" s="263">
        <v>0</v>
      </c>
      <c r="DY71" s="263">
        <v>0</v>
      </c>
      <c r="DZ71" s="263">
        <v>0</v>
      </c>
      <c r="EA71" s="263">
        <v>0</v>
      </c>
      <c r="EB71" s="263">
        <v>0</v>
      </c>
      <c r="EC71" s="263">
        <v>0</v>
      </c>
      <c r="ED71" s="263">
        <v>0</v>
      </c>
      <c r="EE71" s="263">
        <v>0</v>
      </c>
      <c r="EF71" s="263">
        <v>0</v>
      </c>
      <c r="EG71" s="263">
        <v>0</v>
      </c>
      <c r="EH71" s="263">
        <v>0</v>
      </c>
      <c r="EI71" s="263">
        <v>0</v>
      </c>
      <c r="EJ71" s="263">
        <v>0</v>
      </c>
      <c r="EK71" s="263">
        <v>0</v>
      </c>
      <c r="EL71" s="263">
        <v>0</v>
      </c>
      <c r="EM71" s="263">
        <v>0</v>
      </c>
      <c r="EN71" s="263">
        <v>0</v>
      </c>
      <c r="EO71" s="263">
        <v>0</v>
      </c>
      <c r="EP71" s="263">
        <v>0</v>
      </c>
      <c r="EQ71" s="263">
        <v>0</v>
      </c>
      <c r="ER71" s="263">
        <v>0</v>
      </c>
      <c r="ES71" s="263">
        <v>0</v>
      </c>
      <c r="ET71" s="263">
        <v>0</v>
      </c>
      <c r="EU71" s="263">
        <v>0</v>
      </c>
      <c r="EV71" s="263">
        <v>0</v>
      </c>
      <c r="EW71" s="263">
        <v>0</v>
      </c>
      <c r="EX71" s="263">
        <v>0</v>
      </c>
      <c r="EY71" s="263">
        <v>0</v>
      </c>
      <c r="EZ71" s="263">
        <v>0</v>
      </c>
      <c r="FA71" s="263">
        <v>0</v>
      </c>
      <c r="FB71" s="263">
        <v>0</v>
      </c>
      <c r="FC71" s="263">
        <v>0</v>
      </c>
      <c r="FD71" s="263">
        <v>0</v>
      </c>
      <c r="FE71" s="263">
        <v>0</v>
      </c>
      <c r="FF71" s="263">
        <v>0</v>
      </c>
      <c r="FG71" s="263">
        <v>0</v>
      </c>
      <c r="FH71" s="263">
        <v>0</v>
      </c>
      <c r="FI71" s="263">
        <v>1</v>
      </c>
      <c r="FJ71" s="263">
        <v>0</v>
      </c>
      <c r="FK71" s="263">
        <v>0</v>
      </c>
      <c r="FL71" s="263">
        <v>0</v>
      </c>
      <c r="FM71" s="263">
        <v>0</v>
      </c>
      <c r="FN71" s="263">
        <v>0</v>
      </c>
      <c r="FO71" s="263">
        <v>0</v>
      </c>
      <c r="FP71" s="263">
        <v>0</v>
      </c>
      <c r="FQ71" s="263">
        <v>0</v>
      </c>
      <c r="FR71" s="263">
        <v>0</v>
      </c>
      <c r="FS71" s="263">
        <v>0</v>
      </c>
      <c r="FT71" s="263">
        <v>0</v>
      </c>
      <c r="FU71" s="263">
        <v>0</v>
      </c>
      <c r="FV71" s="263">
        <v>0</v>
      </c>
      <c r="FW71" s="263">
        <v>0</v>
      </c>
      <c r="FX71" s="263">
        <v>0</v>
      </c>
      <c r="FY71" s="263">
        <v>0</v>
      </c>
      <c r="FZ71" s="263">
        <v>0</v>
      </c>
      <c r="GA71" s="263">
        <v>0</v>
      </c>
      <c r="GB71" s="263">
        <v>0</v>
      </c>
      <c r="GC71" s="263">
        <v>0</v>
      </c>
      <c r="GD71" s="263">
        <v>0</v>
      </c>
      <c r="GE71" s="263">
        <v>0</v>
      </c>
      <c r="GF71" s="263">
        <v>0</v>
      </c>
      <c r="GG71" s="263">
        <v>0</v>
      </c>
      <c r="GH71" s="263">
        <v>0</v>
      </c>
      <c r="GI71" s="263">
        <v>0</v>
      </c>
      <c r="GJ71" s="263">
        <v>0</v>
      </c>
      <c r="GK71" s="263">
        <v>0</v>
      </c>
      <c r="GL71" s="263">
        <v>0</v>
      </c>
      <c r="GM71" s="263">
        <v>0</v>
      </c>
      <c r="GN71" s="263">
        <v>0</v>
      </c>
    </row>
    <row r="72" ht="12.75" customHeight="1">
      <c r="A72" s="286" t="s">
        <v>193</v>
      </c>
      <c r="B72" s="286" t="s">
        <v>86</v>
      </c>
      <c r="C72" s="263">
        <f>DA72+'User Input - Correlations'!C72</f>
        <v>0</v>
      </c>
      <c r="D72" s="263">
        <f>DB72+'User Input - Correlations'!D72</f>
        <v>0</v>
      </c>
      <c r="E72" s="263">
        <f>DC72+'User Input - Correlations'!E72</f>
        <v>0</v>
      </c>
      <c r="F72" s="263">
        <f>DD72+'User Input - Correlations'!F72</f>
        <v>0</v>
      </c>
      <c r="G72" s="263">
        <f>DE72+'User Input - Correlations'!G72</f>
        <v>0</v>
      </c>
      <c r="H72" s="263">
        <f>DF72+'User Input - Correlations'!H72</f>
        <v>0</v>
      </c>
      <c r="I72" s="263">
        <f>DG72+'User Input - Correlations'!I72</f>
        <v>0</v>
      </c>
      <c r="J72" s="263">
        <f>DH72+'User Input - Correlations'!J72</f>
        <v>0</v>
      </c>
      <c r="K72" s="263">
        <f>DI72+'User Input - Correlations'!K72</f>
        <v>0</v>
      </c>
      <c r="L72" s="263">
        <f>DJ72+'User Input - Correlations'!L72</f>
        <v>0</v>
      </c>
      <c r="M72" s="263">
        <f>DK72+'User Input - Correlations'!M72</f>
        <v>0</v>
      </c>
      <c r="N72" s="263">
        <f>DL72+'User Input - Correlations'!N72</f>
        <v>0</v>
      </c>
      <c r="O72" s="263">
        <f>DM72+'User Input - Correlations'!O72</f>
        <v>0</v>
      </c>
      <c r="P72" s="263">
        <f>DN72+'User Input - Correlations'!P72</f>
        <v>0</v>
      </c>
      <c r="Q72" s="263">
        <f>DO72+'User Input - Correlations'!Q72</f>
        <v>0</v>
      </c>
      <c r="R72" s="263">
        <f>DP72+'User Input - Correlations'!R72</f>
        <v>0</v>
      </c>
      <c r="S72" s="263">
        <f>DQ72+'User Input - Correlations'!S72</f>
        <v>0</v>
      </c>
      <c r="T72" s="263">
        <f>DR72+'User Input - Correlations'!T72</f>
        <v>0</v>
      </c>
      <c r="U72" s="263">
        <f>DS72+'User Input - Correlations'!U72</f>
        <v>0</v>
      </c>
      <c r="V72" s="263">
        <f>DT72+'User Input - Correlations'!V72</f>
        <v>0</v>
      </c>
      <c r="W72" s="263">
        <f>DU72+'User Input - Correlations'!W72</f>
        <v>0</v>
      </c>
      <c r="X72" s="263">
        <f>DV72+'User Input - Correlations'!X72</f>
        <v>0</v>
      </c>
      <c r="Y72" s="263">
        <f>DW72+'User Input - Correlations'!Y72</f>
        <v>0</v>
      </c>
      <c r="Z72" s="263">
        <f>DX72+'User Input - Correlations'!Z72</f>
        <v>0</v>
      </c>
      <c r="AA72" s="263">
        <f>DY72+'User Input - Correlations'!AA72</f>
        <v>0</v>
      </c>
      <c r="AB72" s="263">
        <f>DZ72+'User Input - Correlations'!AB72</f>
        <v>0</v>
      </c>
      <c r="AC72" s="263">
        <f>EA72+'User Input - Correlations'!AC72</f>
        <v>0</v>
      </c>
      <c r="AD72" s="263">
        <f>EB72+'User Input - Correlations'!AD72</f>
        <v>0</v>
      </c>
      <c r="AE72" s="263">
        <f>EC72+'User Input - Correlations'!AE72</f>
        <v>0</v>
      </c>
      <c r="AF72" s="263">
        <f>ED72+'User Input - Correlations'!AF72</f>
        <v>0</v>
      </c>
      <c r="AG72" s="263">
        <f>EE72+'User Input - Correlations'!AG72</f>
        <v>0</v>
      </c>
      <c r="AH72" s="263">
        <f>EF72+'User Input - Correlations'!AH72</f>
        <v>0</v>
      </c>
      <c r="AI72" s="263">
        <f>EG72+'User Input - Correlations'!AI72</f>
        <v>0</v>
      </c>
      <c r="AJ72" s="263">
        <f>EH72+'User Input - Correlations'!AJ72</f>
        <v>0</v>
      </c>
      <c r="AK72" s="263">
        <f>EI72+'User Input - Correlations'!AK72</f>
        <v>0</v>
      </c>
      <c r="AL72" s="263">
        <f>EJ72+'User Input - Correlations'!AL72</f>
        <v>0</v>
      </c>
      <c r="AM72" s="263">
        <f>EK72+'User Input - Correlations'!AM72</f>
        <v>0</v>
      </c>
      <c r="AN72" s="263">
        <f>EL72+'User Input - Correlations'!AN72</f>
        <v>0</v>
      </c>
      <c r="AO72" s="263">
        <f>EM72+'User Input - Correlations'!AO72</f>
        <v>0</v>
      </c>
      <c r="AP72" s="263">
        <f>EN72+'User Input - Correlations'!AP72</f>
        <v>0</v>
      </c>
      <c r="AQ72" s="263">
        <f>EO72+'User Input - Correlations'!AQ72</f>
        <v>0</v>
      </c>
      <c r="AR72" s="263">
        <f>EP72+'User Input - Correlations'!AR72</f>
        <v>0</v>
      </c>
      <c r="AS72" s="263">
        <f>EQ72+'User Input - Correlations'!AS72</f>
        <v>0</v>
      </c>
      <c r="AT72" s="263">
        <f>ER72+'User Input - Correlations'!AT72</f>
        <v>0</v>
      </c>
      <c r="AU72" s="263">
        <f>ES72+'User Input - Correlations'!AU72</f>
        <v>0</v>
      </c>
      <c r="AV72" s="263">
        <f>ET72+'User Input - Correlations'!AV72</f>
        <v>0</v>
      </c>
      <c r="AW72" s="263">
        <f>EU72+'User Input - Correlations'!AW72</f>
        <v>0</v>
      </c>
      <c r="AX72" s="263">
        <f>EV72+'User Input - Correlations'!AX72</f>
        <v>0</v>
      </c>
      <c r="AY72" s="263">
        <f>EW72+'User Input - Correlations'!AY72</f>
        <v>0</v>
      </c>
      <c r="AZ72" s="263">
        <f>EX72+'User Input - Correlations'!AZ72</f>
        <v>0</v>
      </c>
      <c r="BA72" s="263">
        <f>EY72+'User Input - Correlations'!BA72</f>
        <v>0</v>
      </c>
      <c r="BB72" s="263">
        <f>EZ72+'User Input - Correlations'!BB72</f>
        <v>0</v>
      </c>
      <c r="BC72" s="263">
        <f>FA72+'User Input - Correlations'!BC72</f>
        <v>0</v>
      </c>
      <c r="BD72" s="263">
        <f>FB72+'User Input - Correlations'!BD72</f>
        <v>0</v>
      </c>
      <c r="BE72" s="263">
        <f>FC72+'User Input - Correlations'!BE72</f>
        <v>0</v>
      </c>
      <c r="BF72" s="263">
        <f>FD72+'User Input - Correlations'!BF72</f>
        <v>0</v>
      </c>
      <c r="BG72" s="263">
        <f>FE72+'User Input - Correlations'!BG72</f>
        <v>0</v>
      </c>
      <c r="BH72" s="263">
        <f>FF72+'User Input - Correlations'!BH72</f>
        <v>0</v>
      </c>
      <c r="BI72" s="263">
        <f>FG72+'User Input - Correlations'!BI72</f>
        <v>0</v>
      </c>
      <c r="BJ72" s="263">
        <f>FH72+'User Input - Correlations'!BJ72</f>
        <v>0</v>
      </c>
      <c r="BK72" s="263">
        <f>FI72+'User Input - Correlations'!BK72</f>
        <v>0</v>
      </c>
      <c r="BL72" s="263">
        <v>1</v>
      </c>
      <c r="BM72" s="263">
        <f>FK72+'User Input - Correlations'!BM72</f>
        <v>0</v>
      </c>
      <c r="BN72" s="263">
        <f>FL72+'User Input - Correlations'!BN72</f>
        <v>0</v>
      </c>
      <c r="BO72" s="263">
        <f>FM72+'User Input - Correlations'!BO72</f>
        <v>0</v>
      </c>
      <c r="BP72" s="263">
        <f>FN72+'User Input - Correlations'!BP72</f>
        <v>0</v>
      </c>
      <c r="BQ72" s="263">
        <f>FO72+'User Input - Correlations'!BQ72</f>
        <v>0</v>
      </c>
      <c r="BR72" s="263">
        <f>FP72+'User Input - Correlations'!BR72</f>
        <v>0</v>
      </c>
      <c r="BS72" s="263">
        <f>FQ72+'User Input - Correlations'!BS72</f>
        <v>0</v>
      </c>
      <c r="BT72" s="263">
        <f>FR72+'User Input - Correlations'!BT72</f>
        <v>0</v>
      </c>
      <c r="BU72" s="263">
        <f>FS72+'User Input - Correlations'!BU72</f>
        <v>0</v>
      </c>
      <c r="BV72" s="263">
        <f>FT72+'User Input - Correlations'!BV72</f>
        <v>0</v>
      </c>
      <c r="BW72" s="263">
        <f>FU72+'User Input - Correlations'!BW72</f>
        <v>0</v>
      </c>
      <c r="BX72" s="263">
        <f>FV72+'User Input - Correlations'!BX72</f>
        <v>0</v>
      </c>
      <c r="BY72" s="263">
        <f>FW72+'User Input - Correlations'!BY72</f>
        <v>0</v>
      </c>
      <c r="BZ72" s="263">
        <f>FX72+'User Input - Correlations'!BZ72</f>
        <v>0</v>
      </c>
      <c r="CA72" s="263">
        <f>FY72+'User Input - Correlations'!CA72</f>
        <v>0</v>
      </c>
      <c r="CB72" s="263">
        <f>FZ72+'User Input - Correlations'!CB72</f>
        <v>0</v>
      </c>
      <c r="CC72" s="263">
        <f>GA72+'User Input - Correlations'!CC72</f>
        <v>0</v>
      </c>
      <c r="CD72" s="263">
        <f>GB72+'User Input - Correlations'!CD72</f>
        <v>0</v>
      </c>
      <c r="CE72" s="263">
        <f>GC72+'User Input - Correlations'!CE72</f>
        <v>0</v>
      </c>
      <c r="CF72" s="263">
        <f>GD72+'User Input - Correlations'!CF72</f>
        <v>0</v>
      </c>
      <c r="CG72" s="263">
        <f>GE72+'User Input - Correlations'!CG72</f>
        <v>0</v>
      </c>
      <c r="CH72" s="263">
        <f>GF72+'User Input - Correlations'!CH72</f>
        <v>0</v>
      </c>
      <c r="CI72" s="263">
        <f>GG72+'User Input - Correlations'!CI72</f>
        <v>0</v>
      </c>
      <c r="CJ72" s="263">
        <f>GH72+'User Input - Correlations'!CJ72</f>
        <v>0</v>
      </c>
      <c r="CK72" s="263">
        <f>GI72+'User Input - Correlations'!CK72</f>
        <v>0</v>
      </c>
      <c r="CL72" s="263">
        <f>GJ72+'User Input - Correlations'!CL72</f>
        <v>0</v>
      </c>
      <c r="CM72" s="263">
        <f>GK72+'User Input - Correlations'!CM72</f>
        <v>0</v>
      </c>
      <c r="CN72" s="263">
        <f>GL72+'User Input - Correlations'!CN72</f>
        <v>0</v>
      </c>
      <c r="CO72" s="263">
        <f>GM72+'User Input - Correlations'!CO72</f>
        <v>0</v>
      </c>
      <c r="CP72" s="264">
        <f>GN72+'User Input - Correlations'!CP72</f>
        <v>0</v>
      </c>
      <c r="CQ72" s="281">
        <f ca="1">MDETERM(OFFSET($C$11,0,0,ROWS($CQ$11:$CQ72),ROWS($CQ$11:$CQ72)))</f>
        <v>1</v>
      </c>
      <c r="DA72" s="263">
        <v>0</v>
      </c>
      <c r="DB72" s="263">
        <v>0</v>
      </c>
      <c r="DC72" s="263">
        <v>0</v>
      </c>
      <c r="DD72" s="263">
        <v>0</v>
      </c>
      <c r="DE72" s="263">
        <v>0</v>
      </c>
      <c r="DF72" s="263">
        <v>0</v>
      </c>
      <c r="DG72" s="263">
        <v>0</v>
      </c>
      <c r="DH72" s="263">
        <v>0</v>
      </c>
      <c r="DI72" s="263">
        <v>0</v>
      </c>
      <c r="DJ72" s="263">
        <v>0</v>
      </c>
      <c r="DK72" s="263">
        <v>0</v>
      </c>
      <c r="DL72" s="263">
        <v>0</v>
      </c>
      <c r="DM72" s="263">
        <v>0</v>
      </c>
      <c r="DN72" s="263">
        <v>0</v>
      </c>
      <c r="DO72" s="263">
        <v>0</v>
      </c>
      <c r="DP72" s="263">
        <v>0</v>
      </c>
      <c r="DQ72" s="263">
        <v>0</v>
      </c>
      <c r="DR72" s="263">
        <v>0</v>
      </c>
      <c r="DS72" s="263">
        <v>0</v>
      </c>
      <c r="DT72" s="263">
        <v>0</v>
      </c>
      <c r="DU72" s="263">
        <v>0</v>
      </c>
      <c r="DV72" s="263">
        <v>0</v>
      </c>
      <c r="DW72" s="263">
        <v>0</v>
      </c>
      <c r="DX72" s="263">
        <v>0</v>
      </c>
      <c r="DY72" s="263">
        <v>0</v>
      </c>
      <c r="DZ72" s="263">
        <v>0</v>
      </c>
      <c r="EA72" s="263">
        <v>0</v>
      </c>
      <c r="EB72" s="263">
        <v>0</v>
      </c>
      <c r="EC72" s="263">
        <v>0</v>
      </c>
      <c r="ED72" s="263">
        <v>0</v>
      </c>
      <c r="EE72" s="263">
        <v>0</v>
      </c>
      <c r="EF72" s="263">
        <v>0</v>
      </c>
      <c r="EG72" s="263">
        <v>0</v>
      </c>
      <c r="EH72" s="263">
        <v>0</v>
      </c>
      <c r="EI72" s="263">
        <v>0</v>
      </c>
      <c r="EJ72" s="263">
        <v>0</v>
      </c>
      <c r="EK72" s="263">
        <v>0</v>
      </c>
      <c r="EL72" s="263">
        <v>0</v>
      </c>
      <c r="EM72" s="263">
        <v>0</v>
      </c>
      <c r="EN72" s="263">
        <v>0</v>
      </c>
      <c r="EO72" s="263">
        <v>0</v>
      </c>
      <c r="EP72" s="263">
        <v>0</v>
      </c>
      <c r="EQ72" s="263">
        <v>0</v>
      </c>
      <c r="ER72" s="263">
        <v>0</v>
      </c>
      <c r="ES72" s="263">
        <v>0</v>
      </c>
      <c r="ET72" s="263">
        <v>0</v>
      </c>
      <c r="EU72" s="263">
        <v>0</v>
      </c>
      <c r="EV72" s="263">
        <v>0</v>
      </c>
      <c r="EW72" s="263">
        <v>0</v>
      </c>
      <c r="EX72" s="263">
        <v>0</v>
      </c>
      <c r="EY72" s="263">
        <v>0</v>
      </c>
      <c r="EZ72" s="263">
        <v>0</v>
      </c>
      <c r="FA72" s="263">
        <v>0</v>
      </c>
      <c r="FB72" s="263">
        <v>0</v>
      </c>
      <c r="FC72" s="263">
        <v>0</v>
      </c>
      <c r="FD72" s="263">
        <v>0</v>
      </c>
      <c r="FE72" s="263">
        <v>0</v>
      </c>
      <c r="FF72" s="263">
        <v>0</v>
      </c>
      <c r="FG72" s="263">
        <v>0</v>
      </c>
      <c r="FH72" s="263">
        <v>0</v>
      </c>
      <c r="FI72" s="263">
        <v>0</v>
      </c>
      <c r="FJ72" s="263">
        <v>1</v>
      </c>
      <c r="FK72" s="263">
        <v>0</v>
      </c>
      <c r="FL72" s="263">
        <v>0</v>
      </c>
      <c r="FM72" s="263">
        <v>0</v>
      </c>
      <c r="FN72" s="263">
        <v>0</v>
      </c>
      <c r="FO72" s="263">
        <v>0</v>
      </c>
      <c r="FP72" s="263">
        <v>0</v>
      </c>
      <c r="FQ72" s="263">
        <v>0</v>
      </c>
      <c r="FR72" s="263">
        <v>0</v>
      </c>
      <c r="FS72" s="263">
        <v>0</v>
      </c>
      <c r="FT72" s="263">
        <v>0</v>
      </c>
      <c r="FU72" s="263">
        <v>0</v>
      </c>
      <c r="FV72" s="263">
        <v>0</v>
      </c>
      <c r="FW72" s="263">
        <v>0</v>
      </c>
      <c r="FX72" s="263">
        <v>0</v>
      </c>
      <c r="FY72" s="263">
        <v>0</v>
      </c>
      <c r="FZ72" s="263">
        <v>0</v>
      </c>
      <c r="GA72" s="263">
        <v>0</v>
      </c>
      <c r="GB72" s="263">
        <v>0</v>
      </c>
      <c r="GC72" s="263">
        <v>0</v>
      </c>
      <c r="GD72" s="263">
        <v>0</v>
      </c>
      <c r="GE72" s="263">
        <v>0</v>
      </c>
      <c r="GF72" s="263">
        <v>0</v>
      </c>
      <c r="GG72" s="263">
        <v>0</v>
      </c>
      <c r="GH72" s="263">
        <v>0</v>
      </c>
      <c r="GI72" s="263">
        <v>0</v>
      </c>
      <c r="GJ72" s="263">
        <v>0</v>
      </c>
      <c r="GK72" s="263">
        <v>0</v>
      </c>
      <c r="GL72" s="263">
        <v>0</v>
      </c>
      <c r="GM72" s="263">
        <v>0</v>
      </c>
      <c r="GN72" s="263">
        <v>0</v>
      </c>
    </row>
    <row r="73" ht="12.75" customHeight="1">
      <c r="A73" s="286" t="s">
        <v>194</v>
      </c>
      <c r="B73" s="286" t="s">
        <v>86</v>
      </c>
      <c r="C73" s="263">
        <f>DA73+'User Input - Correlations'!C73</f>
        <v>0</v>
      </c>
      <c r="D73" s="263">
        <f>DB73+'User Input - Correlations'!D73</f>
        <v>0</v>
      </c>
      <c r="E73" s="263">
        <f>DC73+'User Input - Correlations'!E73</f>
        <v>0</v>
      </c>
      <c r="F73" s="263">
        <f>DD73+'User Input - Correlations'!F73</f>
        <v>0</v>
      </c>
      <c r="G73" s="263">
        <f>DE73+'User Input - Correlations'!G73</f>
        <v>0</v>
      </c>
      <c r="H73" s="263">
        <f>DF73+'User Input - Correlations'!H73</f>
        <v>0</v>
      </c>
      <c r="I73" s="263">
        <f>DG73+'User Input - Correlations'!I73</f>
        <v>0</v>
      </c>
      <c r="J73" s="263">
        <f>DH73+'User Input - Correlations'!J73</f>
        <v>0</v>
      </c>
      <c r="K73" s="263">
        <f>DI73+'User Input - Correlations'!K73</f>
        <v>0</v>
      </c>
      <c r="L73" s="263">
        <f>DJ73+'User Input - Correlations'!L73</f>
        <v>0</v>
      </c>
      <c r="M73" s="263">
        <f>DK73+'User Input - Correlations'!M73</f>
        <v>0</v>
      </c>
      <c r="N73" s="263">
        <f>DL73+'User Input - Correlations'!N73</f>
        <v>0</v>
      </c>
      <c r="O73" s="263">
        <f>DM73+'User Input - Correlations'!O73</f>
        <v>0</v>
      </c>
      <c r="P73" s="263">
        <f>DN73+'User Input - Correlations'!P73</f>
        <v>0</v>
      </c>
      <c r="Q73" s="263">
        <f>DO73+'User Input - Correlations'!Q73</f>
        <v>0</v>
      </c>
      <c r="R73" s="263">
        <f>DP73+'User Input - Correlations'!R73</f>
        <v>0</v>
      </c>
      <c r="S73" s="263">
        <f>DQ73+'User Input - Correlations'!S73</f>
        <v>0</v>
      </c>
      <c r="T73" s="263">
        <f>DR73+'User Input - Correlations'!T73</f>
        <v>0</v>
      </c>
      <c r="U73" s="263">
        <f>DS73+'User Input - Correlations'!U73</f>
        <v>0</v>
      </c>
      <c r="V73" s="263">
        <f>DT73+'User Input - Correlations'!V73</f>
        <v>0</v>
      </c>
      <c r="W73" s="263">
        <f>DU73+'User Input - Correlations'!W73</f>
        <v>0</v>
      </c>
      <c r="X73" s="263">
        <f>DV73+'User Input - Correlations'!X73</f>
        <v>0</v>
      </c>
      <c r="Y73" s="263">
        <f>DW73+'User Input - Correlations'!Y73</f>
        <v>0</v>
      </c>
      <c r="Z73" s="263">
        <f>DX73+'User Input - Correlations'!Z73</f>
        <v>0</v>
      </c>
      <c r="AA73" s="263">
        <f>DY73+'User Input - Correlations'!AA73</f>
        <v>0</v>
      </c>
      <c r="AB73" s="263">
        <f>DZ73+'User Input - Correlations'!AB73</f>
        <v>0</v>
      </c>
      <c r="AC73" s="263">
        <f>EA73+'User Input - Correlations'!AC73</f>
        <v>0</v>
      </c>
      <c r="AD73" s="263">
        <f>EB73+'User Input - Correlations'!AD73</f>
        <v>0</v>
      </c>
      <c r="AE73" s="263">
        <f>EC73+'User Input - Correlations'!AE73</f>
        <v>0</v>
      </c>
      <c r="AF73" s="263">
        <f>ED73+'User Input - Correlations'!AF73</f>
        <v>0</v>
      </c>
      <c r="AG73" s="263">
        <f>EE73+'User Input - Correlations'!AG73</f>
        <v>0</v>
      </c>
      <c r="AH73" s="263">
        <f>EF73+'User Input - Correlations'!AH73</f>
        <v>0</v>
      </c>
      <c r="AI73" s="263">
        <f>EG73+'User Input - Correlations'!AI73</f>
        <v>0</v>
      </c>
      <c r="AJ73" s="263">
        <f>EH73+'User Input - Correlations'!AJ73</f>
        <v>0</v>
      </c>
      <c r="AK73" s="263">
        <f>EI73+'User Input - Correlations'!AK73</f>
        <v>0</v>
      </c>
      <c r="AL73" s="263">
        <f>EJ73+'User Input - Correlations'!AL73</f>
        <v>0</v>
      </c>
      <c r="AM73" s="263">
        <f>EK73+'User Input - Correlations'!AM73</f>
        <v>0</v>
      </c>
      <c r="AN73" s="263">
        <f>EL73+'User Input - Correlations'!AN73</f>
        <v>0</v>
      </c>
      <c r="AO73" s="263">
        <f>EM73+'User Input - Correlations'!AO73</f>
        <v>0</v>
      </c>
      <c r="AP73" s="263">
        <f>EN73+'User Input - Correlations'!AP73</f>
        <v>0</v>
      </c>
      <c r="AQ73" s="263">
        <f>EO73+'User Input - Correlations'!AQ73</f>
        <v>0</v>
      </c>
      <c r="AR73" s="263">
        <f>EP73+'User Input - Correlations'!AR73</f>
        <v>0</v>
      </c>
      <c r="AS73" s="263">
        <f>EQ73+'User Input - Correlations'!AS73</f>
        <v>0</v>
      </c>
      <c r="AT73" s="263">
        <f>ER73+'User Input - Correlations'!AT73</f>
        <v>0</v>
      </c>
      <c r="AU73" s="263">
        <f>ES73+'User Input - Correlations'!AU73</f>
        <v>0</v>
      </c>
      <c r="AV73" s="263">
        <f>ET73+'User Input - Correlations'!AV73</f>
        <v>0</v>
      </c>
      <c r="AW73" s="263">
        <f>EU73+'User Input - Correlations'!AW73</f>
        <v>0</v>
      </c>
      <c r="AX73" s="263">
        <f>EV73+'User Input - Correlations'!AX73</f>
        <v>0</v>
      </c>
      <c r="AY73" s="263">
        <f>EW73+'User Input - Correlations'!AY73</f>
        <v>0</v>
      </c>
      <c r="AZ73" s="263">
        <f>EX73+'User Input - Correlations'!AZ73</f>
        <v>0</v>
      </c>
      <c r="BA73" s="263">
        <f>EY73+'User Input - Correlations'!BA73</f>
        <v>0</v>
      </c>
      <c r="BB73" s="263">
        <f>EZ73+'User Input - Correlations'!BB73</f>
        <v>0</v>
      </c>
      <c r="BC73" s="263">
        <f>FA73+'User Input - Correlations'!BC73</f>
        <v>0</v>
      </c>
      <c r="BD73" s="263">
        <f>FB73+'User Input - Correlations'!BD73</f>
        <v>0</v>
      </c>
      <c r="BE73" s="263">
        <f>FC73+'User Input - Correlations'!BE73</f>
        <v>0</v>
      </c>
      <c r="BF73" s="263">
        <f>FD73+'User Input - Correlations'!BF73</f>
        <v>0</v>
      </c>
      <c r="BG73" s="263">
        <f>FE73+'User Input - Correlations'!BG73</f>
        <v>0</v>
      </c>
      <c r="BH73" s="263">
        <f>FF73+'User Input - Correlations'!BH73</f>
        <v>0</v>
      </c>
      <c r="BI73" s="263">
        <f>FG73+'User Input - Correlations'!BI73</f>
        <v>0</v>
      </c>
      <c r="BJ73" s="263">
        <f>FH73+'User Input - Correlations'!BJ73</f>
        <v>0</v>
      </c>
      <c r="BK73" s="263">
        <f>FI73+'User Input - Correlations'!BK73</f>
        <v>0</v>
      </c>
      <c r="BL73" s="263">
        <f>FJ73+'User Input - Correlations'!BL73</f>
        <v>0</v>
      </c>
      <c r="BM73" s="263">
        <v>1</v>
      </c>
      <c r="BN73" s="263">
        <f>FL73+'User Input - Correlations'!BN73</f>
        <v>0</v>
      </c>
      <c r="BO73" s="263">
        <f>FM73+'User Input - Correlations'!BO73</f>
        <v>0</v>
      </c>
      <c r="BP73" s="263">
        <f>FN73+'User Input - Correlations'!BP73</f>
        <v>0</v>
      </c>
      <c r="BQ73" s="263">
        <f>FO73+'User Input - Correlations'!BQ73</f>
        <v>0</v>
      </c>
      <c r="BR73" s="263">
        <f>FP73+'User Input - Correlations'!BR73</f>
        <v>0</v>
      </c>
      <c r="BS73" s="263">
        <f>FQ73+'User Input - Correlations'!BS73</f>
        <v>0</v>
      </c>
      <c r="BT73" s="263">
        <f>FR73+'User Input - Correlations'!BT73</f>
        <v>0</v>
      </c>
      <c r="BU73" s="263">
        <f>FS73+'User Input - Correlations'!BU73</f>
        <v>0</v>
      </c>
      <c r="BV73" s="263">
        <f>FT73+'User Input - Correlations'!BV73</f>
        <v>0</v>
      </c>
      <c r="BW73" s="263">
        <f>FU73+'User Input - Correlations'!BW73</f>
        <v>0</v>
      </c>
      <c r="BX73" s="263">
        <f>FV73+'User Input - Correlations'!BX73</f>
        <v>0</v>
      </c>
      <c r="BY73" s="263">
        <f>FW73+'User Input - Correlations'!BY73</f>
        <v>0</v>
      </c>
      <c r="BZ73" s="263">
        <f>FX73+'User Input - Correlations'!BZ73</f>
        <v>0</v>
      </c>
      <c r="CA73" s="263">
        <f>FY73+'User Input - Correlations'!CA73</f>
        <v>0</v>
      </c>
      <c r="CB73" s="263">
        <f>FZ73+'User Input - Correlations'!CB73</f>
        <v>0</v>
      </c>
      <c r="CC73" s="263">
        <f>GA73+'User Input - Correlations'!CC73</f>
        <v>0</v>
      </c>
      <c r="CD73" s="263">
        <f>GB73+'User Input - Correlations'!CD73</f>
        <v>0</v>
      </c>
      <c r="CE73" s="263">
        <f>GC73+'User Input - Correlations'!CE73</f>
        <v>0</v>
      </c>
      <c r="CF73" s="263">
        <f>GD73+'User Input - Correlations'!CF73</f>
        <v>0</v>
      </c>
      <c r="CG73" s="263">
        <f>GE73+'User Input - Correlations'!CG73</f>
        <v>0</v>
      </c>
      <c r="CH73" s="263">
        <f>GF73+'User Input - Correlations'!CH73</f>
        <v>0</v>
      </c>
      <c r="CI73" s="263">
        <f>GG73+'User Input - Correlations'!CI73</f>
        <v>0</v>
      </c>
      <c r="CJ73" s="263">
        <f>GH73+'User Input - Correlations'!CJ73</f>
        <v>0</v>
      </c>
      <c r="CK73" s="263">
        <f>GI73+'User Input - Correlations'!CK73</f>
        <v>0</v>
      </c>
      <c r="CL73" s="263">
        <f>GJ73+'User Input - Correlations'!CL73</f>
        <v>0</v>
      </c>
      <c r="CM73" s="263">
        <f>GK73+'User Input - Correlations'!CM73</f>
        <v>0</v>
      </c>
      <c r="CN73" s="263">
        <f>GL73+'User Input - Correlations'!CN73</f>
        <v>0</v>
      </c>
      <c r="CO73" s="263">
        <f>GM73+'User Input - Correlations'!CO73</f>
        <v>0</v>
      </c>
      <c r="CP73" s="264">
        <f>GN73+'User Input - Correlations'!CP73</f>
        <v>0</v>
      </c>
      <c r="CQ73" s="281">
        <f ca="1">MDETERM(OFFSET($C$11,0,0,ROWS($CQ$11:$CQ73),ROWS($CQ$11:$CQ73)))</f>
        <v>1</v>
      </c>
      <c r="DA73" s="263">
        <v>0</v>
      </c>
      <c r="DB73" s="263">
        <v>0</v>
      </c>
      <c r="DC73" s="263">
        <v>0</v>
      </c>
      <c r="DD73" s="263">
        <v>0</v>
      </c>
      <c r="DE73" s="263">
        <v>0</v>
      </c>
      <c r="DF73" s="263">
        <v>0</v>
      </c>
      <c r="DG73" s="263">
        <v>0</v>
      </c>
      <c r="DH73" s="263">
        <v>0</v>
      </c>
      <c r="DI73" s="263">
        <v>0</v>
      </c>
      <c r="DJ73" s="263">
        <v>0</v>
      </c>
      <c r="DK73" s="263">
        <v>0</v>
      </c>
      <c r="DL73" s="263">
        <v>0</v>
      </c>
      <c r="DM73" s="263">
        <v>0</v>
      </c>
      <c r="DN73" s="263">
        <v>0</v>
      </c>
      <c r="DO73" s="263">
        <v>0</v>
      </c>
      <c r="DP73" s="263">
        <v>0</v>
      </c>
      <c r="DQ73" s="263">
        <v>0</v>
      </c>
      <c r="DR73" s="263">
        <v>0</v>
      </c>
      <c r="DS73" s="263">
        <v>0</v>
      </c>
      <c r="DT73" s="263">
        <v>0</v>
      </c>
      <c r="DU73" s="263">
        <v>0</v>
      </c>
      <c r="DV73" s="263">
        <v>0</v>
      </c>
      <c r="DW73" s="263">
        <v>0</v>
      </c>
      <c r="DX73" s="263">
        <v>0</v>
      </c>
      <c r="DY73" s="263">
        <v>0</v>
      </c>
      <c r="DZ73" s="263">
        <v>0</v>
      </c>
      <c r="EA73" s="263">
        <v>0</v>
      </c>
      <c r="EB73" s="263">
        <v>0</v>
      </c>
      <c r="EC73" s="263">
        <v>0</v>
      </c>
      <c r="ED73" s="263">
        <v>0</v>
      </c>
      <c r="EE73" s="263">
        <v>0</v>
      </c>
      <c r="EF73" s="263">
        <v>0</v>
      </c>
      <c r="EG73" s="263">
        <v>0</v>
      </c>
      <c r="EH73" s="263">
        <v>0</v>
      </c>
      <c r="EI73" s="263">
        <v>0</v>
      </c>
      <c r="EJ73" s="263">
        <v>0</v>
      </c>
      <c r="EK73" s="263">
        <v>0</v>
      </c>
      <c r="EL73" s="263">
        <v>0</v>
      </c>
      <c r="EM73" s="263">
        <v>0</v>
      </c>
      <c r="EN73" s="263">
        <v>0</v>
      </c>
      <c r="EO73" s="263">
        <v>0</v>
      </c>
      <c r="EP73" s="263">
        <v>0</v>
      </c>
      <c r="EQ73" s="263">
        <v>0</v>
      </c>
      <c r="ER73" s="263">
        <v>0</v>
      </c>
      <c r="ES73" s="263">
        <v>0</v>
      </c>
      <c r="ET73" s="263">
        <v>0</v>
      </c>
      <c r="EU73" s="263">
        <v>0</v>
      </c>
      <c r="EV73" s="263">
        <v>0</v>
      </c>
      <c r="EW73" s="263">
        <v>0</v>
      </c>
      <c r="EX73" s="263">
        <v>0</v>
      </c>
      <c r="EY73" s="263">
        <v>0</v>
      </c>
      <c r="EZ73" s="263">
        <v>0</v>
      </c>
      <c r="FA73" s="263">
        <v>0</v>
      </c>
      <c r="FB73" s="263">
        <v>0</v>
      </c>
      <c r="FC73" s="263">
        <v>0</v>
      </c>
      <c r="FD73" s="263">
        <v>0</v>
      </c>
      <c r="FE73" s="263">
        <v>0</v>
      </c>
      <c r="FF73" s="263">
        <v>0</v>
      </c>
      <c r="FG73" s="263">
        <v>0</v>
      </c>
      <c r="FH73" s="263">
        <v>0</v>
      </c>
      <c r="FI73" s="263">
        <v>0</v>
      </c>
      <c r="FJ73" s="263">
        <v>0</v>
      </c>
      <c r="FK73" s="263">
        <v>1</v>
      </c>
      <c r="FL73" s="263">
        <v>0</v>
      </c>
      <c r="FM73" s="263">
        <v>0</v>
      </c>
      <c r="FN73" s="263">
        <v>0</v>
      </c>
      <c r="FO73" s="263">
        <v>0</v>
      </c>
      <c r="FP73" s="263">
        <v>0</v>
      </c>
      <c r="FQ73" s="263">
        <v>0</v>
      </c>
      <c r="FR73" s="263">
        <v>0</v>
      </c>
      <c r="FS73" s="263">
        <v>0</v>
      </c>
      <c r="FT73" s="263">
        <v>0</v>
      </c>
      <c r="FU73" s="263">
        <v>0</v>
      </c>
      <c r="FV73" s="263">
        <v>0</v>
      </c>
      <c r="FW73" s="263">
        <v>0</v>
      </c>
      <c r="FX73" s="263">
        <v>0</v>
      </c>
      <c r="FY73" s="263">
        <v>0</v>
      </c>
      <c r="FZ73" s="263">
        <v>0</v>
      </c>
      <c r="GA73" s="263">
        <v>0</v>
      </c>
      <c r="GB73" s="263">
        <v>0</v>
      </c>
      <c r="GC73" s="263">
        <v>0</v>
      </c>
      <c r="GD73" s="263">
        <v>0</v>
      </c>
      <c r="GE73" s="263">
        <v>0</v>
      </c>
      <c r="GF73" s="263">
        <v>0</v>
      </c>
      <c r="GG73" s="263">
        <v>0</v>
      </c>
      <c r="GH73" s="263">
        <v>0</v>
      </c>
      <c r="GI73" s="263">
        <v>0</v>
      </c>
      <c r="GJ73" s="263">
        <v>0</v>
      </c>
      <c r="GK73" s="263">
        <v>0</v>
      </c>
      <c r="GL73" s="263">
        <v>0</v>
      </c>
      <c r="GM73" s="263">
        <v>0</v>
      </c>
      <c r="GN73" s="263">
        <v>0</v>
      </c>
    </row>
    <row r="74" ht="12.75" customHeight="1">
      <c r="A74" s="286" t="s">
        <v>84</v>
      </c>
      <c r="B74" s="286" t="s">
        <v>86</v>
      </c>
      <c r="C74" s="263">
        <f>DA74+'User Input - Correlations'!C74</f>
        <v>0</v>
      </c>
      <c r="D74" s="263">
        <f>DB74+'User Input - Correlations'!D74</f>
        <v>0</v>
      </c>
      <c r="E74" s="263">
        <f>DC74+'User Input - Correlations'!E74</f>
        <v>0</v>
      </c>
      <c r="F74" s="263">
        <f>DD74+'User Input - Correlations'!F74</f>
        <v>0</v>
      </c>
      <c r="G74" s="263">
        <f>DE74+'User Input - Correlations'!G74</f>
        <v>0</v>
      </c>
      <c r="H74" s="263">
        <f>DF74+'User Input - Correlations'!H74</f>
        <v>0</v>
      </c>
      <c r="I74" s="263">
        <f>DG74+'User Input - Correlations'!I74</f>
        <v>0</v>
      </c>
      <c r="J74" s="263">
        <f>DH74+'User Input - Correlations'!J74</f>
        <v>0</v>
      </c>
      <c r="K74" s="263">
        <f>DI74+'User Input - Correlations'!K74</f>
        <v>0</v>
      </c>
      <c r="L74" s="263">
        <f>DJ74+'User Input - Correlations'!L74</f>
        <v>0</v>
      </c>
      <c r="M74" s="263">
        <f>DK74+'User Input - Correlations'!M74</f>
        <v>0</v>
      </c>
      <c r="N74" s="263">
        <f>DL74+'User Input - Correlations'!N74</f>
        <v>0</v>
      </c>
      <c r="O74" s="263">
        <f>DM74+'User Input - Correlations'!O74</f>
        <v>0</v>
      </c>
      <c r="P74" s="263">
        <f>DN74+'User Input - Correlations'!P74</f>
        <v>0</v>
      </c>
      <c r="Q74" s="263">
        <f>DO74+'User Input - Correlations'!Q74</f>
        <v>0</v>
      </c>
      <c r="R74" s="263">
        <f>DP74+'User Input - Correlations'!R74</f>
        <v>0</v>
      </c>
      <c r="S74" s="263">
        <f>DQ74+'User Input - Correlations'!S74</f>
        <v>0</v>
      </c>
      <c r="T74" s="263">
        <f>DR74+'User Input - Correlations'!T74</f>
        <v>0</v>
      </c>
      <c r="U74" s="263">
        <f>DS74+'User Input - Correlations'!U74</f>
        <v>0</v>
      </c>
      <c r="V74" s="263">
        <f>DT74+'User Input - Correlations'!V74</f>
        <v>0</v>
      </c>
      <c r="W74" s="263">
        <f>DU74+'User Input - Correlations'!W74</f>
        <v>0</v>
      </c>
      <c r="X74" s="263">
        <f>DV74+'User Input - Correlations'!X74</f>
        <v>0</v>
      </c>
      <c r="Y74" s="263">
        <f>DW74+'User Input - Correlations'!Y74</f>
        <v>0</v>
      </c>
      <c r="Z74" s="263">
        <f>DX74+'User Input - Correlations'!Z74</f>
        <v>0</v>
      </c>
      <c r="AA74" s="263">
        <f>DY74+'User Input - Correlations'!AA74</f>
        <v>0</v>
      </c>
      <c r="AB74" s="263">
        <f>DZ74+'User Input - Correlations'!AB74</f>
        <v>0</v>
      </c>
      <c r="AC74" s="263">
        <f>EA74+'User Input - Correlations'!AC74</f>
        <v>0</v>
      </c>
      <c r="AD74" s="263">
        <f>EB74+'User Input - Correlations'!AD74</f>
        <v>0</v>
      </c>
      <c r="AE74" s="263">
        <f>EC74+'User Input - Correlations'!AE74</f>
        <v>0</v>
      </c>
      <c r="AF74" s="263">
        <f>ED74+'User Input - Correlations'!AF74</f>
        <v>0</v>
      </c>
      <c r="AG74" s="263">
        <f>EE74+'User Input - Correlations'!AG74</f>
        <v>0</v>
      </c>
      <c r="AH74" s="263">
        <f>EF74+'User Input - Correlations'!AH74</f>
        <v>0</v>
      </c>
      <c r="AI74" s="263">
        <f>EG74+'User Input - Correlations'!AI74</f>
        <v>0</v>
      </c>
      <c r="AJ74" s="263">
        <f>EH74+'User Input - Correlations'!AJ74</f>
        <v>0</v>
      </c>
      <c r="AK74" s="263">
        <f>EI74+'User Input - Correlations'!AK74</f>
        <v>0</v>
      </c>
      <c r="AL74" s="263">
        <f>EJ74+'User Input - Correlations'!AL74</f>
        <v>0</v>
      </c>
      <c r="AM74" s="263">
        <f>EK74+'User Input - Correlations'!AM74</f>
        <v>0</v>
      </c>
      <c r="AN74" s="263">
        <f>EL74+'User Input - Correlations'!AN74</f>
        <v>0</v>
      </c>
      <c r="AO74" s="263">
        <f>EM74+'User Input - Correlations'!AO74</f>
        <v>0</v>
      </c>
      <c r="AP74" s="263">
        <f>EN74+'User Input - Correlations'!AP74</f>
        <v>0</v>
      </c>
      <c r="AQ74" s="263">
        <f>EO74+'User Input - Correlations'!AQ74</f>
        <v>0</v>
      </c>
      <c r="AR74" s="263">
        <f>EP74+'User Input - Correlations'!AR74</f>
        <v>0</v>
      </c>
      <c r="AS74" s="263">
        <f>EQ74+'User Input - Correlations'!AS74</f>
        <v>0</v>
      </c>
      <c r="AT74" s="263">
        <f>ER74+'User Input - Correlations'!AT74</f>
        <v>0</v>
      </c>
      <c r="AU74" s="263">
        <f>ES74+'User Input - Correlations'!AU74</f>
        <v>0</v>
      </c>
      <c r="AV74" s="263">
        <f>ET74+'User Input - Correlations'!AV74</f>
        <v>0</v>
      </c>
      <c r="AW74" s="263">
        <f>EU74+'User Input - Correlations'!AW74</f>
        <v>0</v>
      </c>
      <c r="AX74" s="263">
        <f>EV74+'User Input - Correlations'!AX74</f>
        <v>0</v>
      </c>
      <c r="AY74" s="263">
        <f>EW74+'User Input - Correlations'!AY74</f>
        <v>0</v>
      </c>
      <c r="AZ74" s="263">
        <f>EX74+'User Input - Correlations'!AZ74</f>
        <v>0</v>
      </c>
      <c r="BA74" s="263">
        <f>EY74+'User Input - Correlations'!BA74</f>
        <v>0</v>
      </c>
      <c r="BB74" s="263">
        <f>EZ74+'User Input - Correlations'!BB74</f>
        <v>0</v>
      </c>
      <c r="BC74" s="263">
        <f>FA74+'User Input - Correlations'!BC74</f>
        <v>0</v>
      </c>
      <c r="BD74" s="263">
        <f>FB74+'User Input - Correlations'!BD74</f>
        <v>0</v>
      </c>
      <c r="BE74" s="263">
        <f>FC74+'User Input - Correlations'!BE74</f>
        <v>0</v>
      </c>
      <c r="BF74" s="263">
        <f>FD74+'User Input - Correlations'!BF74</f>
        <v>0</v>
      </c>
      <c r="BG74" s="263">
        <f>FE74+'User Input - Correlations'!BG74</f>
        <v>0</v>
      </c>
      <c r="BH74" s="263">
        <f>FF74+'User Input - Correlations'!BH74</f>
        <v>0</v>
      </c>
      <c r="BI74" s="263">
        <f>FG74+'User Input - Correlations'!BI74</f>
        <v>0</v>
      </c>
      <c r="BJ74" s="263">
        <f>FH74+'User Input - Correlations'!BJ74</f>
        <v>0</v>
      </c>
      <c r="BK74" s="263">
        <f>FI74+'User Input - Correlations'!BK74</f>
        <v>0</v>
      </c>
      <c r="BL74" s="263">
        <f>FJ74+'User Input - Correlations'!BL74</f>
        <v>0</v>
      </c>
      <c r="BM74" s="263">
        <f>FK74+'User Input - Correlations'!BM74</f>
        <v>0</v>
      </c>
      <c r="BN74" s="263">
        <v>1</v>
      </c>
      <c r="BO74" s="263">
        <f>FM74+'User Input - Correlations'!BO74</f>
        <v>0</v>
      </c>
      <c r="BP74" s="263">
        <f>FN74+'User Input - Correlations'!BP74</f>
        <v>0</v>
      </c>
      <c r="BQ74" s="263">
        <f>FO74+'User Input - Correlations'!BQ74</f>
        <v>0</v>
      </c>
      <c r="BR74" s="263">
        <f>FP74+'User Input - Correlations'!BR74</f>
        <v>0</v>
      </c>
      <c r="BS74" s="263">
        <f>FQ74+'User Input - Correlations'!BS74</f>
        <v>0</v>
      </c>
      <c r="BT74" s="263">
        <f>FR74+'User Input - Correlations'!BT74</f>
        <v>0</v>
      </c>
      <c r="BU74" s="263">
        <f>FS74+'User Input - Correlations'!BU74</f>
        <v>0</v>
      </c>
      <c r="BV74" s="263">
        <f>FT74+'User Input - Correlations'!BV74</f>
        <v>0</v>
      </c>
      <c r="BW74" s="263">
        <f>FU74+'User Input - Correlations'!BW74</f>
        <v>0</v>
      </c>
      <c r="BX74" s="263">
        <f>FV74+'User Input - Correlations'!BX74</f>
        <v>0</v>
      </c>
      <c r="BY74" s="263">
        <f>FW74+'User Input - Correlations'!BY74</f>
        <v>0</v>
      </c>
      <c r="BZ74" s="263">
        <f>FX74+'User Input - Correlations'!BZ74</f>
        <v>0</v>
      </c>
      <c r="CA74" s="263">
        <f>FY74+'User Input - Correlations'!CA74</f>
        <v>0</v>
      </c>
      <c r="CB74" s="263">
        <f>FZ74+'User Input - Correlations'!CB74</f>
        <v>0</v>
      </c>
      <c r="CC74" s="263">
        <f>GA74+'User Input - Correlations'!CC74</f>
        <v>0</v>
      </c>
      <c r="CD74" s="263">
        <f>GB74+'User Input - Correlations'!CD74</f>
        <v>0</v>
      </c>
      <c r="CE74" s="263">
        <f>GC74+'User Input - Correlations'!CE74</f>
        <v>0</v>
      </c>
      <c r="CF74" s="263">
        <f>GD74+'User Input - Correlations'!CF74</f>
        <v>0</v>
      </c>
      <c r="CG74" s="263">
        <f>GE74+'User Input - Correlations'!CG74</f>
        <v>0</v>
      </c>
      <c r="CH74" s="263">
        <f>GF74+'User Input - Correlations'!CH74</f>
        <v>0</v>
      </c>
      <c r="CI74" s="263">
        <f>GG74+'User Input - Correlations'!CI74</f>
        <v>0</v>
      </c>
      <c r="CJ74" s="263">
        <f>GH74+'User Input - Correlations'!CJ74</f>
        <v>0</v>
      </c>
      <c r="CK74" s="263">
        <f>GI74+'User Input - Correlations'!CK74</f>
        <v>0</v>
      </c>
      <c r="CL74" s="263">
        <f>GJ74+'User Input - Correlations'!CL74</f>
        <v>0</v>
      </c>
      <c r="CM74" s="263">
        <f>GK74+'User Input - Correlations'!CM74</f>
        <v>0</v>
      </c>
      <c r="CN74" s="263">
        <f>GL74+'User Input - Correlations'!CN74</f>
        <v>0</v>
      </c>
      <c r="CO74" s="263">
        <f>GM74+'User Input - Correlations'!CO74</f>
        <v>0</v>
      </c>
      <c r="CP74" s="264">
        <f>GN74+'User Input - Correlations'!CP74</f>
        <v>0</v>
      </c>
      <c r="CQ74" s="281">
        <f ca="1">MDETERM(OFFSET($C$11,0,0,ROWS($CQ$11:$CQ74),ROWS($CQ$11:$CQ74)))</f>
        <v>1</v>
      </c>
      <c r="DA74" s="263">
        <v>0</v>
      </c>
      <c r="DB74" s="263">
        <v>0</v>
      </c>
      <c r="DC74" s="263">
        <v>0</v>
      </c>
      <c r="DD74" s="263">
        <v>0</v>
      </c>
      <c r="DE74" s="263">
        <v>0</v>
      </c>
      <c r="DF74" s="263">
        <v>0</v>
      </c>
      <c r="DG74" s="263">
        <v>0</v>
      </c>
      <c r="DH74" s="263">
        <v>0</v>
      </c>
      <c r="DI74" s="263">
        <v>0</v>
      </c>
      <c r="DJ74" s="263">
        <v>0</v>
      </c>
      <c r="DK74" s="263">
        <v>0</v>
      </c>
      <c r="DL74" s="263">
        <v>0</v>
      </c>
      <c r="DM74" s="263">
        <v>0</v>
      </c>
      <c r="DN74" s="263">
        <v>0</v>
      </c>
      <c r="DO74" s="263">
        <v>0</v>
      </c>
      <c r="DP74" s="263">
        <v>0</v>
      </c>
      <c r="DQ74" s="263">
        <v>0</v>
      </c>
      <c r="DR74" s="263">
        <v>0</v>
      </c>
      <c r="DS74" s="263">
        <v>0</v>
      </c>
      <c r="DT74" s="263">
        <v>0</v>
      </c>
      <c r="DU74" s="263">
        <v>0</v>
      </c>
      <c r="DV74" s="263">
        <v>0</v>
      </c>
      <c r="DW74" s="263">
        <v>0</v>
      </c>
      <c r="DX74" s="263">
        <v>0</v>
      </c>
      <c r="DY74" s="263">
        <v>0</v>
      </c>
      <c r="DZ74" s="263">
        <v>0</v>
      </c>
      <c r="EA74" s="263">
        <v>0</v>
      </c>
      <c r="EB74" s="263">
        <v>0</v>
      </c>
      <c r="EC74" s="263">
        <v>0</v>
      </c>
      <c r="ED74" s="263">
        <v>0</v>
      </c>
      <c r="EE74" s="263">
        <v>0</v>
      </c>
      <c r="EF74" s="263">
        <v>0</v>
      </c>
      <c r="EG74" s="263">
        <v>0</v>
      </c>
      <c r="EH74" s="263">
        <v>0</v>
      </c>
      <c r="EI74" s="263">
        <v>0</v>
      </c>
      <c r="EJ74" s="263">
        <v>0</v>
      </c>
      <c r="EK74" s="263">
        <v>0</v>
      </c>
      <c r="EL74" s="263">
        <v>0</v>
      </c>
      <c r="EM74" s="263">
        <v>0</v>
      </c>
      <c r="EN74" s="263">
        <v>0</v>
      </c>
      <c r="EO74" s="263">
        <v>0</v>
      </c>
      <c r="EP74" s="263">
        <v>0</v>
      </c>
      <c r="EQ74" s="263">
        <v>0</v>
      </c>
      <c r="ER74" s="263">
        <v>0</v>
      </c>
      <c r="ES74" s="263">
        <v>0</v>
      </c>
      <c r="ET74" s="263">
        <v>0</v>
      </c>
      <c r="EU74" s="263">
        <v>0</v>
      </c>
      <c r="EV74" s="263">
        <v>0</v>
      </c>
      <c r="EW74" s="263">
        <v>0</v>
      </c>
      <c r="EX74" s="263">
        <v>0</v>
      </c>
      <c r="EY74" s="263">
        <v>0</v>
      </c>
      <c r="EZ74" s="263">
        <v>0</v>
      </c>
      <c r="FA74" s="263">
        <v>0</v>
      </c>
      <c r="FB74" s="263">
        <v>0</v>
      </c>
      <c r="FC74" s="263">
        <v>0</v>
      </c>
      <c r="FD74" s="263">
        <v>0</v>
      </c>
      <c r="FE74" s="263">
        <v>0</v>
      </c>
      <c r="FF74" s="263">
        <v>0</v>
      </c>
      <c r="FG74" s="263">
        <v>0</v>
      </c>
      <c r="FH74" s="263">
        <v>0</v>
      </c>
      <c r="FI74" s="263">
        <v>0</v>
      </c>
      <c r="FJ74" s="263">
        <v>0</v>
      </c>
      <c r="FK74" s="263">
        <v>0</v>
      </c>
      <c r="FL74" s="263">
        <v>1</v>
      </c>
      <c r="FM74" s="263">
        <v>0</v>
      </c>
      <c r="FN74" s="263">
        <v>0</v>
      </c>
      <c r="FO74" s="263">
        <v>0</v>
      </c>
      <c r="FP74" s="263">
        <v>0</v>
      </c>
      <c r="FQ74" s="263">
        <v>0</v>
      </c>
      <c r="FR74" s="263">
        <v>0</v>
      </c>
      <c r="FS74" s="263">
        <v>0</v>
      </c>
      <c r="FT74" s="263">
        <v>0</v>
      </c>
      <c r="FU74" s="263">
        <v>0</v>
      </c>
      <c r="FV74" s="263">
        <v>0</v>
      </c>
      <c r="FW74" s="263">
        <v>0</v>
      </c>
      <c r="FX74" s="263">
        <v>0</v>
      </c>
      <c r="FY74" s="263">
        <v>0</v>
      </c>
      <c r="FZ74" s="263">
        <v>0</v>
      </c>
      <c r="GA74" s="263">
        <v>0</v>
      </c>
      <c r="GB74" s="263">
        <v>0</v>
      </c>
      <c r="GC74" s="263">
        <v>0</v>
      </c>
      <c r="GD74" s="263">
        <v>0</v>
      </c>
      <c r="GE74" s="263">
        <v>0</v>
      </c>
      <c r="GF74" s="263">
        <v>0</v>
      </c>
      <c r="GG74" s="263">
        <v>0</v>
      </c>
      <c r="GH74" s="263">
        <v>0</v>
      </c>
      <c r="GI74" s="263">
        <v>0</v>
      </c>
      <c r="GJ74" s="263">
        <v>0</v>
      </c>
      <c r="GK74" s="263">
        <v>0</v>
      </c>
      <c r="GL74" s="263">
        <v>0</v>
      </c>
      <c r="GM74" s="263">
        <v>0</v>
      </c>
      <c r="GN74" s="263">
        <v>0</v>
      </c>
    </row>
    <row r="75" ht="12.75" customHeight="1">
      <c r="A75" s="287" t="s">
        <v>171</v>
      </c>
      <c r="B75" s="287" t="s">
        <v>83</v>
      </c>
      <c r="C75" s="263">
        <f>DA75+'User Input - Correlations'!C75</f>
        <v>0</v>
      </c>
      <c r="D75" s="263">
        <f>DB75+'User Input - Correlations'!D75</f>
        <v>0</v>
      </c>
      <c r="E75" s="263">
        <f>DC75+'User Input - Correlations'!E75</f>
        <v>0</v>
      </c>
      <c r="F75" s="263">
        <f>DD75+'User Input - Correlations'!F75</f>
        <v>0</v>
      </c>
      <c r="G75" s="263">
        <f>DE75+'User Input - Correlations'!G75</f>
        <v>0</v>
      </c>
      <c r="H75" s="263">
        <f>DF75+'User Input - Correlations'!H75</f>
        <v>0</v>
      </c>
      <c r="I75" s="263">
        <f>DG75+'User Input - Correlations'!I75</f>
        <v>0</v>
      </c>
      <c r="J75" s="263">
        <f>DH75+'User Input - Correlations'!J75</f>
        <v>0</v>
      </c>
      <c r="K75" s="263">
        <f>DI75+'User Input - Correlations'!K75</f>
        <v>0</v>
      </c>
      <c r="L75" s="263">
        <f>DJ75+'User Input - Correlations'!L75</f>
        <v>0</v>
      </c>
      <c r="M75" s="263">
        <f>DK75+'User Input - Correlations'!M75</f>
        <v>0</v>
      </c>
      <c r="N75" s="263">
        <f>DL75+'User Input - Correlations'!N75</f>
        <v>0</v>
      </c>
      <c r="O75" s="263">
        <f>DM75+'User Input - Correlations'!O75</f>
        <v>0</v>
      </c>
      <c r="P75" s="263">
        <f>DN75+'User Input - Correlations'!P75</f>
        <v>0</v>
      </c>
      <c r="Q75" s="263">
        <f>DO75+'User Input - Correlations'!Q75</f>
        <v>0</v>
      </c>
      <c r="R75" s="263">
        <f>DP75+'User Input - Correlations'!R75</f>
        <v>0</v>
      </c>
      <c r="S75" s="263">
        <f>DQ75+'User Input - Correlations'!S75</f>
        <v>0</v>
      </c>
      <c r="T75" s="263">
        <f>DR75+'User Input - Correlations'!T75</f>
        <v>0</v>
      </c>
      <c r="U75" s="263">
        <f>DS75+'User Input - Correlations'!U75</f>
        <v>0</v>
      </c>
      <c r="V75" s="263">
        <f>DT75+'User Input - Correlations'!V75</f>
        <v>0</v>
      </c>
      <c r="W75" s="263">
        <f>DU75+'User Input - Correlations'!W75</f>
        <v>0</v>
      </c>
      <c r="X75" s="263">
        <f>DV75+'User Input - Correlations'!X75</f>
        <v>0</v>
      </c>
      <c r="Y75" s="263">
        <f>DW75+'User Input - Correlations'!Y75</f>
        <v>0</v>
      </c>
      <c r="Z75" s="263">
        <f>DX75+'User Input - Correlations'!Z75</f>
        <v>0</v>
      </c>
      <c r="AA75" s="263">
        <f>DY75+'User Input - Correlations'!AA75</f>
        <v>0</v>
      </c>
      <c r="AB75" s="263">
        <f>DZ75+'User Input - Correlations'!AB75</f>
        <v>0</v>
      </c>
      <c r="AC75" s="263">
        <f>EA75+'User Input - Correlations'!AC75</f>
        <v>0</v>
      </c>
      <c r="AD75" s="263">
        <f>EB75+'User Input - Correlations'!AD75</f>
        <v>0</v>
      </c>
      <c r="AE75" s="263">
        <f>EC75+'User Input - Correlations'!AE75</f>
        <v>0</v>
      </c>
      <c r="AF75" s="263">
        <f>ED75+'User Input - Correlations'!AF75</f>
        <v>0</v>
      </c>
      <c r="AG75" s="263">
        <f>EE75+'User Input - Correlations'!AG75</f>
        <v>0</v>
      </c>
      <c r="AH75" s="263">
        <f>EF75+'User Input - Correlations'!AH75</f>
        <v>0</v>
      </c>
      <c r="AI75" s="263">
        <f>EG75+'User Input - Correlations'!AI75</f>
        <v>0</v>
      </c>
      <c r="AJ75" s="263">
        <f>EH75+'User Input - Correlations'!AJ75</f>
        <v>0</v>
      </c>
      <c r="AK75" s="263">
        <f>EI75+'User Input - Correlations'!AK75</f>
        <v>0</v>
      </c>
      <c r="AL75" s="263">
        <f>EJ75+'User Input - Correlations'!AL75</f>
        <v>0</v>
      </c>
      <c r="AM75" s="263">
        <f>EK75+'User Input - Correlations'!AM75</f>
        <v>0</v>
      </c>
      <c r="AN75" s="263">
        <f>EL75+'User Input - Correlations'!AN75</f>
        <v>0</v>
      </c>
      <c r="AO75" s="263">
        <f>EM75+'User Input - Correlations'!AO75</f>
        <v>0</v>
      </c>
      <c r="AP75" s="263">
        <f>EN75+'User Input - Correlations'!AP75</f>
        <v>0</v>
      </c>
      <c r="AQ75" s="263">
        <f>EO75+'User Input - Correlations'!AQ75</f>
        <v>0</v>
      </c>
      <c r="AR75" s="263">
        <f>EP75+'User Input - Correlations'!AR75</f>
        <v>0</v>
      </c>
      <c r="AS75" s="263">
        <f>EQ75+'User Input - Correlations'!AS75</f>
        <v>0</v>
      </c>
      <c r="AT75" s="263">
        <f>ER75+'User Input - Correlations'!AT75</f>
        <v>0</v>
      </c>
      <c r="AU75" s="263">
        <f>ES75+'User Input - Correlations'!AU75</f>
        <v>0</v>
      </c>
      <c r="AV75" s="263">
        <f>ET75+'User Input - Correlations'!AV75</f>
        <v>0</v>
      </c>
      <c r="AW75" s="263">
        <f>EU75+'User Input - Correlations'!AW75</f>
        <v>0</v>
      </c>
      <c r="AX75" s="263">
        <f>EV75+'User Input - Correlations'!AX75</f>
        <v>0</v>
      </c>
      <c r="AY75" s="263">
        <f>EW75+'User Input - Correlations'!AY75</f>
        <v>0</v>
      </c>
      <c r="AZ75" s="263">
        <f>EX75+'User Input - Correlations'!AZ75</f>
        <v>0</v>
      </c>
      <c r="BA75" s="263">
        <f>EY75+'User Input - Correlations'!BA75</f>
        <v>0</v>
      </c>
      <c r="BB75" s="263">
        <f>EZ75+'User Input - Correlations'!BB75</f>
        <v>0</v>
      </c>
      <c r="BC75" s="263">
        <f>FA75+'User Input - Correlations'!BC75</f>
        <v>0</v>
      </c>
      <c r="BD75" s="263">
        <f>FB75+'User Input - Correlations'!BD75</f>
        <v>0</v>
      </c>
      <c r="BE75" s="263">
        <f>FC75+'User Input - Correlations'!BE75</f>
        <v>0</v>
      </c>
      <c r="BF75" s="263">
        <f>FD75+'User Input - Correlations'!BF75</f>
        <v>0</v>
      </c>
      <c r="BG75" s="263">
        <f>FE75+'User Input - Correlations'!BG75</f>
        <v>0</v>
      </c>
      <c r="BH75" s="263">
        <f>FF75+'User Input - Correlations'!BH75</f>
        <v>0</v>
      </c>
      <c r="BI75" s="263">
        <f>FG75+'User Input - Correlations'!BI75</f>
        <v>0</v>
      </c>
      <c r="BJ75" s="263">
        <f>FH75+'User Input - Correlations'!BJ75</f>
        <v>0</v>
      </c>
      <c r="BK75" s="263">
        <f>FI75+'User Input - Correlations'!BK75</f>
        <v>0</v>
      </c>
      <c r="BL75" s="263">
        <f>FJ75+'User Input - Correlations'!BL75</f>
        <v>0</v>
      </c>
      <c r="BM75" s="263">
        <f>FK75+'User Input - Correlations'!BM75</f>
        <v>0</v>
      </c>
      <c r="BN75" s="263">
        <f>FL75+'User Input - Correlations'!BN75</f>
        <v>0</v>
      </c>
      <c r="BO75" s="263">
        <v>1</v>
      </c>
      <c r="BP75" s="263">
        <f>FN75+'User Input - Correlations'!BP75</f>
        <v>0</v>
      </c>
      <c r="BQ75" s="263">
        <f>FO75+'User Input - Correlations'!BQ75</f>
        <v>0</v>
      </c>
      <c r="BR75" s="263">
        <f>FP75+'User Input - Correlations'!BR75</f>
        <v>0</v>
      </c>
      <c r="BS75" s="263">
        <f>FQ75+'User Input - Correlations'!BS75</f>
        <v>0</v>
      </c>
      <c r="BT75" s="263">
        <f>FR75+'User Input - Correlations'!BT75</f>
        <v>0</v>
      </c>
      <c r="BU75" s="263">
        <f>FS75+'User Input - Correlations'!BU75</f>
        <v>0</v>
      </c>
      <c r="BV75" s="263">
        <f>FT75+'User Input - Correlations'!BV75</f>
        <v>0</v>
      </c>
      <c r="BW75" s="263">
        <f>FU75+'User Input - Correlations'!BW75</f>
        <v>0</v>
      </c>
      <c r="BX75" s="263">
        <f>FV75+'User Input - Correlations'!BX75</f>
        <v>0</v>
      </c>
      <c r="BY75" s="263">
        <f>FW75+'User Input - Correlations'!BY75</f>
        <v>0</v>
      </c>
      <c r="BZ75" s="263">
        <f>FX75+'User Input - Correlations'!BZ75</f>
        <v>0</v>
      </c>
      <c r="CA75" s="263">
        <f>FY75+'User Input - Correlations'!CA75</f>
        <v>0</v>
      </c>
      <c r="CB75" s="263">
        <f>FZ75+'User Input - Correlations'!CB75</f>
        <v>0</v>
      </c>
      <c r="CC75" s="263">
        <f>GA75+'User Input - Correlations'!CC75</f>
        <v>0</v>
      </c>
      <c r="CD75" s="263">
        <f>GB75+'User Input - Correlations'!CD75</f>
        <v>0</v>
      </c>
      <c r="CE75" s="263">
        <f>GC75+'User Input - Correlations'!CE75</f>
        <v>0</v>
      </c>
      <c r="CF75" s="263">
        <f>GD75+'User Input - Correlations'!CF75</f>
        <v>0</v>
      </c>
      <c r="CG75" s="263">
        <f>GE75+'User Input - Correlations'!CG75</f>
        <v>0</v>
      </c>
      <c r="CH75" s="263">
        <f>GF75+'User Input - Correlations'!CH75</f>
        <v>0</v>
      </c>
      <c r="CI75" s="263">
        <f>GG75+'User Input - Correlations'!CI75</f>
        <v>0</v>
      </c>
      <c r="CJ75" s="263">
        <f>GH75+'User Input - Correlations'!CJ75</f>
        <v>0</v>
      </c>
      <c r="CK75" s="263">
        <f>GI75+'User Input - Correlations'!CK75</f>
        <v>0</v>
      </c>
      <c r="CL75" s="263">
        <f>GJ75+'User Input - Correlations'!CL75</f>
        <v>0</v>
      </c>
      <c r="CM75" s="263">
        <f>GK75+'User Input - Correlations'!CM75</f>
        <v>0</v>
      </c>
      <c r="CN75" s="263">
        <f>GL75+'User Input - Correlations'!CN75</f>
        <v>0</v>
      </c>
      <c r="CO75" s="263">
        <f>GM75+'User Input - Correlations'!CO75</f>
        <v>0</v>
      </c>
      <c r="CP75" s="264">
        <f>GN75+'User Input - Correlations'!CP75</f>
        <v>0</v>
      </c>
      <c r="CQ75" s="281">
        <f ca="1">MDETERM(OFFSET($C$11,0,0,ROWS($CQ$11:$CQ75),ROWS($CQ$11:$CQ75)))</f>
        <v>1</v>
      </c>
      <c r="DA75" s="263">
        <v>0</v>
      </c>
      <c r="DB75" s="263">
        <v>0</v>
      </c>
      <c r="DC75" s="263">
        <v>0</v>
      </c>
      <c r="DD75" s="263">
        <v>0</v>
      </c>
      <c r="DE75" s="263">
        <v>0</v>
      </c>
      <c r="DF75" s="263">
        <v>0</v>
      </c>
      <c r="DG75" s="263">
        <v>0</v>
      </c>
      <c r="DH75" s="263">
        <v>0</v>
      </c>
      <c r="DI75" s="263">
        <v>0</v>
      </c>
      <c r="DJ75" s="263">
        <v>0</v>
      </c>
      <c r="DK75" s="263">
        <v>0</v>
      </c>
      <c r="DL75" s="263">
        <v>0</v>
      </c>
      <c r="DM75" s="263">
        <v>0</v>
      </c>
      <c r="DN75" s="263">
        <v>0</v>
      </c>
      <c r="DO75" s="263">
        <v>0</v>
      </c>
      <c r="DP75" s="263">
        <v>0</v>
      </c>
      <c r="DQ75" s="263">
        <v>0</v>
      </c>
      <c r="DR75" s="263">
        <v>0</v>
      </c>
      <c r="DS75" s="263">
        <v>0</v>
      </c>
      <c r="DT75" s="263">
        <v>0</v>
      </c>
      <c r="DU75" s="263">
        <v>0</v>
      </c>
      <c r="DV75" s="263">
        <v>0</v>
      </c>
      <c r="DW75" s="263">
        <v>0</v>
      </c>
      <c r="DX75" s="263">
        <v>0</v>
      </c>
      <c r="DY75" s="263">
        <v>0</v>
      </c>
      <c r="DZ75" s="263">
        <v>0</v>
      </c>
      <c r="EA75" s="263">
        <v>0</v>
      </c>
      <c r="EB75" s="263">
        <v>0</v>
      </c>
      <c r="EC75" s="263">
        <v>0</v>
      </c>
      <c r="ED75" s="263">
        <v>0</v>
      </c>
      <c r="EE75" s="263">
        <v>0</v>
      </c>
      <c r="EF75" s="263">
        <v>0</v>
      </c>
      <c r="EG75" s="263">
        <v>0</v>
      </c>
      <c r="EH75" s="263">
        <v>0</v>
      </c>
      <c r="EI75" s="263">
        <v>0</v>
      </c>
      <c r="EJ75" s="263">
        <v>0</v>
      </c>
      <c r="EK75" s="263">
        <v>0</v>
      </c>
      <c r="EL75" s="263">
        <v>0</v>
      </c>
      <c r="EM75" s="263">
        <v>0</v>
      </c>
      <c r="EN75" s="263">
        <v>0</v>
      </c>
      <c r="EO75" s="263">
        <v>0</v>
      </c>
      <c r="EP75" s="263">
        <v>0</v>
      </c>
      <c r="EQ75" s="263">
        <v>0</v>
      </c>
      <c r="ER75" s="263">
        <v>0</v>
      </c>
      <c r="ES75" s="263">
        <v>0</v>
      </c>
      <c r="ET75" s="263">
        <v>0</v>
      </c>
      <c r="EU75" s="263">
        <v>0</v>
      </c>
      <c r="EV75" s="263">
        <v>0</v>
      </c>
      <c r="EW75" s="263">
        <v>0</v>
      </c>
      <c r="EX75" s="263">
        <v>0</v>
      </c>
      <c r="EY75" s="263">
        <v>0</v>
      </c>
      <c r="EZ75" s="263">
        <v>0</v>
      </c>
      <c r="FA75" s="263">
        <v>0</v>
      </c>
      <c r="FB75" s="263">
        <v>0</v>
      </c>
      <c r="FC75" s="263">
        <v>0</v>
      </c>
      <c r="FD75" s="263">
        <v>0</v>
      </c>
      <c r="FE75" s="263">
        <v>0</v>
      </c>
      <c r="FF75" s="263">
        <v>0</v>
      </c>
      <c r="FG75" s="263">
        <v>0</v>
      </c>
      <c r="FH75" s="263">
        <v>0</v>
      </c>
      <c r="FI75" s="263">
        <v>0</v>
      </c>
      <c r="FJ75" s="263">
        <v>0</v>
      </c>
      <c r="FK75" s="263">
        <v>0</v>
      </c>
      <c r="FL75" s="263">
        <v>0</v>
      </c>
      <c r="FM75" s="263">
        <v>1</v>
      </c>
      <c r="FN75" s="263">
        <v>0</v>
      </c>
      <c r="FO75" s="263">
        <v>0</v>
      </c>
      <c r="FP75" s="263">
        <v>0</v>
      </c>
      <c r="FQ75" s="263">
        <v>0</v>
      </c>
      <c r="FR75" s="263">
        <v>0</v>
      </c>
      <c r="FS75" s="263">
        <v>0</v>
      </c>
      <c r="FT75" s="263">
        <v>0</v>
      </c>
      <c r="FU75" s="263">
        <v>0</v>
      </c>
      <c r="FV75" s="263">
        <v>0</v>
      </c>
      <c r="FW75" s="263">
        <v>0</v>
      </c>
      <c r="FX75" s="263">
        <v>0</v>
      </c>
      <c r="FY75" s="263">
        <v>0</v>
      </c>
      <c r="FZ75" s="263">
        <v>0</v>
      </c>
      <c r="GA75" s="263">
        <v>0</v>
      </c>
      <c r="GB75" s="263">
        <v>0</v>
      </c>
      <c r="GC75" s="263">
        <v>0</v>
      </c>
      <c r="GD75" s="263">
        <v>0</v>
      </c>
      <c r="GE75" s="263">
        <v>0</v>
      </c>
      <c r="GF75" s="263">
        <v>0</v>
      </c>
      <c r="GG75" s="263">
        <v>0</v>
      </c>
      <c r="GH75" s="263">
        <v>0</v>
      </c>
      <c r="GI75" s="263">
        <v>0</v>
      </c>
      <c r="GJ75" s="263">
        <v>0</v>
      </c>
      <c r="GK75" s="263">
        <v>0</v>
      </c>
      <c r="GL75" s="263">
        <v>0</v>
      </c>
      <c r="GM75" s="263">
        <v>0</v>
      </c>
      <c r="GN75" s="263">
        <v>0</v>
      </c>
    </row>
    <row r="76" ht="12.75" customHeight="1">
      <c r="A76" s="287" t="s">
        <v>172</v>
      </c>
      <c r="B76" s="287" t="s">
        <v>83</v>
      </c>
      <c r="C76" s="263">
        <f>DA76+'User Input - Correlations'!C76</f>
        <v>0</v>
      </c>
      <c r="D76" s="263">
        <f>DB76+'User Input - Correlations'!D76</f>
        <v>0</v>
      </c>
      <c r="E76" s="263">
        <f>DC76+'User Input - Correlations'!E76</f>
        <v>0</v>
      </c>
      <c r="F76" s="263">
        <f>DD76+'User Input - Correlations'!F76</f>
        <v>0</v>
      </c>
      <c r="G76" s="263">
        <f>DE76+'User Input - Correlations'!G76</f>
        <v>0</v>
      </c>
      <c r="H76" s="263">
        <f>DF76+'User Input - Correlations'!H76</f>
        <v>0</v>
      </c>
      <c r="I76" s="263">
        <f>DG76+'User Input - Correlations'!I76</f>
        <v>0</v>
      </c>
      <c r="J76" s="263">
        <f>DH76+'User Input - Correlations'!J76</f>
        <v>0</v>
      </c>
      <c r="K76" s="263">
        <f>DI76+'User Input - Correlations'!K76</f>
        <v>0</v>
      </c>
      <c r="L76" s="263">
        <f>DJ76+'User Input - Correlations'!L76</f>
        <v>0</v>
      </c>
      <c r="M76" s="263">
        <f>DK76+'User Input - Correlations'!M76</f>
        <v>0</v>
      </c>
      <c r="N76" s="263">
        <f>DL76+'User Input - Correlations'!N76</f>
        <v>0</v>
      </c>
      <c r="O76" s="263">
        <f>DM76+'User Input - Correlations'!O76</f>
        <v>0</v>
      </c>
      <c r="P76" s="263">
        <f>DN76+'User Input - Correlations'!P76</f>
        <v>0</v>
      </c>
      <c r="Q76" s="263">
        <f>DO76+'User Input - Correlations'!Q76</f>
        <v>0</v>
      </c>
      <c r="R76" s="263">
        <f>DP76+'User Input - Correlations'!R76</f>
        <v>0</v>
      </c>
      <c r="S76" s="263">
        <f>DQ76+'User Input - Correlations'!S76</f>
        <v>0</v>
      </c>
      <c r="T76" s="263">
        <f>DR76+'User Input - Correlations'!T76</f>
        <v>0</v>
      </c>
      <c r="U76" s="263">
        <f>DS76+'User Input - Correlations'!U76</f>
        <v>0</v>
      </c>
      <c r="V76" s="263">
        <f>DT76+'User Input - Correlations'!V76</f>
        <v>0</v>
      </c>
      <c r="W76" s="263">
        <f>DU76+'User Input - Correlations'!W76</f>
        <v>0</v>
      </c>
      <c r="X76" s="263">
        <f>DV76+'User Input - Correlations'!X76</f>
        <v>0</v>
      </c>
      <c r="Y76" s="263">
        <f>DW76+'User Input - Correlations'!Y76</f>
        <v>0</v>
      </c>
      <c r="Z76" s="263">
        <f>DX76+'User Input - Correlations'!Z76</f>
        <v>0</v>
      </c>
      <c r="AA76" s="263">
        <f>DY76+'User Input - Correlations'!AA76</f>
        <v>0</v>
      </c>
      <c r="AB76" s="263">
        <f>DZ76+'User Input - Correlations'!AB76</f>
        <v>0</v>
      </c>
      <c r="AC76" s="263">
        <f>EA76+'User Input - Correlations'!AC76</f>
        <v>0</v>
      </c>
      <c r="AD76" s="263">
        <f>EB76+'User Input - Correlations'!AD76</f>
        <v>0</v>
      </c>
      <c r="AE76" s="263">
        <f>EC76+'User Input - Correlations'!AE76</f>
        <v>0</v>
      </c>
      <c r="AF76" s="263">
        <f>ED76+'User Input - Correlations'!AF76</f>
        <v>0</v>
      </c>
      <c r="AG76" s="263">
        <f>EE76+'User Input - Correlations'!AG76</f>
        <v>0</v>
      </c>
      <c r="AH76" s="263">
        <f>EF76+'User Input - Correlations'!AH76</f>
        <v>0</v>
      </c>
      <c r="AI76" s="263">
        <f>EG76+'User Input - Correlations'!AI76</f>
        <v>0</v>
      </c>
      <c r="AJ76" s="263">
        <f>EH76+'User Input - Correlations'!AJ76</f>
        <v>0</v>
      </c>
      <c r="AK76" s="263">
        <f>EI76+'User Input - Correlations'!AK76</f>
        <v>0</v>
      </c>
      <c r="AL76" s="263">
        <f>EJ76+'User Input - Correlations'!AL76</f>
        <v>0</v>
      </c>
      <c r="AM76" s="263">
        <f>EK76+'User Input - Correlations'!AM76</f>
        <v>0</v>
      </c>
      <c r="AN76" s="263">
        <f>EL76+'User Input - Correlations'!AN76</f>
        <v>0</v>
      </c>
      <c r="AO76" s="263">
        <f>EM76+'User Input - Correlations'!AO76</f>
        <v>0</v>
      </c>
      <c r="AP76" s="263">
        <f>EN76+'User Input - Correlations'!AP76</f>
        <v>0</v>
      </c>
      <c r="AQ76" s="263">
        <f>EO76+'User Input - Correlations'!AQ76</f>
        <v>0</v>
      </c>
      <c r="AR76" s="263">
        <f>EP76+'User Input - Correlations'!AR76</f>
        <v>0</v>
      </c>
      <c r="AS76" s="263">
        <f>EQ76+'User Input - Correlations'!AS76</f>
        <v>0</v>
      </c>
      <c r="AT76" s="263">
        <f>ER76+'User Input - Correlations'!AT76</f>
        <v>0</v>
      </c>
      <c r="AU76" s="263">
        <f>ES76+'User Input - Correlations'!AU76</f>
        <v>0</v>
      </c>
      <c r="AV76" s="263">
        <f>ET76+'User Input - Correlations'!AV76</f>
        <v>0</v>
      </c>
      <c r="AW76" s="263">
        <f>EU76+'User Input - Correlations'!AW76</f>
        <v>0</v>
      </c>
      <c r="AX76" s="263">
        <f>EV76+'User Input - Correlations'!AX76</f>
        <v>0</v>
      </c>
      <c r="AY76" s="263">
        <f>EW76+'User Input - Correlations'!AY76</f>
        <v>0</v>
      </c>
      <c r="AZ76" s="263">
        <f>EX76+'User Input - Correlations'!AZ76</f>
        <v>0</v>
      </c>
      <c r="BA76" s="263">
        <f>EY76+'User Input - Correlations'!BA76</f>
        <v>0</v>
      </c>
      <c r="BB76" s="263">
        <f>EZ76+'User Input - Correlations'!BB76</f>
        <v>0</v>
      </c>
      <c r="BC76" s="263">
        <f>FA76+'User Input - Correlations'!BC76</f>
        <v>0</v>
      </c>
      <c r="BD76" s="263">
        <f>FB76+'User Input - Correlations'!BD76</f>
        <v>0</v>
      </c>
      <c r="BE76" s="263">
        <f>FC76+'User Input - Correlations'!BE76</f>
        <v>0</v>
      </c>
      <c r="BF76" s="263">
        <f>FD76+'User Input - Correlations'!BF76</f>
        <v>0</v>
      </c>
      <c r="BG76" s="263">
        <f>FE76+'User Input - Correlations'!BG76</f>
        <v>0</v>
      </c>
      <c r="BH76" s="263">
        <f>FF76+'User Input - Correlations'!BH76</f>
        <v>0</v>
      </c>
      <c r="BI76" s="263">
        <f>FG76+'User Input - Correlations'!BI76</f>
        <v>0</v>
      </c>
      <c r="BJ76" s="263">
        <f>FH76+'User Input - Correlations'!BJ76</f>
        <v>0</v>
      </c>
      <c r="BK76" s="263">
        <f>FI76+'User Input - Correlations'!BK76</f>
        <v>0</v>
      </c>
      <c r="BL76" s="263">
        <f>FJ76+'User Input - Correlations'!BL76</f>
        <v>0</v>
      </c>
      <c r="BM76" s="263">
        <f>FK76+'User Input - Correlations'!BM76</f>
        <v>0</v>
      </c>
      <c r="BN76" s="263">
        <f>FL76+'User Input - Correlations'!BN76</f>
        <v>0</v>
      </c>
      <c r="BO76" s="263">
        <f>FM76+'User Input - Correlations'!BO76</f>
        <v>0</v>
      </c>
      <c r="BP76" s="263">
        <v>1</v>
      </c>
      <c r="BQ76" s="263">
        <f>FO76+'User Input - Correlations'!BQ76</f>
        <v>0</v>
      </c>
      <c r="BR76" s="263">
        <f>FP76+'User Input - Correlations'!BR76</f>
        <v>0</v>
      </c>
      <c r="BS76" s="263">
        <f>FQ76+'User Input - Correlations'!BS76</f>
        <v>0</v>
      </c>
      <c r="BT76" s="263">
        <f>FR76+'User Input - Correlations'!BT76</f>
        <v>0</v>
      </c>
      <c r="BU76" s="263">
        <f>FS76+'User Input - Correlations'!BU76</f>
        <v>0</v>
      </c>
      <c r="BV76" s="263">
        <f>FT76+'User Input - Correlations'!BV76</f>
        <v>0</v>
      </c>
      <c r="BW76" s="263">
        <f>FU76+'User Input - Correlations'!BW76</f>
        <v>0</v>
      </c>
      <c r="BX76" s="263">
        <f>FV76+'User Input - Correlations'!BX76</f>
        <v>0</v>
      </c>
      <c r="BY76" s="263">
        <f>FW76+'User Input - Correlations'!BY76</f>
        <v>0</v>
      </c>
      <c r="BZ76" s="263">
        <f>FX76+'User Input - Correlations'!BZ76</f>
        <v>0</v>
      </c>
      <c r="CA76" s="263">
        <f>FY76+'User Input - Correlations'!CA76</f>
        <v>0</v>
      </c>
      <c r="CB76" s="263">
        <f>FZ76+'User Input - Correlations'!CB76</f>
        <v>0</v>
      </c>
      <c r="CC76" s="263">
        <f>GA76+'User Input - Correlations'!CC76</f>
        <v>0</v>
      </c>
      <c r="CD76" s="263">
        <f>GB76+'User Input - Correlations'!CD76</f>
        <v>0</v>
      </c>
      <c r="CE76" s="263">
        <f>GC76+'User Input - Correlations'!CE76</f>
        <v>0</v>
      </c>
      <c r="CF76" s="263">
        <f>GD76+'User Input - Correlations'!CF76</f>
        <v>0</v>
      </c>
      <c r="CG76" s="263">
        <f>GE76+'User Input - Correlations'!CG76</f>
        <v>0</v>
      </c>
      <c r="CH76" s="263">
        <f>GF76+'User Input - Correlations'!CH76</f>
        <v>0</v>
      </c>
      <c r="CI76" s="263">
        <f>GG76+'User Input - Correlations'!CI76</f>
        <v>0</v>
      </c>
      <c r="CJ76" s="263">
        <f>GH76+'User Input - Correlations'!CJ76</f>
        <v>0</v>
      </c>
      <c r="CK76" s="263">
        <f>GI76+'User Input - Correlations'!CK76</f>
        <v>0</v>
      </c>
      <c r="CL76" s="263">
        <f>GJ76+'User Input - Correlations'!CL76</f>
        <v>0</v>
      </c>
      <c r="CM76" s="263">
        <f>GK76+'User Input - Correlations'!CM76</f>
        <v>0</v>
      </c>
      <c r="CN76" s="263">
        <f>GL76+'User Input - Correlations'!CN76</f>
        <v>0</v>
      </c>
      <c r="CO76" s="263">
        <f>GM76+'User Input - Correlations'!CO76</f>
        <v>0</v>
      </c>
      <c r="CP76" s="264">
        <f>GN76+'User Input - Correlations'!CP76</f>
        <v>0</v>
      </c>
      <c r="CQ76" s="281">
        <f ca="1">MDETERM(OFFSET($C$11,0,0,ROWS($CQ$11:$CQ76),ROWS($CQ$11:$CQ76)))</f>
        <v>1</v>
      </c>
      <c r="DA76" s="263">
        <v>0</v>
      </c>
      <c r="DB76" s="263">
        <v>0</v>
      </c>
      <c r="DC76" s="263">
        <v>0</v>
      </c>
      <c r="DD76" s="263">
        <v>0</v>
      </c>
      <c r="DE76" s="263">
        <v>0</v>
      </c>
      <c r="DF76" s="263">
        <v>0</v>
      </c>
      <c r="DG76" s="263">
        <v>0</v>
      </c>
      <c r="DH76" s="263">
        <v>0</v>
      </c>
      <c r="DI76" s="263">
        <v>0</v>
      </c>
      <c r="DJ76" s="263">
        <v>0</v>
      </c>
      <c r="DK76" s="263">
        <v>0</v>
      </c>
      <c r="DL76" s="263">
        <v>0</v>
      </c>
      <c r="DM76" s="263">
        <v>0</v>
      </c>
      <c r="DN76" s="263">
        <v>0</v>
      </c>
      <c r="DO76" s="263">
        <v>0</v>
      </c>
      <c r="DP76" s="263">
        <v>0</v>
      </c>
      <c r="DQ76" s="263">
        <v>0</v>
      </c>
      <c r="DR76" s="263">
        <v>0</v>
      </c>
      <c r="DS76" s="263">
        <v>0</v>
      </c>
      <c r="DT76" s="263">
        <v>0</v>
      </c>
      <c r="DU76" s="263">
        <v>0</v>
      </c>
      <c r="DV76" s="263">
        <v>0</v>
      </c>
      <c r="DW76" s="263">
        <v>0</v>
      </c>
      <c r="DX76" s="263">
        <v>0</v>
      </c>
      <c r="DY76" s="263">
        <v>0</v>
      </c>
      <c r="DZ76" s="263">
        <v>0</v>
      </c>
      <c r="EA76" s="263">
        <v>0</v>
      </c>
      <c r="EB76" s="263">
        <v>0</v>
      </c>
      <c r="EC76" s="263">
        <v>0</v>
      </c>
      <c r="ED76" s="263">
        <v>0</v>
      </c>
      <c r="EE76" s="263">
        <v>0</v>
      </c>
      <c r="EF76" s="263">
        <v>0</v>
      </c>
      <c r="EG76" s="263">
        <v>0</v>
      </c>
      <c r="EH76" s="263">
        <v>0</v>
      </c>
      <c r="EI76" s="263">
        <v>0</v>
      </c>
      <c r="EJ76" s="263">
        <v>0</v>
      </c>
      <c r="EK76" s="263">
        <v>0</v>
      </c>
      <c r="EL76" s="263">
        <v>0</v>
      </c>
      <c r="EM76" s="263">
        <v>0</v>
      </c>
      <c r="EN76" s="263">
        <v>0</v>
      </c>
      <c r="EO76" s="263">
        <v>0</v>
      </c>
      <c r="EP76" s="263">
        <v>0</v>
      </c>
      <c r="EQ76" s="263">
        <v>0</v>
      </c>
      <c r="ER76" s="263">
        <v>0</v>
      </c>
      <c r="ES76" s="263">
        <v>0</v>
      </c>
      <c r="ET76" s="263">
        <v>0</v>
      </c>
      <c r="EU76" s="263">
        <v>0</v>
      </c>
      <c r="EV76" s="263">
        <v>0</v>
      </c>
      <c r="EW76" s="263">
        <v>0</v>
      </c>
      <c r="EX76" s="263">
        <v>0</v>
      </c>
      <c r="EY76" s="263">
        <v>0</v>
      </c>
      <c r="EZ76" s="263">
        <v>0</v>
      </c>
      <c r="FA76" s="263">
        <v>0</v>
      </c>
      <c r="FB76" s="263">
        <v>0</v>
      </c>
      <c r="FC76" s="263">
        <v>0</v>
      </c>
      <c r="FD76" s="263">
        <v>0</v>
      </c>
      <c r="FE76" s="263">
        <v>0</v>
      </c>
      <c r="FF76" s="263">
        <v>0</v>
      </c>
      <c r="FG76" s="263">
        <v>0</v>
      </c>
      <c r="FH76" s="263">
        <v>0</v>
      </c>
      <c r="FI76" s="263">
        <v>0</v>
      </c>
      <c r="FJ76" s="263">
        <v>0</v>
      </c>
      <c r="FK76" s="263">
        <v>0</v>
      </c>
      <c r="FL76" s="263">
        <v>0</v>
      </c>
      <c r="FM76" s="263">
        <v>0</v>
      </c>
      <c r="FN76" s="263">
        <v>1</v>
      </c>
      <c r="FO76" s="263">
        <v>0</v>
      </c>
      <c r="FP76" s="263">
        <v>0</v>
      </c>
      <c r="FQ76" s="263">
        <v>0</v>
      </c>
      <c r="FR76" s="263">
        <v>0</v>
      </c>
      <c r="FS76" s="263">
        <v>0</v>
      </c>
      <c r="FT76" s="263">
        <v>0</v>
      </c>
      <c r="FU76" s="263">
        <v>0</v>
      </c>
      <c r="FV76" s="263">
        <v>0</v>
      </c>
      <c r="FW76" s="263">
        <v>0</v>
      </c>
      <c r="FX76" s="263">
        <v>0</v>
      </c>
      <c r="FY76" s="263">
        <v>0</v>
      </c>
      <c r="FZ76" s="263">
        <v>0</v>
      </c>
      <c r="GA76" s="263">
        <v>0</v>
      </c>
      <c r="GB76" s="263">
        <v>0</v>
      </c>
      <c r="GC76" s="263">
        <v>0</v>
      </c>
      <c r="GD76" s="263">
        <v>0</v>
      </c>
      <c r="GE76" s="263">
        <v>0</v>
      </c>
      <c r="GF76" s="263">
        <v>0</v>
      </c>
      <c r="GG76" s="263">
        <v>0</v>
      </c>
      <c r="GH76" s="263">
        <v>0</v>
      </c>
      <c r="GI76" s="263">
        <v>0</v>
      </c>
      <c r="GJ76" s="263">
        <v>0</v>
      </c>
      <c r="GK76" s="263">
        <v>0</v>
      </c>
      <c r="GL76" s="263">
        <v>0</v>
      </c>
      <c r="GM76" s="263">
        <v>0</v>
      </c>
      <c r="GN76" s="263">
        <v>0</v>
      </c>
    </row>
    <row r="77" ht="12.75" customHeight="1">
      <c r="A77" s="287" t="s">
        <v>175</v>
      </c>
      <c r="B77" s="287" t="s">
        <v>83</v>
      </c>
      <c r="C77" s="263">
        <f>DA77+'User Input - Correlations'!C77</f>
        <v>0</v>
      </c>
      <c r="D77" s="263">
        <f>DB77+'User Input - Correlations'!D77</f>
        <v>0</v>
      </c>
      <c r="E77" s="263">
        <f>DC77+'User Input - Correlations'!E77</f>
        <v>0</v>
      </c>
      <c r="F77" s="263">
        <f>DD77+'User Input - Correlations'!F77</f>
        <v>0</v>
      </c>
      <c r="G77" s="263">
        <f>DE77+'User Input - Correlations'!G77</f>
        <v>0</v>
      </c>
      <c r="H77" s="263">
        <f>DF77+'User Input - Correlations'!H77</f>
        <v>0</v>
      </c>
      <c r="I77" s="263">
        <f>DG77+'User Input - Correlations'!I77</f>
        <v>0</v>
      </c>
      <c r="J77" s="263">
        <f>DH77+'User Input - Correlations'!J77</f>
        <v>0</v>
      </c>
      <c r="K77" s="263">
        <f>DI77+'User Input - Correlations'!K77</f>
        <v>0</v>
      </c>
      <c r="L77" s="263">
        <f>DJ77+'User Input - Correlations'!L77</f>
        <v>0</v>
      </c>
      <c r="M77" s="263">
        <f>DK77+'User Input - Correlations'!M77</f>
        <v>0</v>
      </c>
      <c r="N77" s="263">
        <f>DL77+'User Input - Correlations'!N77</f>
        <v>0</v>
      </c>
      <c r="O77" s="263">
        <f>DM77+'User Input - Correlations'!O77</f>
        <v>0</v>
      </c>
      <c r="P77" s="263">
        <f>DN77+'User Input - Correlations'!P77</f>
        <v>0</v>
      </c>
      <c r="Q77" s="263">
        <f>DO77+'User Input - Correlations'!Q77</f>
        <v>0</v>
      </c>
      <c r="R77" s="263">
        <f>DP77+'User Input - Correlations'!R77</f>
        <v>0</v>
      </c>
      <c r="S77" s="263">
        <f>DQ77+'User Input - Correlations'!S77</f>
        <v>0</v>
      </c>
      <c r="T77" s="263">
        <f>DR77+'User Input - Correlations'!T77</f>
        <v>0</v>
      </c>
      <c r="U77" s="263">
        <f>DS77+'User Input - Correlations'!U77</f>
        <v>0</v>
      </c>
      <c r="V77" s="263">
        <f>DT77+'User Input - Correlations'!V77</f>
        <v>0</v>
      </c>
      <c r="W77" s="263">
        <f>DU77+'User Input - Correlations'!W77</f>
        <v>0</v>
      </c>
      <c r="X77" s="263">
        <f>DV77+'User Input - Correlations'!X77</f>
        <v>0</v>
      </c>
      <c r="Y77" s="263">
        <f>DW77+'User Input - Correlations'!Y77</f>
        <v>0</v>
      </c>
      <c r="Z77" s="263">
        <f>DX77+'User Input - Correlations'!Z77</f>
        <v>0</v>
      </c>
      <c r="AA77" s="263">
        <f>DY77+'User Input - Correlations'!AA77</f>
        <v>0</v>
      </c>
      <c r="AB77" s="263">
        <f>DZ77+'User Input - Correlations'!AB77</f>
        <v>0</v>
      </c>
      <c r="AC77" s="263">
        <f>EA77+'User Input - Correlations'!AC77</f>
        <v>0</v>
      </c>
      <c r="AD77" s="263">
        <f>EB77+'User Input - Correlations'!AD77</f>
        <v>0</v>
      </c>
      <c r="AE77" s="263">
        <f>EC77+'User Input - Correlations'!AE77</f>
        <v>0</v>
      </c>
      <c r="AF77" s="263">
        <f>ED77+'User Input - Correlations'!AF77</f>
        <v>0</v>
      </c>
      <c r="AG77" s="263">
        <f>EE77+'User Input - Correlations'!AG77</f>
        <v>0</v>
      </c>
      <c r="AH77" s="263">
        <f>EF77+'User Input - Correlations'!AH77</f>
        <v>0</v>
      </c>
      <c r="AI77" s="263">
        <f>EG77+'User Input - Correlations'!AI77</f>
        <v>0</v>
      </c>
      <c r="AJ77" s="263">
        <f>EH77+'User Input - Correlations'!AJ77</f>
        <v>0</v>
      </c>
      <c r="AK77" s="263">
        <f>EI77+'User Input - Correlations'!AK77</f>
        <v>0</v>
      </c>
      <c r="AL77" s="263">
        <f>EJ77+'User Input - Correlations'!AL77</f>
        <v>0</v>
      </c>
      <c r="AM77" s="263">
        <f>EK77+'User Input - Correlations'!AM77</f>
        <v>0</v>
      </c>
      <c r="AN77" s="263">
        <f>EL77+'User Input - Correlations'!AN77</f>
        <v>0</v>
      </c>
      <c r="AO77" s="263">
        <f>EM77+'User Input - Correlations'!AO77</f>
        <v>0</v>
      </c>
      <c r="AP77" s="263">
        <f>EN77+'User Input - Correlations'!AP77</f>
        <v>0</v>
      </c>
      <c r="AQ77" s="263">
        <f>EO77+'User Input - Correlations'!AQ77</f>
        <v>0</v>
      </c>
      <c r="AR77" s="263">
        <f>EP77+'User Input - Correlations'!AR77</f>
        <v>0</v>
      </c>
      <c r="AS77" s="263">
        <f>EQ77+'User Input - Correlations'!AS77</f>
        <v>0</v>
      </c>
      <c r="AT77" s="263">
        <f>ER77+'User Input - Correlations'!AT77</f>
        <v>0</v>
      </c>
      <c r="AU77" s="263">
        <f>ES77+'User Input - Correlations'!AU77</f>
        <v>0</v>
      </c>
      <c r="AV77" s="263">
        <f>ET77+'User Input - Correlations'!AV77</f>
        <v>0</v>
      </c>
      <c r="AW77" s="263">
        <f>EU77+'User Input - Correlations'!AW77</f>
        <v>0</v>
      </c>
      <c r="AX77" s="263">
        <f>EV77+'User Input - Correlations'!AX77</f>
        <v>0</v>
      </c>
      <c r="AY77" s="263">
        <f>EW77+'User Input - Correlations'!AY77</f>
        <v>0</v>
      </c>
      <c r="AZ77" s="263">
        <f>EX77+'User Input - Correlations'!AZ77</f>
        <v>0</v>
      </c>
      <c r="BA77" s="263">
        <f>EY77+'User Input - Correlations'!BA77</f>
        <v>0</v>
      </c>
      <c r="BB77" s="263">
        <f>EZ77+'User Input - Correlations'!BB77</f>
        <v>0</v>
      </c>
      <c r="BC77" s="263">
        <f>FA77+'User Input - Correlations'!BC77</f>
        <v>0</v>
      </c>
      <c r="BD77" s="263">
        <f>FB77+'User Input - Correlations'!BD77</f>
        <v>0</v>
      </c>
      <c r="BE77" s="263">
        <f>FC77+'User Input - Correlations'!BE77</f>
        <v>0</v>
      </c>
      <c r="BF77" s="263">
        <f>FD77+'User Input - Correlations'!BF77</f>
        <v>0</v>
      </c>
      <c r="BG77" s="263">
        <f>FE77+'User Input - Correlations'!BG77</f>
        <v>0</v>
      </c>
      <c r="BH77" s="263">
        <f>FF77+'User Input - Correlations'!BH77</f>
        <v>0</v>
      </c>
      <c r="BI77" s="263">
        <f>FG77+'User Input - Correlations'!BI77</f>
        <v>0</v>
      </c>
      <c r="BJ77" s="263">
        <f>FH77+'User Input - Correlations'!BJ77</f>
        <v>0</v>
      </c>
      <c r="BK77" s="263">
        <f>FI77+'User Input - Correlations'!BK77</f>
        <v>0</v>
      </c>
      <c r="BL77" s="263">
        <f>FJ77+'User Input - Correlations'!BL77</f>
        <v>0</v>
      </c>
      <c r="BM77" s="263">
        <f>FK77+'User Input - Correlations'!BM77</f>
        <v>0</v>
      </c>
      <c r="BN77" s="263">
        <f>FL77+'User Input - Correlations'!BN77</f>
        <v>0</v>
      </c>
      <c r="BO77" s="263">
        <f>FM77+'User Input - Correlations'!BO77</f>
        <v>0</v>
      </c>
      <c r="BP77" s="263">
        <f>FN77+'User Input - Correlations'!BP77</f>
        <v>0</v>
      </c>
      <c r="BQ77" s="263">
        <v>1</v>
      </c>
      <c r="BR77" s="263">
        <f>FP77+'User Input - Correlations'!BR77</f>
        <v>0</v>
      </c>
      <c r="BS77" s="263">
        <f>FQ77+'User Input - Correlations'!BS77</f>
        <v>0</v>
      </c>
      <c r="BT77" s="263">
        <f>FR77+'User Input - Correlations'!BT77</f>
        <v>0</v>
      </c>
      <c r="BU77" s="263">
        <f>FS77+'User Input - Correlations'!BU77</f>
        <v>0</v>
      </c>
      <c r="BV77" s="263">
        <f>FT77+'User Input - Correlations'!BV77</f>
        <v>0</v>
      </c>
      <c r="BW77" s="263">
        <f>FU77+'User Input - Correlations'!BW77</f>
        <v>0</v>
      </c>
      <c r="BX77" s="263">
        <f>FV77+'User Input - Correlations'!BX77</f>
        <v>0</v>
      </c>
      <c r="BY77" s="263">
        <f>FW77+'User Input - Correlations'!BY77</f>
        <v>0</v>
      </c>
      <c r="BZ77" s="263">
        <f>FX77+'User Input - Correlations'!BZ77</f>
        <v>0</v>
      </c>
      <c r="CA77" s="263">
        <f>FY77+'User Input - Correlations'!CA77</f>
        <v>0</v>
      </c>
      <c r="CB77" s="263">
        <f>FZ77+'User Input - Correlations'!CB77</f>
        <v>0</v>
      </c>
      <c r="CC77" s="263">
        <f>GA77+'User Input - Correlations'!CC77</f>
        <v>0</v>
      </c>
      <c r="CD77" s="263">
        <f>GB77+'User Input - Correlations'!CD77</f>
        <v>0</v>
      </c>
      <c r="CE77" s="263">
        <f>GC77+'User Input - Correlations'!CE77</f>
        <v>0</v>
      </c>
      <c r="CF77" s="263">
        <f>GD77+'User Input - Correlations'!CF77</f>
        <v>0</v>
      </c>
      <c r="CG77" s="263">
        <f>GE77+'User Input - Correlations'!CG77</f>
        <v>0</v>
      </c>
      <c r="CH77" s="263">
        <f>GF77+'User Input - Correlations'!CH77</f>
        <v>0</v>
      </c>
      <c r="CI77" s="263">
        <f>GG77+'User Input - Correlations'!CI77</f>
        <v>0</v>
      </c>
      <c r="CJ77" s="263">
        <f>GH77+'User Input - Correlations'!CJ77</f>
        <v>0</v>
      </c>
      <c r="CK77" s="263">
        <f>GI77+'User Input - Correlations'!CK77</f>
        <v>0</v>
      </c>
      <c r="CL77" s="263">
        <f>GJ77+'User Input - Correlations'!CL77</f>
        <v>0</v>
      </c>
      <c r="CM77" s="263">
        <f>GK77+'User Input - Correlations'!CM77</f>
        <v>0</v>
      </c>
      <c r="CN77" s="263">
        <f>GL77+'User Input - Correlations'!CN77</f>
        <v>0</v>
      </c>
      <c r="CO77" s="263">
        <f>GM77+'User Input - Correlations'!CO77</f>
        <v>0</v>
      </c>
      <c r="CP77" s="264">
        <f>GN77+'User Input - Correlations'!CP77</f>
        <v>0</v>
      </c>
      <c r="CQ77" s="281">
        <f ca="1">MDETERM(OFFSET($C$11,0,0,ROWS($CQ$11:$CQ77),ROWS($CQ$11:$CQ77)))</f>
        <v>1</v>
      </c>
      <c r="DA77" s="263">
        <v>0</v>
      </c>
      <c r="DB77" s="263">
        <v>0</v>
      </c>
      <c r="DC77" s="263">
        <v>0</v>
      </c>
      <c r="DD77" s="263">
        <v>0</v>
      </c>
      <c r="DE77" s="263">
        <v>0</v>
      </c>
      <c r="DF77" s="263">
        <v>0</v>
      </c>
      <c r="DG77" s="263">
        <v>0</v>
      </c>
      <c r="DH77" s="263">
        <v>0</v>
      </c>
      <c r="DI77" s="263">
        <v>0</v>
      </c>
      <c r="DJ77" s="263">
        <v>0</v>
      </c>
      <c r="DK77" s="263">
        <v>0</v>
      </c>
      <c r="DL77" s="263">
        <v>0</v>
      </c>
      <c r="DM77" s="263">
        <v>0</v>
      </c>
      <c r="DN77" s="263">
        <v>0</v>
      </c>
      <c r="DO77" s="263">
        <v>0</v>
      </c>
      <c r="DP77" s="263">
        <v>0</v>
      </c>
      <c r="DQ77" s="263">
        <v>0</v>
      </c>
      <c r="DR77" s="263">
        <v>0</v>
      </c>
      <c r="DS77" s="263">
        <v>0</v>
      </c>
      <c r="DT77" s="263">
        <v>0</v>
      </c>
      <c r="DU77" s="263">
        <v>0</v>
      </c>
      <c r="DV77" s="263">
        <v>0</v>
      </c>
      <c r="DW77" s="263">
        <v>0</v>
      </c>
      <c r="DX77" s="263">
        <v>0</v>
      </c>
      <c r="DY77" s="263">
        <v>0</v>
      </c>
      <c r="DZ77" s="263">
        <v>0</v>
      </c>
      <c r="EA77" s="263">
        <v>0</v>
      </c>
      <c r="EB77" s="263">
        <v>0</v>
      </c>
      <c r="EC77" s="263">
        <v>0</v>
      </c>
      <c r="ED77" s="263">
        <v>0</v>
      </c>
      <c r="EE77" s="263">
        <v>0</v>
      </c>
      <c r="EF77" s="263">
        <v>0</v>
      </c>
      <c r="EG77" s="263">
        <v>0</v>
      </c>
      <c r="EH77" s="263">
        <v>0</v>
      </c>
      <c r="EI77" s="263">
        <v>0</v>
      </c>
      <c r="EJ77" s="263">
        <v>0</v>
      </c>
      <c r="EK77" s="263">
        <v>0</v>
      </c>
      <c r="EL77" s="263">
        <v>0</v>
      </c>
      <c r="EM77" s="263">
        <v>0</v>
      </c>
      <c r="EN77" s="263">
        <v>0</v>
      </c>
      <c r="EO77" s="263">
        <v>0</v>
      </c>
      <c r="EP77" s="263">
        <v>0</v>
      </c>
      <c r="EQ77" s="263">
        <v>0</v>
      </c>
      <c r="ER77" s="263">
        <v>0</v>
      </c>
      <c r="ES77" s="263">
        <v>0</v>
      </c>
      <c r="ET77" s="263">
        <v>0</v>
      </c>
      <c r="EU77" s="263">
        <v>0</v>
      </c>
      <c r="EV77" s="263">
        <v>0</v>
      </c>
      <c r="EW77" s="263">
        <v>0</v>
      </c>
      <c r="EX77" s="263">
        <v>0</v>
      </c>
      <c r="EY77" s="263">
        <v>0</v>
      </c>
      <c r="EZ77" s="263">
        <v>0</v>
      </c>
      <c r="FA77" s="263">
        <v>0</v>
      </c>
      <c r="FB77" s="263">
        <v>0</v>
      </c>
      <c r="FC77" s="263">
        <v>0</v>
      </c>
      <c r="FD77" s="263">
        <v>0</v>
      </c>
      <c r="FE77" s="263">
        <v>0</v>
      </c>
      <c r="FF77" s="263">
        <v>0</v>
      </c>
      <c r="FG77" s="263">
        <v>0</v>
      </c>
      <c r="FH77" s="263">
        <v>0</v>
      </c>
      <c r="FI77" s="263">
        <v>0</v>
      </c>
      <c r="FJ77" s="263">
        <v>0</v>
      </c>
      <c r="FK77" s="263">
        <v>0</v>
      </c>
      <c r="FL77" s="263">
        <v>0</v>
      </c>
      <c r="FM77" s="263">
        <v>0</v>
      </c>
      <c r="FN77" s="263">
        <v>0</v>
      </c>
      <c r="FO77" s="263">
        <v>1</v>
      </c>
      <c r="FP77" s="263">
        <v>0</v>
      </c>
      <c r="FQ77" s="263">
        <v>0</v>
      </c>
      <c r="FR77" s="263">
        <v>0</v>
      </c>
      <c r="FS77" s="263">
        <v>0</v>
      </c>
      <c r="FT77" s="263">
        <v>0</v>
      </c>
      <c r="FU77" s="263">
        <v>0</v>
      </c>
      <c r="FV77" s="263">
        <v>0</v>
      </c>
      <c r="FW77" s="263">
        <v>0</v>
      </c>
      <c r="FX77" s="263">
        <v>0</v>
      </c>
      <c r="FY77" s="263">
        <v>0</v>
      </c>
      <c r="FZ77" s="263">
        <v>0</v>
      </c>
      <c r="GA77" s="263">
        <v>0</v>
      </c>
      <c r="GB77" s="263">
        <v>0</v>
      </c>
      <c r="GC77" s="263">
        <v>0</v>
      </c>
      <c r="GD77" s="263">
        <v>0</v>
      </c>
      <c r="GE77" s="263">
        <v>0</v>
      </c>
      <c r="GF77" s="263">
        <v>0</v>
      </c>
      <c r="GG77" s="263">
        <v>0</v>
      </c>
      <c r="GH77" s="263">
        <v>0</v>
      </c>
      <c r="GI77" s="263">
        <v>0</v>
      </c>
      <c r="GJ77" s="263">
        <v>0</v>
      </c>
      <c r="GK77" s="263">
        <v>0</v>
      </c>
      <c r="GL77" s="263">
        <v>0</v>
      </c>
      <c r="GM77" s="263">
        <v>0</v>
      </c>
      <c r="GN77" s="263">
        <v>0</v>
      </c>
    </row>
    <row r="78" ht="12.75" customHeight="1">
      <c r="A78" s="287" t="s">
        <v>173</v>
      </c>
      <c r="B78" s="287" t="s">
        <v>83</v>
      </c>
      <c r="C78" s="263">
        <f>DA78+'User Input - Correlations'!C78</f>
        <v>0</v>
      </c>
      <c r="D78" s="263">
        <f>DB78+'User Input - Correlations'!D78</f>
        <v>0</v>
      </c>
      <c r="E78" s="263">
        <f>DC78+'User Input - Correlations'!E78</f>
        <v>0</v>
      </c>
      <c r="F78" s="263">
        <f>DD78+'User Input - Correlations'!F78</f>
        <v>0</v>
      </c>
      <c r="G78" s="263">
        <f>DE78+'User Input - Correlations'!G78</f>
        <v>0</v>
      </c>
      <c r="H78" s="263">
        <f>DF78+'User Input - Correlations'!H78</f>
        <v>0</v>
      </c>
      <c r="I78" s="263">
        <f>DG78+'User Input - Correlations'!I78</f>
        <v>0</v>
      </c>
      <c r="J78" s="263">
        <f>DH78+'User Input - Correlations'!J78</f>
        <v>0</v>
      </c>
      <c r="K78" s="263">
        <f>DI78+'User Input - Correlations'!K78</f>
        <v>0</v>
      </c>
      <c r="L78" s="263">
        <f>DJ78+'User Input - Correlations'!L78</f>
        <v>0</v>
      </c>
      <c r="M78" s="263">
        <f>DK78+'User Input - Correlations'!M78</f>
        <v>0</v>
      </c>
      <c r="N78" s="263">
        <f>DL78+'User Input - Correlations'!N78</f>
        <v>0</v>
      </c>
      <c r="O78" s="263">
        <f>DM78+'User Input - Correlations'!O78</f>
        <v>0</v>
      </c>
      <c r="P78" s="263">
        <f>DN78+'User Input - Correlations'!P78</f>
        <v>0</v>
      </c>
      <c r="Q78" s="263">
        <f>DO78+'User Input - Correlations'!Q78</f>
        <v>0</v>
      </c>
      <c r="R78" s="263">
        <f>DP78+'User Input - Correlations'!R78</f>
        <v>0</v>
      </c>
      <c r="S78" s="263">
        <f>DQ78+'User Input - Correlations'!S78</f>
        <v>0</v>
      </c>
      <c r="T78" s="263">
        <f>DR78+'User Input - Correlations'!T78</f>
        <v>0</v>
      </c>
      <c r="U78" s="263">
        <f>DS78+'User Input - Correlations'!U78</f>
        <v>0</v>
      </c>
      <c r="V78" s="263">
        <f>DT78+'User Input - Correlations'!V78</f>
        <v>0</v>
      </c>
      <c r="W78" s="263">
        <f>DU78+'User Input - Correlations'!W78</f>
        <v>0</v>
      </c>
      <c r="X78" s="263">
        <f>DV78+'User Input - Correlations'!X78</f>
        <v>0</v>
      </c>
      <c r="Y78" s="263">
        <f>DW78+'User Input - Correlations'!Y78</f>
        <v>0</v>
      </c>
      <c r="Z78" s="263">
        <f>DX78+'User Input - Correlations'!Z78</f>
        <v>0</v>
      </c>
      <c r="AA78" s="263">
        <f>DY78+'User Input - Correlations'!AA78</f>
        <v>0</v>
      </c>
      <c r="AB78" s="263">
        <f>DZ78+'User Input - Correlations'!AB78</f>
        <v>0</v>
      </c>
      <c r="AC78" s="263">
        <f>EA78+'User Input - Correlations'!AC78</f>
        <v>0</v>
      </c>
      <c r="AD78" s="263">
        <f>EB78+'User Input - Correlations'!AD78</f>
        <v>0</v>
      </c>
      <c r="AE78" s="263">
        <f>EC78+'User Input - Correlations'!AE78</f>
        <v>0</v>
      </c>
      <c r="AF78" s="263">
        <f>ED78+'User Input - Correlations'!AF78</f>
        <v>0</v>
      </c>
      <c r="AG78" s="263">
        <f>EE78+'User Input - Correlations'!AG78</f>
        <v>0</v>
      </c>
      <c r="AH78" s="263">
        <f>EF78+'User Input - Correlations'!AH78</f>
        <v>0</v>
      </c>
      <c r="AI78" s="263">
        <f>EG78+'User Input - Correlations'!AI78</f>
        <v>0</v>
      </c>
      <c r="AJ78" s="263">
        <f>EH78+'User Input - Correlations'!AJ78</f>
        <v>0</v>
      </c>
      <c r="AK78" s="263">
        <f>EI78+'User Input - Correlations'!AK78</f>
        <v>0</v>
      </c>
      <c r="AL78" s="263">
        <f>EJ78+'User Input - Correlations'!AL78</f>
        <v>0</v>
      </c>
      <c r="AM78" s="263">
        <f>EK78+'User Input - Correlations'!AM78</f>
        <v>0</v>
      </c>
      <c r="AN78" s="263">
        <f>EL78+'User Input - Correlations'!AN78</f>
        <v>0</v>
      </c>
      <c r="AO78" s="263">
        <f>EM78+'User Input - Correlations'!AO78</f>
        <v>0</v>
      </c>
      <c r="AP78" s="263">
        <f>EN78+'User Input - Correlations'!AP78</f>
        <v>0</v>
      </c>
      <c r="AQ78" s="263">
        <f>EO78+'User Input - Correlations'!AQ78</f>
        <v>0</v>
      </c>
      <c r="AR78" s="263">
        <f>EP78+'User Input - Correlations'!AR78</f>
        <v>0</v>
      </c>
      <c r="AS78" s="263">
        <f>EQ78+'User Input - Correlations'!AS78</f>
        <v>0</v>
      </c>
      <c r="AT78" s="263">
        <f>ER78+'User Input - Correlations'!AT78</f>
        <v>0</v>
      </c>
      <c r="AU78" s="263">
        <f>ES78+'User Input - Correlations'!AU78</f>
        <v>0</v>
      </c>
      <c r="AV78" s="263">
        <f>ET78+'User Input - Correlations'!AV78</f>
        <v>0</v>
      </c>
      <c r="AW78" s="263">
        <f>EU78+'User Input - Correlations'!AW78</f>
        <v>0</v>
      </c>
      <c r="AX78" s="263">
        <f>EV78+'User Input - Correlations'!AX78</f>
        <v>0</v>
      </c>
      <c r="AY78" s="263">
        <f>EW78+'User Input - Correlations'!AY78</f>
        <v>0</v>
      </c>
      <c r="AZ78" s="263">
        <f>EX78+'User Input - Correlations'!AZ78</f>
        <v>0</v>
      </c>
      <c r="BA78" s="263">
        <f>EY78+'User Input - Correlations'!BA78</f>
        <v>0</v>
      </c>
      <c r="BB78" s="263">
        <f>EZ78+'User Input - Correlations'!BB78</f>
        <v>0</v>
      </c>
      <c r="BC78" s="263">
        <f>FA78+'User Input - Correlations'!BC78</f>
        <v>0</v>
      </c>
      <c r="BD78" s="263">
        <f>FB78+'User Input - Correlations'!BD78</f>
        <v>0</v>
      </c>
      <c r="BE78" s="263">
        <f>FC78+'User Input - Correlations'!BE78</f>
        <v>0</v>
      </c>
      <c r="BF78" s="263">
        <f>FD78+'User Input - Correlations'!BF78</f>
        <v>0</v>
      </c>
      <c r="BG78" s="263">
        <f>FE78+'User Input - Correlations'!BG78</f>
        <v>0</v>
      </c>
      <c r="BH78" s="263">
        <f>FF78+'User Input - Correlations'!BH78</f>
        <v>0</v>
      </c>
      <c r="BI78" s="263">
        <f>FG78+'User Input - Correlations'!BI78</f>
        <v>0</v>
      </c>
      <c r="BJ78" s="263">
        <f>FH78+'User Input - Correlations'!BJ78</f>
        <v>0</v>
      </c>
      <c r="BK78" s="263">
        <f>FI78+'User Input - Correlations'!BK78</f>
        <v>0</v>
      </c>
      <c r="BL78" s="263">
        <f>FJ78+'User Input - Correlations'!BL78</f>
        <v>0</v>
      </c>
      <c r="BM78" s="263">
        <f>FK78+'User Input - Correlations'!BM78</f>
        <v>0</v>
      </c>
      <c r="BN78" s="263">
        <f>FL78+'User Input - Correlations'!BN78</f>
        <v>0</v>
      </c>
      <c r="BO78" s="263">
        <f>FM78+'User Input - Correlations'!BO78</f>
        <v>0</v>
      </c>
      <c r="BP78" s="263">
        <f>FN78+'User Input - Correlations'!BP78</f>
        <v>0</v>
      </c>
      <c r="BQ78" s="263">
        <f>FO78+'User Input - Correlations'!BQ78</f>
        <v>0</v>
      </c>
      <c r="BR78" s="263">
        <v>1</v>
      </c>
      <c r="BS78" s="263">
        <f>FQ78+'User Input - Correlations'!BS78</f>
        <v>0</v>
      </c>
      <c r="BT78" s="263">
        <f>FR78+'User Input - Correlations'!BT78</f>
        <v>0</v>
      </c>
      <c r="BU78" s="263">
        <f>FS78+'User Input - Correlations'!BU78</f>
        <v>0</v>
      </c>
      <c r="BV78" s="263">
        <f>FT78+'User Input - Correlations'!BV78</f>
        <v>0</v>
      </c>
      <c r="BW78" s="263">
        <f>FU78+'User Input - Correlations'!BW78</f>
        <v>0</v>
      </c>
      <c r="BX78" s="263">
        <f>FV78+'User Input - Correlations'!BX78</f>
        <v>0</v>
      </c>
      <c r="BY78" s="263">
        <f>FW78+'User Input - Correlations'!BY78</f>
        <v>0</v>
      </c>
      <c r="BZ78" s="263">
        <f>FX78+'User Input - Correlations'!BZ78</f>
        <v>0</v>
      </c>
      <c r="CA78" s="263">
        <f>FY78+'User Input - Correlations'!CA78</f>
        <v>0</v>
      </c>
      <c r="CB78" s="263">
        <f>FZ78+'User Input - Correlations'!CB78</f>
        <v>0</v>
      </c>
      <c r="CC78" s="263">
        <f>GA78+'User Input - Correlations'!CC78</f>
        <v>0</v>
      </c>
      <c r="CD78" s="263">
        <f>GB78+'User Input - Correlations'!CD78</f>
        <v>0</v>
      </c>
      <c r="CE78" s="263">
        <f>GC78+'User Input - Correlations'!CE78</f>
        <v>0</v>
      </c>
      <c r="CF78" s="263">
        <f>GD78+'User Input - Correlations'!CF78</f>
        <v>0</v>
      </c>
      <c r="CG78" s="263">
        <f>GE78+'User Input - Correlations'!CG78</f>
        <v>0</v>
      </c>
      <c r="CH78" s="263">
        <f>GF78+'User Input - Correlations'!CH78</f>
        <v>0</v>
      </c>
      <c r="CI78" s="263">
        <f>GG78+'User Input - Correlations'!CI78</f>
        <v>0</v>
      </c>
      <c r="CJ78" s="263">
        <f>GH78+'User Input - Correlations'!CJ78</f>
        <v>0</v>
      </c>
      <c r="CK78" s="263">
        <f>GI78+'User Input - Correlations'!CK78</f>
        <v>0</v>
      </c>
      <c r="CL78" s="263">
        <f>GJ78+'User Input - Correlations'!CL78</f>
        <v>0</v>
      </c>
      <c r="CM78" s="263">
        <f>GK78+'User Input - Correlations'!CM78</f>
        <v>0</v>
      </c>
      <c r="CN78" s="263">
        <f>GL78+'User Input - Correlations'!CN78</f>
        <v>0</v>
      </c>
      <c r="CO78" s="263">
        <f>GM78+'User Input - Correlations'!CO78</f>
        <v>0</v>
      </c>
      <c r="CP78" s="264">
        <f>GN78+'User Input - Correlations'!CP78</f>
        <v>0</v>
      </c>
      <c r="CQ78" s="281">
        <f ca="1">MDETERM(OFFSET($C$11,0,0,ROWS($CQ$11:$CQ78),ROWS($CQ$11:$CQ78)))</f>
        <v>1</v>
      </c>
      <c r="DA78" s="263">
        <v>0</v>
      </c>
      <c r="DB78" s="263">
        <v>0</v>
      </c>
      <c r="DC78" s="263">
        <v>0</v>
      </c>
      <c r="DD78" s="263">
        <v>0</v>
      </c>
      <c r="DE78" s="263">
        <v>0</v>
      </c>
      <c r="DF78" s="263">
        <v>0</v>
      </c>
      <c r="DG78" s="263">
        <v>0</v>
      </c>
      <c r="DH78" s="263">
        <v>0</v>
      </c>
      <c r="DI78" s="263">
        <v>0</v>
      </c>
      <c r="DJ78" s="263">
        <v>0</v>
      </c>
      <c r="DK78" s="263">
        <v>0</v>
      </c>
      <c r="DL78" s="263">
        <v>0</v>
      </c>
      <c r="DM78" s="263">
        <v>0</v>
      </c>
      <c r="DN78" s="263">
        <v>0</v>
      </c>
      <c r="DO78" s="263">
        <v>0</v>
      </c>
      <c r="DP78" s="263">
        <v>0</v>
      </c>
      <c r="DQ78" s="263">
        <v>0</v>
      </c>
      <c r="DR78" s="263">
        <v>0</v>
      </c>
      <c r="DS78" s="263">
        <v>0</v>
      </c>
      <c r="DT78" s="263">
        <v>0</v>
      </c>
      <c r="DU78" s="263">
        <v>0</v>
      </c>
      <c r="DV78" s="263">
        <v>0</v>
      </c>
      <c r="DW78" s="263">
        <v>0</v>
      </c>
      <c r="DX78" s="263">
        <v>0</v>
      </c>
      <c r="DY78" s="263">
        <v>0</v>
      </c>
      <c r="DZ78" s="263">
        <v>0</v>
      </c>
      <c r="EA78" s="263">
        <v>0</v>
      </c>
      <c r="EB78" s="263">
        <v>0</v>
      </c>
      <c r="EC78" s="263">
        <v>0</v>
      </c>
      <c r="ED78" s="263">
        <v>0</v>
      </c>
      <c r="EE78" s="263">
        <v>0</v>
      </c>
      <c r="EF78" s="263">
        <v>0</v>
      </c>
      <c r="EG78" s="263">
        <v>0</v>
      </c>
      <c r="EH78" s="263">
        <v>0</v>
      </c>
      <c r="EI78" s="263">
        <v>0</v>
      </c>
      <c r="EJ78" s="263">
        <v>0</v>
      </c>
      <c r="EK78" s="263">
        <v>0</v>
      </c>
      <c r="EL78" s="263">
        <v>0</v>
      </c>
      <c r="EM78" s="263">
        <v>0</v>
      </c>
      <c r="EN78" s="263">
        <v>0</v>
      </c>
      <c r="EO78" s="263">
        <v>0</v>
      </c>
      <c r="EP78" s="263">
        <v>0</v>
      </c>
      <c r="EQ78" s="263">
        <v>0</v>
      </c>
      <c r="ER78" s="263">
        <v>0</v>
      </c>
      <c r="ES78" s="263">
        <v>0</v>
      </c>
      <c r="ET78" s="263">
        <v>0</v>
      </c>
      <c r="EU78" s="263">
        <v>0</v>
      </c>
      <c r="EV78" s="263">
        <v>0</v>
      </c>
      <c r="EW78" s="263">
        <v>0</v>
      </c>
      <c r="EX78" s="263">
        <v>0</v>
      </c>
      <c r="EY78" s="263">
        <v>0</v>
      </c>
      <c r="EZ78" s="263">
        <v>0</v>
      </c>
      <c r="FA78" s="263">
        <v>0</v>
      </c>
      <c r="FB78" s="263">
        <v>0</v>
      </c>
      <c r="FC78" s="263">
        <v>0</v>
      </c>
      <c r="FD78" s="263">
        <v>0</v>
      </c>
      <c r="FE78" s="263">
        <v>0</v>
      </c>
      <c r="FF78" s="263">
        <v>0</v>
      </c>
      <c r="FG78" s="263">
        <v>0</v>
      </c>
      <c r="FH78" s="263">
        <v>0</v>
      </c>
      <c r="FI78" s="263">
        <v>0</v>
      </c>
      <c r="FJ78" s="263">
        <v>0</v>
      </c>
      <c r="FK78" s="263">
        <v>0</v>
      </c>
      <c r="FL78" s="263">
        <v>0</v>
      </c>
      <c r="FM78" s="263">
        <v>0</v>
      </c>
      <c r="FN78" s="263">
        <v>0</v>
      </c>
      <c r="FO78" s="263">
        <v>0</v>
      </c>
      <c r="FP78" s="263">
        <v>1</v>
      </c>
      <c r="FQ78" s="263">
        <v>0</v>
      </c>
      <c r="FR78" s="263">
        <v>0</v>
      </c>
      <c r="FS78" s="263">
        <v>0</v>
      </c>
      <c r="FT78" s="263">
        <v>0</v>
      </c>
      <c r="FU78" s="263">
        <v>0</v>
      </c>
      <c r="FV78" s="263">
        <v>0</v>
      </c>
      <c r="FW78" s="263">
        <v>0</v>
      </c>
      <c r="FX78" s="263">
        <v>0</v>
      </c>
      <c r="FY78" s="263">
        <v>0</v>
      </c>
      <c r="FZ78" s="263">
        <v>0</v>
      </c>
      <c r="GA78" s="263">
        <v>0</v>
      </c>
      <c r="GB78" s="263">
        <v>0</v>
      </c>
      <c r="GC78" s="263">
        <v>0</v>
      </c>
      <c r="GD78" s="263">
        <v>0</v>
      </c>
      <c r="GE78" s="263">
        <v>0</v>
      </c>
      <c r="GF78" s="263">
        <v>0</v>
      </c>
      <c r="GG78" s="263">
        <v>0</v>
      </c>
      <c r="GH78" s="263">
        <v>0</v>
      </c>
      <c r="GI78" s="263">
        <v>0</v>
      </c>
      <c r="GJ78" s="263">
        <v>0</v>
      </c>
      <c r="GK78" s="263">
        <v>0</v>
      </c>
      <c r="GL78" s="263">
        <v>0</v>
      </c>
      <c r="GM78" s="263">
        <v>0</v>
      </c>
      <c r="GN78" s="263">
        <v>0</v>
      </c>
    </row>
    <row r="79" ht="12.75" customHeight="1">
      <c r="A79" s="287" t="s">
        <v>176</v>
      </c>
      <c r="B79" s="287" t="s">
        <v>83</v>
      </c>
      <c r="C79" s="263">
        <f>DA79+'User Input - Correlations'!C79</f>
        <v>0</v>
      </c>
      <c r="D79" s="263">
        <f>DB79+'User Input - Correlations'!D79</f>
        <v>0</v>
      </c>
      <c r="E79" s="263">
        <f>DC79+'User Input - Correlations'!E79</f>
        <v>0</v>
      </c>
      <c r="F79" s="263">
        <f>DD79+'User Input - Correlations'!F79</f>
        <v>0</v>
      </c>
      <c r="G79" s="263">
        <f>DE79+'User Input - Correlations'!G79</f>
        <v>0</v>
      </c>
      <c r="H79" s="263">
        <f>DF79+'User Input - Correlations'!H79</f>
        <v>0</v>
      </c>
      <c r="I79" s="263">
        <f>DG79+'User Input - Correlations'!I79</f>
        <v>0</v>
      </c>
      <c r="J79" s="263">
        <f>DH79+'User Input - Correlations'!J79</f>
        <v>0</v>
      </c>
      <c r="K79" s="263">
        <f>DI79+'User Input - Correlations'!K79</f>
        <v>0</v>
      </c>
      <c r="L79" s="263">
        <f>DJ79+'User Input - Correlations'!L79</f>
        <v>0</v>
      </c>
      <c r="M79" s="263">
        <f>DK79+'User Input - Correlations'!M79</f>
        <v>0</v>
      </c>
      <c r="N79" s="263">
        <f>DL79+'User Input - Correlations'!N79</f>
        <v>0</v>
      </c>
      <c r="O79" s="263">
        <f>DM79+'User Input - Correlations'!O79</f>
        <v>0</v>
      </c>
      <c r="P79" s="263">
        <f>DN79+'User Input - Correlations'!P79</f>
        <v>0</v>
      </c>
      <c r="Q79" s="263">
        <f>DO79+'User Input - Correlations'!Q79</f>
        <v>0</v>
      </c>
      <c r="R79" s="263">
        <f>DP79+'User Input - Correlations'!R79</f>
        <v>0</v>
      </c>
      <c r="S79" s="263">
        <f>DQ79+'User Input - Correlations'!S79</f>
        <v>0</v>
      </c>
      <c r="T79" s="263">
        <f>DR79+'User Input - Correlations'!T79</f>
        <v>0</v>
      </c>
      <c r="U79" s="263">
        <f>DS79+'User Input - Correlations'!U79</f>
        <v>0</v>
      </c>
      <c r="V79" s="263">
        <f>DT79+'User Input - Correlations'!V79</f>
        <v>0</v>
      </c>
      <c r="W79" s="263">
        <f>DU79+'User Input - Correlations'!W79</f>
        <v>0</v>
      </c>
      <c r="X79" s="263">
        <f>DV79+'User Input - Correlations'!X79</f>
        <v>0</v>
      </c>
      <c r="Y79" s="263">
        <f>DW79+'User Input - Correlations'!Y79</f>
        <v>0</v>
      </c>
      <c r="Z79" s="263">
        <f>DX79+'User Input - Correlations'!Z79</f>
        <v>0</v>
      </c>
      <c r="AA79" s="263">
        <f>DY79+'User Input - Correlations'!AA79</f>
        <v>0</v>
      </c>
      <c r="AB79" s="263">
        <f>DZ79+'User Input - Correlations'!AB79</f>
        <v>0</v>
      </c>
      <c r="AC79" s="263">
        <f>EA79+'User Input - Correlations'!AC79</f>
        <v>0</v>
      </c>
      <c r="AD79" s="263">
        <f>EB79+'User Input - Correlations'!AD79</f>
        <v>0</v>
      </c>
      <c r="AE79" s="263">
        <f>EC79+'User Input - Correlations'!AE79</f>
        <v>0</v>
      </c>
      <c r="AF79" s="263">
        <f>ED79+'User Input - Correlations'!AF79</f>
        <v>0</v>
      </c>
      <c r="AG79" s="263">
        <f>EE79+'User Input - Correlations'!AG79</f>
        <v>0</v>
      </c>
      <c r="AH79" s="263">
        <f>EF79+'User Input - Correlations'!AH79</f>
        <v>0</v>
      </c>
      <c r="AI79" s="263">
        <f>EG79+'User Input - Correlations'!AI79</f>
        <v>0</v>
      </c>
      <c r="AJ79" s="263">
        <f>EH79+'User Input - Correlations'!AJ79</f>
        <v>0</v>
      </c>
      <c r="AK79" s="263">
        <f>EI79+'User Input - Correlations'!AK79</f>
        <v>0</v>
      </c>
      <c r="AL79" s="263">
        <f>EJ79+'User Input - Correlations'!AL79</f>
        <v>0</v>
      </c>
      <c r="AM79" s="263">
        <f>EK79+'User Input - Correlations'!AM79</f>
        <v>0</v>
      </c>
      <c r="AN79" s="263">
        <f>EL79+'User Input - Correlations'!AN79</f>
        <v>0</v>
      </c>
      <c r="AO79" s="263">
        <f>EM79+'User Input - Correlations'!AO79</f>
        <v>0</v>
      </c>
      <c r="AP79" s="263">
        <f>EN79+'User Input - Correlations'!AP79</f>
        <v>0</v>
      </c>
      <c r="AQ79" s="263">
        <f>EO79+'User Input - Correlations'!AQ79</f>
        <v>0</v>
      </c>
      <c r="AR79" s="263">
        <f>EP79+'User Input - Correlations'!AR79</f>
        <v>0</v>
      </c>
      <c r="AS79" s="263">
        <f>EQ79+'User Input - Correlations'!AS79</f>
        <v>0</v>
      </c>
      <c r="AT79" s="263">
        <f>ER79+'User Input - Correlations'!AT79</f>
        <v>0</v>
      </c>
      <c r="AU79" s="263">
        <f>ES79+'User Input - Correlations'!AU79</f>
        <v>0</v>
      </c>
      <c r="AV79" s="263">
        <f>ET79+'User Input - Correlations'!AV79</f>
        <v>0</v>
      </c>
      <c r="AW79" s="263">
        <f>EU79+'User Input - Correlations'!AW79</f>
        <v>0</v>
      </c>
      <c r="AX79" s="263">
        <f>EV79+'User Input - Correlations'!AX79</f>
        <v>0</v>
      </c>
      <c r="AY79" s="263">
        <f>EW79+'User Input - Correlations'!AY79</f>
        <v>0</v>
      </c>
      <c r="AZ79" s="263">
        <f>EX79+'User Input - Correlations'!AZ79</f>
        <v>0</v>
      </c>
      <c r="BA79" s="263">
        <f>EY79+'User Input - Correlations'!BA79</f>
        <v>0</v>
      </c>
      <c r="BB79" s="263">
        <f>EZ79+'User Input - Correlations'!BB79</f>
        <v>0</v>
      </c>
      <c r="BC79" s="263">
        <f>FA79+'User Input - Correlations'!BC79</f>
        <v>0</v>
      </c>
      <c r="BD79" s="263">
        <f>FB79+'User Input - Correlations'!BD79</f>
        <v>0</v>
      </c>
      <c r="BE79" s="263">
        <f>FC79+'User Input - Correlations'!BE79</f>
        <v>0</v>
      </c>
      <c r="BF79" s="263">
        <f>FD79+'User Input - Correlations'!BF79</f>
        <v>0</v>
      </c>
      <c r="BG79" s="263">
        <f>FE79+'User Input - Correlations'!BG79</f>
        <v>0</v>
      </c>
      <c r="BH79" s="263">
        <f>FF79+'User Input - Correlations'!BH79</f>
        <v>0</v>
      </c>
      <c r="BI79" s="263">
        <f>FG79+'User Input - Correlations'!BI79</f>
        <v>0</v>
      </c>
      <c r="BJ79" s="263">
        <f>FH79+'User Input - Correlations'!BJ79</f>
        <v>0</v>
      </c>
      <c r="BK79" s="263">
        <f>FI79+'User Input - Correlations'!BK79</f>
        <v>0</v>
      </c>
      <c r="BL79" s="263">
        <f>FJ79+'User Input - Correlations'!BL79</f>
        <v>0</v>
      </c>
      <c r="BM79" s="263">
        <f>FK79+'User Input - Correlations'!BM79</f>
        <v>0</v>
      </c>
      <c r="BN79" s="263">
        <f>FL79+'User Input - Correlations'!BN79</f>
        <v>0</v>
      </c>
      <c r="BO79" s="263">
        <f>FM79+'User Input - Correlations'!BO79</f>
        <v>0</v>
      </c>
      <c r="BP79" s="263">
        <f>FN79+'User Input - Correlations'!BP79</f>
        <v>0</v>
      </c>
      <c r="BQ79" s="263">
        <f>FO79+'User Input - Correlations'!BQ79</f>
        <v>0</v>
      </c>
      <c r="BR79" s="263">
        <f>FP79+'User Input - Correlations'!BR79</f>
        <v>0</v>
      </c>
      <c r="BS79" s="263">
        <v>1</v>
      </c>
      <c r="BT79" s="263">
        <f>FR79+'User Input - Correlations'!BT79</f>
        <v>0</v>
      </c>
      <c r="BU79" s="263">
        <f>FS79+'User Input - Correlations'!BU79</f>
        <v>0</v>
      </c>
      <c r="BV79" s="263">
        <f>FT79+'User Input - Correlations'!BV79</f>
        <v>0</v>
      </c>
      <c r="BW79" s="263">
        <f>FU79+'User Input - Correlations'!BW79</f>
        <v>0</v>
      </c>
      <c r="BX79" s="263">
        <f>FV79+'User Input - Correlations'!BX79</f>
        <v>0</v>
      </c>
      <c r="BY79" s="263">
        <f>FW79+'User Input - Correlations'!BY79</f>
        <v>0</v>
      </c>
      <c r="BZ79" s="263">
        <f>FX79+'User Input - Correlations'!BZ79</f>
        <v>0</v>
      </c>
      <c r="CA79" s="263">
        <f>FY79+'User Input - Correlations'!CA79</f>
        <v>0</v>
      </c>
      <c r="CB79" s="263">
        <f>FZ79+'User Input - Correlations'!CB79</f>
        <v>0</v>
      </c>
      <c r="CC79" s="263">
        <f>GA79+'User Input - Correlations'!CC79</f>
        <v>0</v>
      </c>
      <c r="CD79" s="263">
        <f>GB79+'User Input - Correlations'!CD79</f>
        <v>0</v>
      </c>
      <c r="CE79" s="263">
        <f>GC79+'User Input - Correlations'!CE79</f>
        <v>0</v>
      </c>
      <c r="CF79" s="263">
        <f>GD79+'User Input - Correlations'!CF79</f>
        <v>0</v>
      </c>
      <c r="CG79" s="263">
        <f>GE79+'User Input - Correlations'!CG79</f>
        <v>0</v>
      </c>
      <c r="CH79" s="263">
        <f>GF79+'User Input - Correlations'!CH79</f>
        <v>0</v>
      </c>
      <c r="CI79" s="263">
        <f>GG79+'User Input - Correlations'!CI79</f>
        <v>0</v>
      </c>
      <c r="CJ79" s="263">
        <f>GH79+'User Input - Correlations'!CJ79</f>
        <v>0</v>
      </c>
      <c r="CK79" s="263">
        <f>GI79+'User Input - Correlations'!CK79</f>
        <v>0</v>
      </c>
      <c r="CL79" s="263">
        <f>GJ79+'User Input - Correlations'!CL79</f>
        <v>0</v>
      </c>
      <c r="CM79" s="263">
        <f>GK79+'User Input - Correlations'!CM79</f>
        <v>0</v>
      </c>
      <c r="CN79" s="263">
        <f>GL79+'User Input - Correlations'!CN79</f>
        <v>0</v>
      </c>
      <c r="CO79" s="263">
        <f>GM79+'User Input - Correlations'!CO79</f>
        <v>0</v>
      </c>
      <c r="CP79" s="264">
        <f>GN79+'User Input - Correlations'!CP79</f>
        <v>0</v>
      </c>
      <c r="CQ79" s="281">
        <f ca="1">MDETERM(OFFSET($C$11,0,0,ROWS($CQ$11:$CQ79),ROWS($CQ$11:$CQ79)))</f>
        <v>1</v>
      </c>
      <c r="DA79" s="263">
        <v>0</v>
      </c>
      <c r="DB79" s="263">
        <v>0</v>
      </c>
      <c r="DC79" s="263">
        <v>0</v>
      </c>
      <c r="DD79" s="263">
        <v>0</v>
      </c>
      <c r="DE79" s="263">
        <v>0</v>
      </c>
      <c r="DF79" s="263">
        <v>0</v>
      </c>
      <c r="DG79" s="263">
        <v>0</v>
      </c>
      <c r="DH79" s="263">
        <v>0</v>
      </c>
      <c r="DI79" s="263">
        <v>0</v>
      </c>
      <c r="DJ79" s="263">
        <v>0</v>
      </c>
      <c r="DK79" s="263">
        <v>0</v>
      </c>
      <c r="DL79" s="263">
        <v>0</v>
      </c>
      <c r="DM79" s="263">
        <v>0</v>
      </c>
      <c r="DN79" s="263">
        <v>0</v>
      </c>
      <c r="DO79" s="263">
        <v>0</v>
      </c>
      <c r="DP79" s="263">
        <v>0</v>
      </c>
      <c r="DQ79" s="263">
        <v>0</v>
      </c>
      <c r="DR79" s="263">
        <v>0</v>
      </c>
      <c r="DS79" s="263">
        <v>0</v>
      </c>
      <c r="DT79" s="263">
        <v>0</v>
      </c>
      <c r="DU79" s="263">
        <v>0</v>
      </c>
      <c r="DV79" s="263">
        <v>0</v>
      </c>
      <c r="DW79" s="263">
        <v>0</v>
      </c>
      <c r="DX79" s="263">
        <v>0</v>
      </c>
      <c r="DY79" s="263">
        <v>0</v>
      </c>
      <c r="DZ79" s="263">
        <v>0</v>
      </c>
      <c r="EA79" s="263">
        <v>0</v>
      </c>
      <c r="EB79" s="263">
        <v>0</v>
      </c>
      <c r="EC79" s="263">
        <v>0</v>
      </c>
      <c r="ED79" s="263">
        <v>0</v>
      </c>
      <c r="EE79" s="263">
        <v>0</v>
      </c>
      <c r="EF79" s="263">
        <v>0</v>
      </c>
      <c r="EG79" s="263">
        <v>0</v>
      </c>
      <c r="EH79" s="263">
        <v>0</v>
      </c>
      <c r="EI79" s="263">
        <v>0</v>
      </c>
      <c r="EJ79" s="263">
        <v>0</v>
      </c>
      <c r="EK79" s="263">
        <v>0</v>
      </c>
      <c r="EL79" s="263">
        <v>0</v>
      </c>
      <c r="EM79" s="263">
        <v>0</v>
      </c>
      <c r="EN79" s="263">
        <v>0</v>
      </c>
      <c r="EO79" s="263">
        <v>0</v>
      </c>
      <c r="EP79" s="263">
        <v>0</v>
      </c>
      <c r="EQ79" s="263">
        <v>0</v>
      </c>
      <c r="ER79" s="263">
        <v>0</v>
      </c>
      <c r="ES79" s="263">
        <v>0</v>
      </c>
      <c r="ET79" s="263">
        <v>0</v>
      </c>
      <c r="EU79" s="263">
        <v>0</v>
      </c>
      <c r="EV79" s="263">
        <v>0</v>
      </c>
      <c r="EW79" s="263">
        <v>0</v>
      </c>
      <c r="EX79" s="263">
        <v>0</v>
      </c>
      <c r="EY79" s="263">
        <v>0</v>
      </c>
      <c r="EZ79" s="263">
        <v>0</v>
      </c>
      <c r="FA79" s="263">
        <v>0</v>
      </c>
      <c r="FB79" s="263">
        <v>0</v>
      </c>
      <c r="FC79" s="263">
        <v>0</v>
      </c>
      <c r="FD79" s="263">
        <v>0</v>
      </c>
      <c r="FE79" s="263">
        <v>0</v>
      </c>
      <c r="FF79" s="263">
        <v>0</v>
      </c>
      <c r="FG79" s="263">
        <v>0</v>
      </c>
      <c r="FH79" s="263">
        <v>0</v>
      </c>
      <c r="FI79" s="263">
        <v>0</v>
      </c>
      <c r="FJ79" s="263">
        <v>0</v>
      </c>
      <c r="FK79" s="263">
        <v>0</v>
      </c>
      <c r="FL79" s="263">
        <v>0</v>
      </c>
      <c r="FM79" s="263">
        <v>0</v>
      </c>
      <c r="FN79" s="263">
        <v>0</v>
      </c>
      <c r="FO79" s="263">
        <v>0</v>
      </c>
      <c r="FP79" s="263">
        <v>0</v>
      </c>
      <c r="FQ79" s="263">
        <v>1</v>
      </c>
      <c r="FR79" s="263">
        <v>0</v>
      </c>
      <c r="FS79" s="263">
        <v>0</v>
      </c>
      <c r="FT79" s="263">
        <v>0</v>
      </c>
      <c r="FU79" s="263">
        <v>0</v>
      </c>
      <c r="FV79" s="263">
        <v>0</v>
      </c>
      <c r="FW79" s="263">
        <v>0</v>
      </c>
      <c r="FX79" s="263">
        <v>0</v>
      </c>
      <c r="FY79" s="263">
        <v>0</v>
      </c>
      <c r="FZ79" s="263">
        <v>0</v>
      </c>
      <c r="GA79" s="263">
        <v>0</v>
      </c>
      <c r="GB79" s="263">
        <v>0</v>
      </c>
      <c r="GC79" s="263">
        <v>0</v>
      </c>
      <c r="GD79" s="263">
        <v>0</v>
      </c>
      <c r="GE79" s="263">
        <v>0</v>
      </c>
      <c r="GF79" s="263">
        <v>0</v>
      </c>
      <c r="GG79" s="263">
        <v>0</v>
      </c>
      <c r="GH79" s="263">
        <v>0</v>
      </c>
      <c r="GI79" s="263">
        <v>0</v>
      </c>
      <c r="GJ79" s="263">
        <v>0</v>
      </c>
      <c r="GK79" s="263">
        <v>0</v>
      </c>
      <c r="GL79" s="263">
        <v>0</v>
      </c>
      <c r="GM79" s="263">
        <v>0</v>
      </c>
      <c r="GN79" s="263">
        <v>0</v>
      </c>
    </row>
    <row r="80" ht="12.75" customHeight="1">
      <c r="A80" s="287" t="s">
        <v>177</v>
      </c>
      <c r="B80" s="287" t="s">
        <v>83</v>
      </c>
      <c r="C80" s="263">
        <f>DA80+'User Input - Correlations'!C80</f>
        <v>0</v>
      </c>
      <c r="D80" s="263">
        <f>DB80+'User Input - Correlations'!D80</f>
        <v>0</v>
      </c>
      <c r="E80" s="263">
        <f>DC80+'User Input - Correlations'!E80</f>
        <v>0</v>
      </c>
      <c r="F80" s="263">
        <f>DD80+'User Input - Correlations'!F80</f>
        <v>0</v>
      </c>
      <c r="G80" s="263">
        <f>DE80+'User Input - Correlations'!G80</f>
        <v>0</v>
      </c>
      <c r="H80" s="263">
        <f>DF80+'User Input - Correlations'!H80</f>
        <v>0</v>
      </c>
      <c r="I80" s="263">
        <f>DG80+'User Input - Correlations'!I80</f>
        <v>0</v>
      </c>
      <c r="J80" s="263">
        <f>DH80+'User Input - Correlations'!J80</f>
        <v>0</v>
      </c>
      <c r="K80" s="263">
        <f>DI80+'User Input - Correlations'!K80</f>
        <v>0</v>
      </c>
      <c r="L80" s="263">
        <f>DJ80+'User Input - Correlations'!L80</f>
        <v>0</v>
      </c>
      <c r="M80" s="263">
        <f>DK80+'User Input - Correlations'!M80</f>
        <v>0</v>
      </c>
      <c r="N80" s="263">
        <f>DL80+'User Input - Correlations'!N80</f>
        <v>0</v>
      </c>
      <c r="O80" s="263">
        <f>DM80+'User Input - Correlations'!O80</f>
        <v>0</v>
      </c>
      <c r="P80" s="263">
        <f>DN80+'User Input - Correlations'!P80</f>
        <v>0</v>
      </c>
      <c r="Q80" s="263">
        <f>DO80+'User Input - Correlations'!Q80</f>
        <v>0</v>
      </c>
      <c r="R80" s="263">
        <f>DP80+'User Input - Correlations'!R80</f>
        <v>0</v>
      </c>
      <c r="S80" s="263">
        <f>DQ80+'User Input - Correlations'!S80</f>
        <v>0</v>
      </c>
      <c r="T80" s="263">
        <f>DR80+'User Input - Correlations'!T80</f>
        <v>0</v>
      </c>
      <c r="U80" s="263">
        <f>DS80+'User Input - Correlations'!U80</f>
        <v>0</v>
      </c>
      <c r="V80" s="263">
        <f>DT80+'User Input - Correlations'!V80</f>
        <v>0</v>
      </c>
      <c r="W80" s="263">
        <f>DU80+'User Input - Correlations'!W80</f>
        <v>0</v>
      </c>
      <c r="X80" s="263">
        <f>DV80+'User Input - Correlations'!X80</f>
        <v>0</v>
      </c>
      <c r="Y80" s="263">
        <f>DW80+'User Input - Correlations'!Y80</f>
        <v>0</v>
      </c>
      <c r="Z80" s="263">
        <f>DX80+'User Input - Correlations'!Z80</f>
        <v>0</v>
      </c>
      <c r="AA80" s="263">
        <f>DY80+'User Input - Correlations'!AA80</f>
        <v>0</v>
      </c>
      <c r="AB80" s="263">
        <f>DZ80+'User Input - Correlations'!AB80</f>
        <v>0</v>
      </c>
      <c r="AC80" s="263">
        <f>EA80+'User Input - Correlations'!AC80</f>
        <v>0</v>
      </c>
      <c r="AD80" s="263">
        <f>EB80+'User Input - Correlations'!AD80</f>
        <v>0</v>
      </c>
      <c r="AE80" s="263">
        <f>EC80+'User Input - Correlations'!AE80</f>
        <v>0</v>
      </c>
      <c r="AF80" s="263">
        <f>ED80+'User Input - Correlations'!AF80</f>
        <v>0</v>
      </c>
      <c r="AG80" s="263">
        <f>EE80+'User Input - Correlations'!AG80</f>
        <v>0</v>
      </c>
      <c r="AH80" s="263">
        <f>EF80+'User Input - Correlations'!AH80</f>
        <v>0</v>
      </c>
      <c r="AI80" s="263">
        <f>EG80+'User Input - Correlations'!AI80</f>
        <v>0</v>
      </c>
      <c r="AJ80" s="263">
        <f>EH80+'User Input - Correlations'!AJ80</f>
        <v>0</v>
      </c>
      <c r="AK80" s="263">
        <f>EI80+'User Input - Correlations'!AK80</f>
        <v>0</v>
      </c>
      <c r="AL80" s="263">
        <f>EJ80+'User Input - Correlations'!AL80</f>
        <v>0</v>
      </c>
      <c r="AM80" s="263">
        <f>EK80+'User Input - Correlations'!AM80</f>
        <v>0</v>
      </c>
      <c r="AN80" s="263">
        <f>EL80+'User Input - Correlations'!AN80</f>
        <v>0</v>
      </c>
      <c r="AO80" s="263">
        <f>EM80+'User Input - Correlations'!AO80</f>
        <v>0</v>
      </c>
      <c r="AP80" s="263">
        <f>EN80+'User Input - Correlations'!AP80</f>
        <v>0</v>
      </c>
      <c r="AQ80" s="263">
        <f>EO80+'User Input - Correlations'!AQ80</f>
        <v>0</v>
      </c>
      <c r="AR80" s="263">
        <f>EP80+'User Input - Correlations'!AR80</f>
        <v>0</v>
      </c>
      <c r="AS80" s="263">
        <f>EQ80+'User Input - Correlations'!AS80</f>
        <v>0</v>
      </c>
      <c r="AT80" s="263">
        <f>ER80+'User Input - Correlations'!AT80</f>
        <v>0</v>
      </c>
      <c r="AU80" s="263">
        <f>ES80+'User Input - Correlations'!AU80</f>
        <v>0</v>
      </c>
      <c r="AV80" s="263">
        <f>ET80+'User Input - Correlations'!AV80</f>
        <v>0</v>
      </c>
      <c r="AW80" s="263">
        <f>EU80+'User Input - Correlations'!AW80</f>
        <v>0</v>
      </c>
      <c r="AX80" s="263">
        <f>EV80+'User Input - Correlations'!AX80</f>
        <v>0</v>
      </c>
      <c r="AY80" s="263">
        <f>EW80+'User Input - Correlations'!AY80</f>
        <v>0</v>
      </c>
      <c r="AZ80" s="263">
        <f>EX80+'User Input - Correlations'!AZ80</f>
        <v>0</v>
      </c>
      <c r="BA80" s="263">
        <f>EY80+'User Input - Correlations'!BA80</f>
        <v>0</v>
      </c>
      <c r="BB80" s="263">
        <f>EZ80+'User Input - Correlations'!BB80</f>
        <v>0</v>
      </c>
      <c r="BC80" s="263">
        <f>FA80+'User Input - Correlations'!BC80</f>
        <v>0</v>
      </c>
      <c r="BD80" s="263">
        <f>FB80+'User Input - Correlations'!BD80</f>
        <v>0</v>
      </c>
      <c r="BE80" s="263">
        <f>FC80+'User Input - Correlations'!BE80</f>
        <v>0</v>
      </c>
      <c r="BF80" s="263">
        <f>FD80+'User Input - Correlations'!BF80</f>
        <v>0</v>
      </c>
      <c r="BG80" s="263">
        <f>FE80+'User Input - Correlations'!BG80</f>
        <v>0</v>
      </c>
      <c r="BH80" s="263">
        <f>FF80+'User Input - Correlations'!BH80</f>
        <v>0</v>
      </c>
      <c r="BI80" s="263">
        <f>FG80+'User Input - Correlations'!BI80</f>
        <v>0</v>
      </c>
      <c r="BJ80" s="263">
        <f>FH80+'User Input - Correlations'!BJ80</f>
        <v>0</v>
      </c>
      <c r="BK80" s="263">
        <f>FI80+'User Input - Correlations'!BK80</f>
        <v>0</v>
      </c>
      <c r="BL80" s="263">
        <f>FJ80+'User Input - Correlations'!BL80</f>
        <v>0</v>
      </c>
      <c r="BM80" s="263">
        <f>FK80+'User Input - Correlations'!BM80</f>
        <v>0</v>
      </c>
      <c r="BN80" s="263">
        <f>FL80+'User Input - Correlations'!BN80</f>
        <v>0</v>
      </c>
      <c r="BO80" s="263">
        <f>FM80+'User Input - Correlations'!BO80</f>
        <v>0</v>
      </c>
      <c r="BP80" s="263">
        <f>FN80+'User Input - Correlations'!BP80</f>
        <v>0</v>
      </c>
      <c r="BQ80" s="263">
        <f>FO80+'User Input - Correlations'!BQ80</f>
        <v>0</v>
      </c>
      <c r="BR80" s="263">
        <f>FP80+'User Input - Correlations'!BR80</f>
        <v>0</v>
      </c>
      <c r="BS80" s="263">
        <f>FQ80+'User Input - Correlations'!BS80</f>
        <v>0</v>
      </c>
      <c r="BT80" s="263">
        <v>1</v>
      </c>
      <c r="BU80" s="263">
        <f>FS80+'User Input - Correlations'!BU80</f>
        <v>0</v>
      </c>
      <c r="BV80" s="263">
        <f>FT80+'User Input - Correlations'!BV80</f>
        <v>0</v>
      </c>
      <c r="BW80" s="263">
        <f>FU80+'User Input - Correlations'!BW80</f>
        <v>0</v>
      </c>
      <c r="BX80" s="263">
        <f>FV80+'User Input - Correlations'!BX80</f>
        <v>0</v>
      </c>
      <c r="BY80" s="263">
        <f>FW80+'User Input - Correlations'!BY80</f>
        <v>0</v>
      </c>
      <c r="BZ80" s="263">
        <f>FX80+'User Input - Correlations'!BZ80</f>
        <v>0</v>
      </c>
      <c r="CA80" s="263">
        <f>FY80+'User Input - Correlations'!CA80</f>
        <v>0</v>
      </c>
      <c r="CB80" s="263">
        <f>FZ80+'User Input - Correlations'!CB80</f>
        <v>0</v>
      </c>
      <c r="CC80" s="263">
        <f>GA80+'User Input - Correlations'!CC80</f>
        <v>0</v>
      </c>
      <c r="CD80" s="263">
        <f>GB80+'User Input - Correlations'!CD80</f>
        <v>0</v>
      </c>
      <c r="CE80" s="263">
        <f>GC80+'User Input - Correlations'!CE80</f>
        <v>0</v>
      </c>
      <c r="CF80" s="263">
        <f>GD80+'User Input - Correlations'!CF80</f>
        <v>0</v>
      </c>
      <c r="CG80" s="263">
        <f>GE80+'User Input - Correlations'!CG80</f>
        <v>0</v>
      </c>
      <c r="CH80" s="263">
        <f>GF80+'User Input - Correlations'!CH80</f>
        <v>0</v>
      </c>
      <c r="CI80" s="263">
        <f>GG80+'User Input - Correlations'!CI80</f>
        <v>0</v>
      </c>
      <c r="CJ80" s="263">
        <f>GH80+'User Input - Correlations'!CJ80</f>
        <v>0</v>
      </c>
      <c r="CK80" s="263">
        <f>GI80+'User Input - Correlations'!CK80</f>
        <v>0</v>
      </c>
      <c r="CL80" s="263">
        <f>GJ80+'User Input - Correlations'!CL80</f>
        <v>0</v>
      </c>
      <c r="CM80" s="263">
        <f>GK80+'User Input - Correlations'!CM80</f>
        <v>0</v>
      </c>
      <c r="CN80" s="263">
        <f>GL80+'User Input - Correlations'!CN80</f>
        <v>0</v>
      </c>
      <c r="CO80" s="263">
        <f>GM80+'User Input - Correlations'!CO80</f>
        <v>0</v>
      </c>
      <c r="CP80" s="264">
        <f>GN80+'User Input - Correlations'!CP80</f>
        <v>0</v>
      </c>
      <c r="CQ80" s="281">
        <f ca="1">MDETERM(OFFSET($C$11,0,0,ROWS($CQ$11:$CQ80),ROWS($CQ$11:$CQ80)))</f>
        <v>1</v>
      </c>
      <c r="DA80" s="263">
        <v>0</v>
      </c>
      <c r="DB80" s="263">
        <v>0</v>
      </c>
      <c r="DC80" s="263">
        <v>0</v>
      </c>
      <c r="DD80" s="263">
        <v>0</v>
      </c>
      <c r="DE80" s="263">
        <v>0</v>
      </c>
      <c r="DF80" s="263">
        <v>0</v>
      </c>
      <c r="DG80" s="263">
        <v>0</v>
      </c>
      <c r="DH80" s="263">
        <v>0</v>
      </c>
      <c r="DI80" s="263">
        <v>0</v>
      </c>
      <c r="DJ80" s="263">
        <v>0</v>
      </c>
      <c r="DK80" s="263">
        <v>0</v>
      </c>
      <c r="DL80" s="263">
        <v>0</v>
      </c>
      <c r="DM80" s="263">
        <v>0</v>
      </c>
      <c r="DN80" s="263">
        <v>0</v>
      </c>
      <c r="DO80" s="263">
        <v>0</v>
      </c>
      <c r="DP80" s="263">
        <v>0</v>
      </c>
      <c r="DQ80" s="263">
        <v>0</v>
      </c>
      <c r="DR80" s="263">
        <v>0</v>
      </c>
      <c r="DS80" s="263">
        <v>0</v>
      </c>
      <c r="DT80" s="263">
        <v>0</v>
      </c>
      <c r="DU80" s="263">
        <v>0</v>
      </c>
      <c r="DV80" s="263">
        <v>0</v>
      </c>
      <c r="DW80" s="263">
        <v>0</v>
      </c>
      <c r="DX80" s="263">
        <v>0</v>
      </c>
      <c r="DY80" s="263">
        <v>0</v>
      </c>
      <c r="DZ80" s="263">
        <v>0</v>
      </c>
      <c r="EA80" s="263">
        <v>0</v>
      </c>
      <c r="EB80" s="263">
        <v>0</v>
      </c>
      <c r="EC80" s="263">
        <v>0</v>
      </c>
      <c r="ED80" s="263">
        <v>0</v>
      </c>
      <c r="EE80" s="263">
        <v>0</v>
      </c>
      <c r="EF80" s="263">
        <v>0</v>
      </c>
      <c r="EG80" s="263">
        <v>0</v>
      </c>
      <c r="EH80" s="263">
        <v>0</v>
      </c>
      <c r="EI80" s="263">
        <v>0</v>
      </c>
      <c r="EJ80" s="263">
        <v>0</v>
      </c>
      <c r="EK80" s="263">
        <v>0</v>
      </c>
      <c r="EL80" s="263">
        <v>0</v>
      </c>
      <c r="EM80" s="263">
        <v>0</v>
      </c>
      <c r="EN80" s="263">
        <v>0</v>
      </c>
      <c r="EO80" s="263">
        <v>0</v>
      </c>
      <c r="EP80" s="263">
        <v>0</v>
      </c>
      <c r="EQ80" s="263">
        <v>0</v>
      </c>
      <c r="ER80" s="263">
        <v>0</v>
      </c>
      <c r="ES80" s="263">
        <v>0</v>
      </c>
      <c r="ET80" s="263">
        <v>0</v>
      </c>
      <c r="EU80" s="263">
        <v>0</v>
      </c>
      <c r="EV80" s="263">
        <v>0</v>
      </c>
      <c r="EW80" s="263">
        <v>0</v>
      </c>
      <c r="EX80" s="263">
        <v>0</v>
      </c>
      <c r="EY80" s="263">
        <v>0</v>
      </c>
      <c r="EZ80" s="263">
        <v>0</v>
      </c>
      <c r="FA80" s="263">
        <v>0</v>
      </c>
      <c r="FB80" s="263">
        <v>0</v>
      </c>
      <c r="FC80" s="263">
        <v>0</v>
      </c>
      <c r="FD80" s="263">
        <v>0</v>
      </c>
      <c r="FE80" s="263">
        <v>0</v>
      </c>
      <c r="FF80" s="263">
        <v>0</v>
      </c>
      <c r="FG80" s="263">
        <v>0</v>
      </c>
      <c r="FH80" s="263">
        <v>0</v>
      </c>
      <c r="FI80" s="263">
        <v>0</v>
      </c>
      <c r="FJ80" s="263">
        <v>0</v>
      </c>
      <c r="FK80" s="263">
        <v>0</v>
      </c>
      <c r="FL80" s="263">
        <v>0</v>
      </c>
      <c r="FM80" s="263">
        <v>0</v>
      </c>
      <c r="FN80" s="263">
        <v>0</v>
      </c>
      <c r="FO80" s="263">
        <v>0</v>
      </c>
      <c r="FP80" s="263">
        <v>0</v>
      </c>
      <c r="FQ80" s="263">
        <v>0</v>
      </c>
      <c r="FR80" s="263">
        <v>1</v>
      </c>
      <c r="FS80" s="263">
        <v>0</v>
      </c>
      <c r="FT80" s="263">
        <v>0</v>
      </c>
      <c r="FU80" s="263">
        <v>0</v>
      </c>
      <c r="FV80" s="263">
        <v>0</v>
      </c>
      <c r="FW80" s="263">
        <v>0</v>
      </c>
      <c r="FX80" s="263">
        <v>0</v>
      </c>
      <c r="FY80" s="263">
        <v>0</v>
      </c>
      <c r="FZ80" s="263">
        <v>0</v>
      </c>
      <c r="GA80" s="263">
        <v>0</v>
      </c>
      <c r="GB80" s="263">
        <v>0</v>
      </c>
      <c r="GC80" s="263">
        <v>0</v>
      </c>
      <c r="GD80" s="263">
        <v>0</v>
      </c>
      <c r="GE80" s="263">
        <v>0</v>
      </c>
      <c r="GF80" s="263">
        <v>0</v>
      </c>
      <c r="GG80" s="263">
        <v>0</v>
      </c>
      <c r="GH80" s="263">
        <v>0</v>
      </c>
      <c r="GI80" s="263">
        <v>0</v>
      </c>
      <c r="GJ80" s="263">
        <v>0</v>
      </c>
      <c r="GK80" s="263">
        <v>0</v>
      </c>
      <c r="GL80" s="263">
        <v>0</v>
      </c>
      <c r="GM80" s="263">
        <v>0</v>
      </c>
      <c r="GN80" s="263">
        <v>0</v>
      </c>
    </row>
    <row r="81" ht="12.75" customHeight="1">
      <c r="A81" s="287" t="s">
        <v>179</v>
      </c>
      <c r="B81" s="287" t="s">
        <v>83</v>
      </c>
      <c r="C81" s="263">
        <f>DA81+'User Input - Correlations'!C81</f>
        <v>0</v>
      </c>
      <c r="D81" s="263">
        <f>DB81+'User Input - Correlations'!D81</f>
        <v>0</v>
      </c>
      <c r="E81" s="263">
        <f>DC81+'User Input - Correlations'!E81</f>
        <v>0</v>
      </c>
      <c r="F81" s="263">
        <f>DD81+'User Input - Correlations'!F81</f>
        <v>0</v>
      </c>
      <c r="G81" s="263">
        <f>DE81+'User Input - Correlations'!G81</f>
        <v>0</v>
      </c>
      <c r="H81" s="263">
        <f>DF81+'User Input - Correlations'!H81</f>
        <v>0</v>
      </c>
      <c r="I81" s="263">
        <f>DG81+'User Input - Correlations'!I81</f>
        <v>0</v>
      </c>
      <c r="J81" s="263">
        <f>DH81+'User Input - Correlations'!J81</f>
        <v>0</v>
      </c>
      <c r="K81" s="263">
        <f>DI81+'User Input - Correlations'!K81</f>
        <v>0</v>
      </c>
      <c r="L81" s="263">
        <f>DJ81+'User Input - Correlations'!L81</f>
        <v>0</v>
      </c>
      <c r="M81" s="263">
        <f>DK81+'User Input - Correlations'!M81</f>
        <v>0</v>
      </c>
      <c r="N81" s="263">
        <f>DL81+'User Input - Correlations'!N81</f>
        <v>0</v>
      </c>
      <c r="O81" s="263">
        <f>DM81+'User Input - Correlations'!O81</f>
        <v>0</v>
      </c>
      <c r="P81" s="263">
        <f>DN81+'User Input - Correlations'!P81</f>
        <v>0</v>
      </c>
      <c r="Q81" s="263">
        <f>DO81+'User Input - Correlations'!Q81</f>
        <v>0</v>
      </c>
      <c r="R81" s="263">
        <f>DP81+'User Input - Correlations'!R81</f>
        <v>0</v>
      </c>
      <c r="S81" s="263">
        <f>DQ81+'User Input - Correlations'!S81</f>
        <v>0</v>
      </c>
      <c r="T81" s="263">
        <f>DR81+'User Input - Correlations'!T81</f>
        <v>0</v>
      </c>
      <c r="U81" s="263">
        <f>DS81+'User Input - Correlations'!U81</f>
        <v>0</v>
      </c>
      <c r="V81" s="263">
        <f>DT81+'User Input - Correlations'!V81</f>
        <v>0</v>
      </c>
      <c r="W81" s="263">
        <f>DU81+'User Input - Correlations'!W81</f>
        <v>0</v>
      </c>
      <c r="X81" s="263">
        <f>DV81+'User Input - Correlations'!X81</f>
        <v>0</v>
      </c>
      <c r="Y81" s="263">
        <f>DW81+'User Input - Correlations'!Y81</f>
        <v>0</v>
      </c>
      <c r="Z81" s="263">
        <f>DX81+'User Input - Correlations'!Z81</f>
        <v>0</v>
      </c>
      <c r="AA81" s="263">
        <f>DY81+'User Input - Correlations'!AA81</f>
        <v>0</v>
      </c>
      <c r="AB81" s="263">
        <f>DZ81+'User Input - Correlations'!AB81</f>
        <v>0</v>
      </c>
      <c r="AC81" s="263">
        <f>EA81+'User Input - Correlations'!AC81</f>
        <v>0</v>
      </c>
      <c r="AD81" s="263">
        <f>EB81+'User Input - Correlations'!AD81</f>
        <v>0</v>
      </c>
      <c r="AE81" s="263">
        <f>EC81+'User Input - Correlations'!AE81</f>
        <v>0</v>
      </c>
      <c r="AF81" s="263">
        <f>ED81+'User Input - Correlations'!AF81</f>
        <v>0</v>
      </c>
      <c r="AG81" s="263">
        <f>EE81+'User Input - Correlations'!AG81</f>
        <v>0</v>
      </c>
      <c r="AH81" s="263">
        <f>EF81+'User Input - Correlations'!AH81</f>
        <v>0</v>
      </c>
      <c r="AI81" s="263">
        <f>EG81+'User Input - Correlations'!AI81</f>
        <v>0</v>
      </c>
      <c r="AJ81" s="263">
        <f>EH81+'User Input - Correlations'!AJ81</f>
        <v>0</v>
      </c>
      <c r="AK81" s="263">
        <f>EI81+'User Input - Correlations'!AK81</f>
        <v>0</v>
      </c>
      <c r="AL81" s="263">
        <f>EJ81+'User Input - Correlations'!AL81</f>
        <v>0</v>
      </c>
      <c r="AM81" s="263">
        <f>EK81+'User Input - Correlations'!AM81</f>
        <v>0</v>
      </c>
      <c r="AN81" s="263">
        <f>EL81+'User Input - Correlations'!AN81</f>
        <v>0</v>
      </c>
      <c r="AO81" s="263">
        <f>EM81+'User Input - Correlations'!AO81</f>
        <v>0</v>
      </c>
      <c r="AP81" s="263">
        <f>EN81+'User Input - Correlations'!AP81</f>
        <v>0</v>
      </c>
      <c r="AQ81" s="263">
        <f>EO81+'User Input - Correlations'!AQ81</f>
        <v>0</v>
      </c>
      <c r="AR81" s="263">
        <f>EP81+'User Input - Correlations'!AR81</f>
        <v>0</v>
      </c>
      <c r="AS81" s="263">
        <f>EQ81+'User Input - Correlations'!AS81</f>
        <v>0</v>
      </c>
      <c r="AT81" s="263">
        <f>ER81+'User Input - Correlations'!AT81</f>
        <v>0</v>
      </c>
      <c r="AU81" s="263">
        <f>ES81+'User Input - Correlations'!AU81</f>
        <v>0</v>
      </c>
      <c r="AV81" s="263">
        <f>ET81+'User Input - Correlations'!AV81</f>
        <v>0</v>
      </c>
      <c r="AW81" s="263">
        <f>EU81+'User Input - Correlations'!AW81</f>
        <v>0</v>
      </c>
      <c r="AX81" s="263">
        <f>EV81+'User Input - Correlations'!AX81</f>
        <v>0</v>
      </c>
      <c r="AY81" s="263">
        <f>EW81+'User Input - Correlations'!AY81</f>
        <v>0</v>
      </c>
      <c r="AZ81" s="263">
        <f>EX81+'User Input - Correlations'!AZ81</f>
        <v>0</v>
      </c>
      <c r="BA81" s="263">
        <f>EY81+'User Input - Correlations'!BA81</f>
        <v>0</v>
      </c>
      <c r="BB81" s="263">
        <f>EZ81+'User Input - Correlations'!BB81</f>
        <v>0</v>
      </c>
      <c r="BC81" s="263">
        <f>FA81+'User Input - Correlations'!BC81</f>
        <v>0</v>
      </c>
      <c r="BD81" s="263">
        <f>FB81+'User Input - Correlations'!BD81</f>
        <v>0</v>
      </c>
      <c r="BE81" s="263">
        <f>FC81+'User Input - Correlations'!BE81</f>
        <v>0</v>
      </c>
      <c r="BF81" s="263">
        <f>FD81+'User Input - Correlations'!BF81</f>
        <v>0</v>
      </c>
      <c r="BG81" s="263">
        <f>FE81+'User Input - Correlations'!BG81</f>
        <v>0</v>
      </c>
      <c r="BH81" s="263">
        <f>FF81+'User Input - Correlations'!BH81</f>
        <v>0</v>
      </c>
      <c r="BI81" s="263">
        <f>FG81+'User Input - Correlations'!BI81</f>
        <v>0</v>
      </c>
      <c r="BJ81" s="263">
        <f>FH81+'User Input - Correlations'!BJ81</f>
        <v>0</v>
      </c>
      <c r="BK81" s="263">
        <f>FI81+'User Input - Correlations'!BK81</f>
        <v>0</v>
      </c>
      <c r="BL81" s="263">
        <f>FJ81+'User Input - Correlations'!BL81</f>
        <v>0</v>
      </c>
      <c r="BM81" s="263">
        <f>FK81+'User Input - Correlations'!BM81</f>
        <v>0</v>
      </c>
      <c r="BN81" s="263">
        <f>FL81+'User Input - Correlations'!BN81</f>
        <v>0</v>
      </c>
      <c r="BO81" s="263">
        <f>FM81+'User Input - Correlations'!BO81</f>
        <v>0</v>
      </c>
      <c r="BP81" s="263">
        <f>FN81+'User Input - Correlations'!BP81</f>
        <v>0</v>
      </c>
      <c r="BQ81" s="263">
        <f>FO81+'User Input - Correlations'!BQ81</f>
        <v>0</v>
      </c>
      <c r="BR81" s="263">
        <f>FP81+'User Input - Correlations'!BR81</f>
        <v>0</v>
      </c>
      <c r="BS81" s="263">
        <f>FQ81+'User Input - Correlations'!BS81</f>
        <v>0</v>
      </c>
      <c r="BT81" s="263">
        <f>FR81+'User Input - Correlations'!BT81</f>
        <v>0</v>
      </c>
      <c r="BU81" s="263">
        <v>1</v>
      </c>
      <c r="BV81" s="263">
        <f>FT81+'User Input - Correlations'!BV81</f>
        <v>0</v>
      </c>
      <c r="BW81" s="263">
        <f>FU81+'User Input - Correlations'!BW81</f>
        <v>0</v>
      </c>
      <c r="BX81" s="263">
        <f>FV81+'User Input - Correlations'!BX81</f>
        <v>0</v>
      </c>
      <c r="BY81" s="263">
        <f>FW81+'User Input - Correlations'!BY81</f>
        <v>0</v>
      </c>
      <c r="BZ81" s="263">
        <f>FX81+'User Input - Correlations'!BZ81</f>
        <v>0</v>
      </c>
      <c r="CA81" s="263">
        <f>FY81+'User Input - Correlations'!CA81</f>
        <v>0</v>
      </c>
      <c r="CB81" s="263">
        <f>FZ81+'User Input - Correlations'!CB81</f>
        <v>0</v>
      </c>
      <c r="CC81" s="263">
        <f>GA81+'User Input - Correlations'!CC81</f>
        <v>0</v>
      </c>
      <c r="CD81" s="263">
        <f>GB81+'User Input - Correlations'!CD81</f>
        <v>0</v>
      </c>
      <c r="CE81" s="263">
        <f>GC81+'User Input - Correlations'!CE81</f>
        <v>0</v>
      </c>
      <c r="CF81" s="263">
        <f>GD81+'User Input - Correlations'!CF81</f>
        <v>0</v>
      </c>
      <c r="CG81" s="263">
        <f>GE81+'User Input - Correlations'!CG81</f>
        <v>0</v>
      </c>
      <c r="CH81" s="263">
        <f>GF81+'User Input - Correlations'!CH81</f>
        <v>0</v>
      </c>
      <c r="CI81" s="263">
        <f>GG81+'User Input - Correlations'!CI81</f>
        <v>0</v>
      </c>
      <c r="CJ81" s="263">
        <f>GH81+'User Input - Correlations'!CJ81</f>
        <v>0</v>
      </c>
      <c r="CK81" s="263">
        <f>GI81+'User Input - Correlations'!CK81</f>
        <v>0</v>
      </c>
      <c r="CL81" s="263">
        <f>GJ81+'User Input - Correlations'!CL81</f>
        <v>0</v>
      </c>
      <c r="CM81" s="263">
        <f>GK81+'User Input - Correlations'!CM81</f>
        <v>0</v>
      </c>
      <c r="CN81" s="263">
        <f>GL81+'User Input - Correlations'!CN81</f>
        <v>0</v>
      </c>
      <c r="CO81" s="263">
        <f>GM81+'User Input - Correlations'!CO81</f>
        <v>0</v>
      </c>
      <c r="CP81" s="264">
        <f>GN81+'User Input - Correlations'!CP81</f>
        <v>0</v>
      </c>
      <c r="CQ81" s="281">
        <f ca="1">MDETERM(OFFSET($C$11,0,0,ROWS($CQ$11:$CQ81),ROWS($CQ$11:$CQ81)))</f>
        <v>1</v>
      </c>
      <c r="DA81" s="263">
        <v>0</v>
      </c>
      <c r="DB81" s="263">
        <v>0</v>
      </c>
      <c r="DC81" s="263">
        <v>0</v>
      </c>
      <c r="DD81" s="263">
        <v>0</v>
      </c>
      <c r="DE81" s="263">
        <v>0</v>
      </c>
      <c r="DF81" s="263">
        <v>0</v>
      </c>
      <c r="DG81" s="263">
        <v>0</v>
      </c>
      <c r="DH81" s="263">
        <v>0</v>
      </c>
      <c r="DI81" s="263">
        <v>0</v>
      </c>
      <c r="DJ81" s="263">
        <v>0</v>
      </c>
      <c r="DK81" s="263">
        <v>0</v>
      </c>
      <c r="DL81" s="263">
        <v>0</v>
      </c>
      <c r="DM81" s="263">
        <v>0</v>
      </c>
      <c r="DN81" s="263">
        <v>0</v>
      </c>
      <c r="DO81" s="263">
        <v>0</v>
      </c>
      <c r="DP81" s="263">
        <v>0</v>
      </c>
      <c r="DQ81" s="263">
        <v>0</v>
      </c>
      <c r="DR81" s="263">
        <v>0</v>
      </c>
      <c r="DS81" s="263">
        <v>0</v>
      </c>
      <c r="DT81" s="263">
        <v>0</v>
      </c>
      <c r="DU81" s="263">
        <v>0</v>
      </c>
      <c r="DV81" s="263">
        <v>0</v>
      </c>
      <c r="DW81" s="263">
        <v>0</v>
      </c>
      <c r="DX81" s="263">
        <v>0</v>
      </c>
      <c r="DY81" s="263">
        <v>0</v>
      </c>
      <c r="DZ81" s="263">
        <v>0</v>
      </c>
      <c r="EA81" s="263">
        <v>0</v>
      </c>
      <c r="EB81" s="263">
        <v>0</v>
      </c>
      <c r="EC81" s="263">
        <v>0</v>
      </c>
      <c r="ED81" s="263">
        <v>0</v>
      </c>
      <c r="EE81" s="263">
        <v>0</v>
      </c>
      <c r="EF81" s="263">
        <v>0</v>
      </c>
      <c r="EG81" s="263">
        <v>0</v>
      </c>
      <c r="EH81" s="263">
        <v>0</v>
      </c>
      <c r="EI81" s="263">
        <v>0</v>
      </c>
      <c r="EJ81" s="263">
        <v>0</v>
      </c>
      <c r="EK81" s="263">
        <v>0</v>
      </c>
      <c r="EL81" s="263">
        <v>0</v>
      </c>
      <c r="EM81" s="263">
        <v>0</v>
      </c>
      <c r="EN81" s="263">
        <v>0</v>
      </c>
      <c r="EO81" s="263">
        <v>0</v>
      </c>
      <c r="EP81" s="263">
        <v>0</v>
      </c>
      <c r="EQ81" s="263">
        <v>0</v>
      </c>
      <c r="ER81" s="263">
        <v>0</v>
      </c>
      <c r="ES81" s="263">
        <v>0</v>
      </c>
      <c r="ET81" s="263">
        <v>0</v>
      </c>
      <c r="EU81" s="263">
        <v>0</v>
      </c>
      <c r="EV81" s="263">
        <v>0</v>
      </c>
      <c r="EW81" s="263">
        <v>0</v>
      </c>
      <c r="EX81" s="263">
        <v>0</v>
      </c>
      <c r="EY81" s="263">
        <v>0</v>
      </c>
      <c r="EZ81" s="263">
        <v>0</v>
      </c>
      <c r="FA81" s="263">
        <v>0</v>
      </c>
      <c r="FB81" s="263">
        <v>0</v>
      </c>
      <c r="FC81" s="263">
        <v>0</v>
      </c>
      <c r="FD81" s="263">
        <v>0</v>
      </c>
      <c r="FE81" s="263">
        <v>0</v>
      </c>
      <c r="FF81" s="263">
        <v>0</v>
      </c>
      <c r="FG81" s="263">
        <v>0</v>
      </c>
      <c r="FH81" s="263">
        <v>0</v>
      </c>
      <c r="FI81" s="263">
        <v>0</v>
      </c>
      <c r="FJ81" s="263">
        <v>0</v>
      </c>
      <c r="FK81" s="263">
        <v>0</v>
      </c>
      <c r="FL81" s="263">
        <v>0</v>
      </c>
      <c r="FM81" s="263">
        <v>0</v>
      </c>
      <c r="FN81" s="263">
        <v>0</v>
      </c>
      <c r="FO81" s="263">
        <v>0</v>
      </c>
      <c r="FP81" s="263">
        <v>0</v>
      </c>
      <c r="FQ81" s="263">
        <v>0</v>
      </c>
      <c r="FR81" s="263">
        <v>0</v>
      </c>
      <c r="FS81" s="263">
        <v>1</v>
      </c>
      <c r="FT81" s="263">
        <v>0</v>
      </c>
      <c r="FU81" s="263">
        <v>0</v>
      </c>
      <c r="FV81" s="263">
        <v>0</v>
      </c>
      <c r="FW81" s="263">
        <v>0</v>
      </c>
      <c r="FX81" s="263">
        <v>0</v>
      </c>
      <c r="FY81" s="263">
        <v>0</v>
      </c>
      <c r="FZ81" s="263">
        <v>0</v>
      </c>
      <c r="GA81" s="263">
        <v>0</v>
      </c>
      <c r="GB81" s="263">
        <v>0</v>
      </c>
      <c r="GC81" s="263">
        <v>0</v>
      </c>
      <c r="GD81" s="263">
        <v>0</v>
      </c>
      <c r="GE81" s="263">
        <v>0</v>
      </c>
      <c r="GF81" s="263">
        <v>0</v>
      </c>
      <c r="GG81" s="263">
        <v>0</v>
      </c>
      <c r="GH81" s="263">
        <v>0</v>
      </c>
      <c r="GI81" s="263">
        <v>0</v>
      </c>
      <c r="GJ81" s="263">
        <v>0</v>
      </c>
      <c r="GK81" s="263">
        <v>0</v>
      </c>
      <c r="GL81" s="263">
        <v>0</v>
      </c>
      <c r="GM81" s="263">
        <v>0</v>
      </c>
      <c r="GN81" s="263">
        <v>0</v>
      </c>
    </row>
    <row r="82" ht="12.75" customHeight="1">
      <c r="A82" s="287" t="s">
        <v>189</v>
      </c>
      <c r="B82" s="287" t="s">
        <v>83</v>
      </c>
      <c r="C82" s="263">
        <f>DA82+'User Input - Correlations'!C82</f>
        <v>0</v>
      </c>
      <c r="D82" s="263">
        <f>DB82+'User Input - Correlations'!D82</f>
        <v>0</v>
      </c>
      <c r="E82" s="263">
        <f>DC82+'User Input - Correlations'!E82</f>
        <v>0</v>
      </c>
      <c r="F82" s="263">
        <f>DD82+'User Input - Correlations'!F82</f>
        <v>0</v>
      </c>
      <c r="G82" s="263">
        <f>DE82+'User Input - Correlations'!G82</f>
        <v>0</v>
      </c>
      <c r="H82" s="263">
        <f>DF82+'User Input - Correlations'!H82</f>
        <v>0</v>
      </c>
      <c r="I82" s="263">
        <f>DG82+'User Input - Correlations'!I82</f>
        <v>0</v>
      </c>
      <c r="J82" s="263">
        <f>DH82+'User Input - Correlations'!J82</f>
        <v>0</v>
      </c>
      <c r="K82" s="263">
        <f>DI82+'User Input - Correlations'!K82</f>
        <v>0</v>
      </c>
      <c r="L82" s="263">
        <f>DJ82+'User Input - Correlations'!L82</f>
        <v>0</v>
      </c>
      <c r="M82" s="263">
        <f>DK82+'User Input - Correlations'!M82</f>
        <v>0</v>
      </c>
      <c r="N82" s="263">
        <f>DL82+'User Input - Correlations'!N82</f>
        <v>0</v>
      </c>
      <c r="O82" s="263">
        <f>DM82+'User Input - Correlations'!O82</f>
        <v>0</v>
      </c>
      <c r="P82" s="263">
        <f>DN82+'User Input - Correlations'!P82</f>
        <v>0</v>
      </c>
      <c r="Q82" s="263">
        <f>DO82+'User Input - Correlations'!Q82</f>
        <v>0</v>
      </c>
      <c r="R82" s="263">
        <f>DP82+'User Input - Correlations'!R82</f>
        <v>0</v>
      </c>
      <c r="S82" s="263">
        <f>DQ82+'User Input - Correlations'!S82</f>
        <v>0</v>
      </c>
      <c r="T82" s="263">
        <f>DR82+'User Input - Correlations'!T82</f>
        <v>0</v>
      </c>
      <c r="U82" s="263">
        <f>DS82+'User Input - Correlations'!U82</f>
        <v>0</v>
      </c>
      <c r="V82" s="263">
        <f>DT82+'User Input - Correlations'!V82</f>
        <v>0</v>
      </c>
      <c r="W82" s="263">
        <f>DU82+'User Input - Correlations'!W82</f>
        <v>0</v>
      </c>
      <c r="X82" s="263">
        <f>DV82+'User Input - Correlations'!X82</f>
        <v>0</v>
      </c>
      <c r="Y82" s="263">
        <f>DW82+'User Input - Correlations'!Y82</f>
        <v>0</v>
      </c>
      <c r="Z82" s="263">
        <f>DX82+'User Input - Correlations'!Z82</f>
        <v>0</v>
      </c>
      <c r="AA82" s="263">
        <f>DY82+'User Input - Correlations'!AA82</f>
        <v>0</v>
      </c>
      <c r="AB82" s="263">
        <f>DZ82+'User Input - Correlations'!AB82</f>
        <v>0</v>
      </c>
      <c r="AC82" s="263">
        <f>EA82+'User Input - Correlations'!AC82</f>
        <v>0</v>
      </c>
      <c r="AD82" s="263">
        <f>EB82+'User Input - Correlations'!AD82</f>
        <v>0</v>
      </c>
      <c r="AE82" s="263">
        <f>EC82+'User Input - Correlations'!AE82</f>
        <v>0</v>
      </c>
      <c r="AF82" s="263">
        <f>ED82+'User Input - Correlations'!AF82</f>
        <v>0</v>
      </c>
      <c r="AG82" s="263">
        <f>EE82+'User Input - Correlations'!AG82</f>
        <v>0</v>
      </c>
      <c r="AH82" s="263">
        <f>EF82+'User Input - Correlations'!AH82</f>
        <v>0</v>
      </c>
      <c r="AI82" s="263">
        <f>EG82+'User Input - Correlations'!AI82</f>
        <v>0</v>
      </c>
      <c r="AJ82" s="263">
        <f>EH82+'User Input - Correlations'!AJ82</f>
        <v>0</v>
      </c>
      <c r="AK82" s="263">
        <f>EI82+'User Input - Correlations'!AK82</f>
        <v>0</v>
      </c>
      <c r="AL82" s="263">
        <f>EJ82+'User Input - Correlations'!AL82</f>
        <v>0</v>
      </c>
      <c r="AM82" s="263">
        <f>EK82+'User Input - Correlations'!AM82</f>
        <v>0</v>
      </c>
      <c r="AN82" s="263">
        <f>EL82+'User Input - Correlations'!AN82</f>
        <v>0</v>
      </c>
      <c r="AO82" s="263">
        <f>EM82+'User Input - Correlations'!AO82</f>
        <v>0</v>
      </c>
      <c r="AP82" s="263">
        <f>EN82+'User Input - Correlations'!AP82</f>
        <v>0</v>
      </c>
      <c r="AQ82" s="263">
        <f>EO82+'User Input - Correlations'!AQ82</f>
        <v>0</v>
      </c>
      <c r="AR82" s="263">
        <f>EP82+'User Input - Correlations'!AR82</f>
        <v>0</v>
      </c>
      <c r="AS82" s="263">
        <f>EQ82+'User Input - Correlations'!AS82</f>
        <v>0</v>
      </c>
      <c r="AT82" s="263">
        <f>ER82+'User Input - Correlations'!AT82</f>
        <v>0</v>
      </c>
      <c r="AU82" s="263">
        <f>ES82+'User Input - Correlations'!AU82</f>
        <v>0</v>
      </c>
      <c r="AV82" s="263">
        <f>ET82+'User Input - Correlations'!AV82</f>
        <v>0</v>
      </c>
      <c r="AW82" s="263">
        <f>EU82+'User Input - Correlations'!AW82</f>
        <v>0</v>
      </c>
      <c r="AX82" s="263">
        <f>EV82+'User Input - Correlations'!AX82</f>
        <v>0</v>
      </c>
      <c r="AY82" s="263">
        <f>EW82+'User Input - Correlations'!AY82</f>
        <v>0</v>
      </c>
      <c r="AZ82" s="263">
        <f>EX82+'User Input - Correlations'!AZ82</f>
        <v>0</v>
      </c>
      <c r="BA82" s="263">
        <f>EY82+'User Input - Correlations'!BA82</f>
        <v>0</v>
      </c>
      <c r="BB82" s="263">
        <f>EZ82+'User Input - Correlations'!BB82</f>
        <v>0</v>
      </c>
      <c r="BC82" s="263">
        <f>FA82+'User Input - Correlations'!BC82</f>
        <v>0</v>
      </c>
      <c r="BD82" s="263">
        <f>FB82+'User Input - Correlations'!BD82</f>
        <v>0</v>
      </c>
      <c r="BE82" s="263">
        <f>FC82+'User Input - Correlations'!BE82</f>
        <v>0</v>
      </c>
      <c r="BF82" s="263">
        <f>FD82+'User Input - Correlations'!BF82</f>
        <v>0</v>
      </c>
      <c r="BG82" s="263">
        <f>FE82+'User Input - Correlations'!BG82</f>
        <v>0</v>
      </c>
      <c r="BH82" s="263">
        <f>FF82+'User Input - Correlations'!BH82</f>
        <v>0</v>
      </c>
      <c r="BI82" s="263">
        <f>FG82+'User Input - Correlations'!BI82</f>
        <v>0</v>
      </c>
      <c r="BJ82" s="263">
        <f>FH82+'User Input - Correlations'!BJ82</f>
        <v>0</v>
      </c>
      <c r="BK82" s="263">
        <f>FI82+'User Input - Correlations'!BK82</f>
        <v>0</v>
      </c>
      <c r="BL82" s="263">
        <f>FJ82+'User Input - Correlations'!BL82</f>
        <v>0</v>
      </c>
      <c r="BM82" s="263">
        <f>FK82+'User Input - Correlations'!BM82</f>
        <v>0</v>
      </c>
      <c r="BN82" s="263">
        <f>FL82+'User Input - Correlations'!BN82</f>
        <v>0</v>
      </c>
      <c r="BO82" s="263">
        <f>FM82+'User Input - Correlations'!BO82</f>
        <v>0</v>
      </c>
      <c r="BP82" s="263">
        <f>FN82+'User Input - Correlations'!BP82</f>
        <v>0</v>
      </c>
      <c r="BQ82" s="263">
        <f>FO82+'User Input - Correlations'!BQ82</f>
        <v>0</v>
      </c>
      <c r="BR82" s="263">
        <f>FP82+'User Input - Correlations'!BR82</f>
        <v>0</v>
      </c>
      <c r="BS82" s="263">
        <f>FQ82+'User Input - Correlations'!BS82</f>
        <v>0</v>
      </c>
      <c r="BT82" s="263">
        <f>FR82+'User Input - Correlations'!BT82</f>
        <v>0</v>
      </c>
      <c r="BU82" s="263">
        <f>FS82+'User Input - Correlations'!BU82</f>
        <v>0</v>
      </c>
      <c r="BV82" s="263">
        <v>1</v>
      </c>
      <c r="BW82" s="263">
        <f>FU82+'User Input - Correlations'!BW82</f>
        <v>0</v>
      </c>
      <c r="BX82" s="263">
        <f>FV82+'User Input - Correlations'!BX82</f>
        <v>0</v>
      </c>
      <c r="BY82" s="263">
        <f>FW82+'User Input - Correlations'!BY82</f>
        <v>0</v>
      </c>
      <c r="BZ82" s="263">
        <f>FX82+'User Input - Correlations'!BZ82</f>
        <v>0</v>
      </c>
      <c r="CA82" s="263">
        <f>FY82+'User Input - Correlations'!CA82</f>
        <v>0</v>
      </c>
      <c r="CB82" s="263">
        <f>FZ82+'User Input - Correlations'!CB82</f>
        <v>0</v>
      </c>
      <c r="CC82" s="263">
        <f>GA82+'User Input - Correlations'!CC82</f>
        <v>0</v>
      </c>
      <c r="CD82" s="263">
        <f>GB82+'User Input - Correlations'!CD82</f>
        <v>0</v>
      </c>
      <c r="CE82" s="263">
        <f>GC82+'User Input - Correlations'!CE82</f>
        <v>0</v>
      </c>
      <c r="CF82" s="263">
        <f>GD82+'User Input - Correlations'!CF82</f>
        <v>0</v>
      </c>
      <c r="CG82" s="263">
        <f>GE82+'User Input - Correlations'!CG82</f>
        <v>0</v>
      </c>
      <c r="CH82" s="263">
        <f>GF82+'User Input - Correlations'!CH82</f>
        <v>0</v>
      </c>
      <c r="CI82" s="263">
        <f>GG82+'User Input - Correlations'!CI82</f>
        <v>0</v>
      </c>
      <c r="CJ82" s="263">
        <f>GH82+'User Input - Correlations'!CJ82</f>
        <v>0</v>
      </c>
      <c r="CK82" s="263">
        <f>GI82+'User Input - Correlations'!CK82</f>
        <v>0</v>
      </c>
      <c r="CL82" s="263">
        <f>GJ82+'User Input - Correlations'!CL82</f>
        <v>0</v>
      </c>
      <c r="CM82" s="263">
        <f>GK82+'User Input - Correlations'!CM82</f>
        <v>0</v>
      </c>
      <c r="CN82" s="263">
        <f>GL82+'User Input - Correlations'!CN82</f>
        <v>0</v>
      </c>
      <c r="CO82" s="263">
        <f>GM82+'User Input - Correlations'!CO82</f>
        <v>0</v>
      </c>
      <c r="CP82" s="264">
        <f>GN82+'User Input - Correlations'!CP82</f>
        <v>0</v>
      </c>
      <c r="CQ82" s="281">
        <f ca="1">MDETERM(OFFSET($C$11,0,0,ROWS($CQ$11:$CQ82),ROWS($CQ$11:$CQ82)))</f>
        <v>1</v>
      </c>
      <c r="DA82" s="263">
        <v>0</v>
      </c>
      <c r="DB82" s="263">
        <v>0</v>
      </c>
      <c r="DC82" s="263">
        <v>0</v>
      </c>
      <c r="DD82" s="263">
        <v>0</v>
      </c>
      <c r="DE82" s="263">
        <v>0</v>
      </c>
      <c r="DF82" s="263">
        <v>0</v>
      </c>
      <c r="DG82" s="263">
        <v>0</v>
      </c>
      <c r="DH82" s="263">
        <v>0</v>
      </c>
      <c r="DI82" s="263">
        <v>0</v>
      </c>
      <c r="DJ82" s="263">
        <v>0</v>
      </c>
      <c r="DK82" s="263">
        <v>0</v>
      </c>
      <c r="DL82" s="263">
        <v>0</v>
      </c>
      <c r="DM82" s="263">
        <v>0</v>
      </c>
      <c r="DN82" s="263">
        <v>0</v>
      </c>
      <c r="DO82" s="263">
        <v>0</v>
      </c>
      <c r="DP82" s="263">
        <v>0</v>
      </c>
      <c r="DQ82" s="263">
        <v>0</v>
      </c>
      <c r="DR82" s="263">
        <v>0</v>
      </c>
      <c r="DS82" s="263">
        <v>0</v>
      </c>
      <c r="DT82" s="263">
        <v>0</v>
      </c>
      <c r="DU82" s="263">
        <v>0</v>
      </c>
      <c r="DV82" s="263">
        <v>0</v>
      </c>
      <c r="DW82" s="263">
        <v>0</v>
      </c>
      <c r="DX82" s="263">
        <v>0</v>
      </c>
      <c r="DY82" s="263">
        <v>0</v>
      </c>
      <c r="DZ82" s="263">
        <v>0</v>
      </c>
      <c r="EA82" s="263">
        <v>0</v>
      </c>
      <c r="EB82" s="263">
        <v>0</v>
      </c>
      <c r="EC82" s="263">
        <v>0</v>
      </c>
      <c r="ED82" s="263">
        <v>0</v>
      </c>
      <c r="EE82" s="263">
        <v>0</v>
      </c>
      <c r="EF82" s="263">
        <v>0</v>
      </c>
      <c r="EG82" s="263">
        <v>0</v>
      </c>
      <c r="EH82" s="263">
        <v>0</v>
      </c>
      <c r="EI82" s="263">
        <v>0</v>
      </c>
      <c r="EJ82" s="263">
        <v>0</v>
      </c>
      <c r="EK82" s="263">
        <v>0</v>
      </c>
      <c r="EL82" s="263">
        <v>0</v>
      </c>
      <c r="EM82" s="263">
        <v>0</v>
      </c>
      <c r="EN82" s="263">
        <v>0</v>
      </c>
      <c r="EO82" s="263">
        <v>0</v>
      </c>
      <c r="EP82" s="263">
        <v>0</v>
      </c>
      <c r="EQ82" s="263">
        <v>0</v>
      </c>
      <c r="ER82" s="263">
        <v>0</v>
      </c>
      <c r="ES82" s="263">
        <v>0</v>
      </c>
      <c r="ET82" s="263">
        <v>0</v>
      </c>
      <c r="EU82" s="263">
        <v>0</v>
      </c>
      <c r="EV82" s="263">
        <v>0</v>
      </c>
      <c r="EW82" s="263">
        <v>0</v>
      </c>
      <c r="EX82" s="263">
        <v>0</v>
      </c>
      <c r="EY82" s="263">
        <v>0</v>
      </c>
      <c r="EZ82" s="263">
        <v>0</v>
      </c>
      <c r="FA82" s="263">
        <v>0</v>
      </c>
      <c r="FB82" s="263">
        <v>0</v>
      </c>
      <c r="FC82" s="263">
        <v>0</v>
      </c>
      <c r="FD82" s="263">
        <v>0</v>
      </c>
      <c r="FE82" s="263">
        <v>0</v>
      </c>
      <c r="FF82" s="263">
        <v>0</v>
      </c>
      <c r="FG82" s="263">
        <v>0</v>
      </c>
      <c r="FH82" s="263">
        <v>0</v>
      </c>
      <c r="FI82" s="263">
        <v>0</v>
      </c>
      <c r="FJ82" s="263">
        <v>0</v>
      </c>
      <c r="FK82" s="263">
        <v>0</v>
      </c>
      <c r="FL82" s="263">
        <v>0</v>
      </c>
      <c r="FM82" s="263">
        <v>0</v>
      </c>
      <c r="FN82" s="263">
        <v>0</v>
      </c>
      <c r="FO82" s="263">
        <v>0</v>
      </c>
      <c r="FP82" s="263">
        <v>0</v>
      </c>
      <c r="FQ82" s="263">
        <v>0</v>
      </c>
      <c r="FR82" s="263">
        <v>0</v>
      </c>
      <c r="FS82" s="263">
        <v>0</v>
      </c>
      <c r="FT82" s="263">
        <v>1</v>
      </c>
      <c r="FU82" s="263">
        <v>0</v>
      </c>
      <c r="FV82" s="263">
        <v>0</v>
      </c>
      <c r="FW82" s="263">
        <v>0</v>
      </c>
      <c r="FX82" s="263">
        <v>0</v>
      </c>
      <c r="FY82" s="263">
        <v>0</v>
      </c>
      <c r="FZ82" s="263">
        <v>0</v>
      </c>
      <c r="GA82" s="263">
        <v>0</v>
      </c>
      <c r="GB82" s="263">
        <v>0</v>
      </c>
      <c r="GC82" s="263">
        <v>0</v>
      </c>
      <c r="GD82" s="263">
        <v>0</v>
      </c>
      <c r="GE82" s="263">
        <v>0</v>
      </c>
      <c r="GF82" s="263">
        <v>0</v>
      </c>
      <c r="GG82" s="263">
        <v>0</v>
      </c>
      <c r="GH82" s="263">
        <v>0</v>
      </c>
      <c r="GI82" s="263">
        <v>0</v>
      </c>
      <c r="GJ82" s="263">
        <v>0</v>
      </c>
      <c r="GK82" s="263">
        <v>0</v>
      </c>
      <c r="GL82" s="263">
        <v>0</v>
      </c>
      <c r="GM82" s="263">
        <v>0</v>
      </c>
      <c r="GN82" s="263">
        <v>0</v>
      </c>
    </row>
    <row r="83" ht="12.75" customHeight="1">
      <c r="A83" s="287" t="s">
        <v>178</v>
      </c>
      <c r="B83" s="287" t="s">
        <v>83</v>
      </c>
      <c r="C83" s="263">
        <f>DA83+'User Input - Correlations'!C83</f>
        <v>0</v>
      </c>
      <c r="D83" s="263">
        <f>DB83+'User Input - Correlations'!D83</f>
        <v>0</v>
      </c>
      <c r="E83" s="263">
        <f>DC83+'User Input - Correlations'!E83</f>
        <v>0</v>
      </c>
      <c r="F83" s="263">
        <f>DD83+'User Input - Correlations'!F83</f>
        <v>0</v>
      </c>
      <c r="G83" s="263">
        <f>DE83+'User Input - Correlations'!G83</f>
        <v>0</v>
      </c>
      <c r="H83" s="263">
        <f>DF83+'User Input - Correlations'!H83</f>
        <v>0</v>
      </c>
      <c r="I83" s="263">
        <f>DG83+'User Input - Correlations'!I83</f>
        <v>0</v>
      </c>
      <c r="J83" s="263">
        <f>DH83+'User Input - Correlations'!J83</f>
        <v>0</v>
      </c>
      <c r="K83" s="263">
        <f>DI83+'User Input - Correlations'!K83</f>
        <v>0</v>
      </c>
      <c r="L83" s="263">
        <f>DJ83+'User Input - Correlations'!L83</f>
        <v>0</v>
      </c>
      <c r="M83" s="263">
        <f>DK83+'User Input - Correlations'!M83</f>
        <v>0</v>
      </c>
      <c r="N83" s="263">
        <f>DL83+'User Input - Correlations'!N83</f>
        <v>0</v>
      </c>
      <c r="O83" s="263">
        <f>DM83+'User Input - Correlations'!O83</f>
        <v>0</v>
      </c>
      <c r="P83" s="263">
        <f>DN83+'User Input - Correlations'!P83</f>
        <v>0</v>
      </c>
      <c r="Q83" s="263">
        <f>DO83+'User Input - Correlations'!Q83</f>
        <v>0</v>
      </c>
      <c r="R83" s="263">
        <f>DP83+'User Input - Correlations'!R83</f>
        <v>0</v>
      </c>
      <c r="S83" s="263">
        <f>DQ83+'User Input - Correlations'!S83</f>
        <v>0</v>
      </c>
      <c r="T83" s="263">
        <f>DR83+'User Input - Correlations'!T83</f>
        <v>0</v>
      </c>
      <c r="U83" s="263">
        <f>DS83+'User Input - Correlations'!U83</f>
        <v>0</v>
      </c>
      <c r="V83" s="263">
        <f>DT83+'User Input - Correlations'!V83</f>
        <v>0</v>
      </c>
      <c r="W83" s="263">
        <f>DU83+'User Input - Correlations'!W83</f>
        <v>0</v>
      </c>
      <c r="X83" s="263">
        <f>DV83+'User Input - Correlations'!X83</f>
        <v>0</v>
      </c>
      <c r="Y83" s="263">
        <f>DW83+'User Input - Correlations'!Y83</f>
        <v>0</v>
      </c>
      <c r="Z83" s="263">
        <f>DX83+'User Input - Correlations'!Z83</f>
        <v>0</v>
      </c>
      <c r="AA83" s="263">
        <f>DY83+'User Input - Correlations'!AA83</f>
        <v>0</v>
      </c>
      <c r="AB83" s="263">
        <f>DZ83+'User Input - Correlations'!AB83</f>
        <v>0</v>
      </c>
      <c r="AC83" s="263">
        <f>EA83+'User Input - Correlations'!AC83</f>
        <v>0</v>
      </c>
      <c r="AD83" s="263">
        <f>EB83+'User Input - Correlations'!AD83</f>
        <v>0</v>
      </c>
      <c r="AE83" s="263">
        <f>EC83+'User Input - Correlations'!AE83</f>
        <v>0</v>
      </c>
      <c r="AF83" s="263">
        <f>ED83+'User Input - Correlations'!AF83</f>
        <v>0</v>
      </c>
      <c r="AG83" s="263">
        <f>EE83+'User Input - Correlations'!AG83</f>
        <v>0</v>
      </c>
      <c r="AH83" s="263">
        <f>EF83+'User Input - Correlations'!AH83</f>
        <v>0</v>
      </c>
      <c r="AI83" s="263">
        <f>EG83+'User Input - Correlations'!AI83</f>
        <v>0</v>
      </c>
      <c r="AJ83" s="263">
        <f>EH83+'User Input - Correlations'!AJ83</f>
        <v>0</v>
      </c>
      <c r="AK83" s="263">
        <f>EI83+'User Input - Correlations'!AK83</f>
        <v>0</v>
      </c>
      <c r="AL83" s="263">
        <f>EJ83+'User Input - Correlations'!AL83</f>
        <v>0</v>
      </c>
      <c r="AM83" s="263">
        <f>EK83+'User Input - Correlations'!AM83</f>
        <v>0</v>
      </c>
      <c r="AN83" s="263">
        <f>EL83+'User Input - Correlations'!AN83</f>
        <v>0</v>
      </c>
      <c r="AO83" s="263">
        <f>EM83+'User Input - Correlations'!AO83</f>
        <v>0</v>
      </c>
      <c r="AP83" s="263">
        <f>EN83+'User Input - Correlations'!AP83</f>
        <v>0</v>
      </c>
      <c r="AQ83" s="263">
        <f>EO83+'User Input - Correlations'!AQ83</f>
        <v>0</v>
      </c>
      <c r="AR83" s="263">
        <f>EP83+'User Input - Correlations'!AR83</f>
        <v>0</v>
      </c>
      <c r="AS83" s="263">
        <f>EQ83+'User Input - Correlations'!AS83</f>
        <v>0</v>
      </c>
      <c r="AT83" s="263">
        <f>ER83+'User Input - Correlations'!AT83</f>
        <v>0</v>
      </c>
      <c r="AU83" s="263">
        <f>ES83+'User Input - Correlations'!AU83</f>
        <v>0</v>
      </c>
      <c r="AV83" s="263">
        <f>ET83+'User Input - Correlations'!AV83</f>
        <v>0</v>
      </c>
      <c r="AW83" s="263">
        <f>EU83+'User Input - Correlations'!AW83</f>
        <v>0</v>
      </c>
      <c r="AX83" s="263">
        <f>EV83+'User Input - Correlations'!AX83</f>
        <v>0</v>
      </c>
      <c r="AY83" s="263">
        <f>EW83+'User Input - Correlations'!AY83</f>
        <v>0</v>
      </c>
      <c r="AZ83" s="263">
        <f>EX83+'User Input - Correlations'!AZ83</f>
        <v>0</v>
      </c>
      <c r="BA83" s="263">
        <f>EY83+'User Input - Correlations'!BA83</f>
        <v>0</v>
      </c>
      <c r="BB83" s="263">
        <f>EZ83+'User Input - Correlations'!BB83</f>
        <v>0</v>
      </c>
      <c r="BC83" s="263">
        <f>FA83+'User Input - Correlations'!BC83</f>
        <v>0</v>
      </c>
      <c r="BD83" s="263">
        <f>FB83+'User Input - Correlations'!BD83</f>
        <v>0</v>
      </c>
      <c r="BE83" s="263">
        <f>FC83+'User Input - Correlations'!BE83</f>
        <v>0</v>
      </c>
      <c r="BF83" s="263">
        <f>FD83+'User Input - Correlations'!BF83</f>
        <v>0</v>
      </c>
      <c r="BG83" s="263">
        <f>FE83+'User Input - Correlations'!BG83</f>
        <v>0</v>
      </c>
      <c r="BH83" s="263">
        <f>FF83+'User Input - Correlations'!BH83</f>
        <v>0</v>
      </c>
      <c r="BI83" s="263">
        <f>FG83+'User Input - Correlations'!BI83</f>
        <v>0</v>
      </c>
      <c r="BJ83" s="263">
        <f>FH83+'User Input - Correlations'!BJ83</f>
        <v>0</v>
      </c>
      <c r="BK83" s="263">
        <f>FI83+'User Input - Correlations'!BK83</f>
        <v>0</v>
      </c>
      <c r="BL83" s="263">
        <f>FJ83+'User Input - Correlations'!BL83</f>
        <v>0</v>
      </c>
      <c r="BM83" s="263">
        <f>FK83+'User Input - Correlations'!BM83</f>
        <v>0</v>
      </c>
      <c r="BN83" s="263">
        <f>FL83+'User Input - Correlations'!BN83</f>
        <v>0</v>
      </c>
      <c r="BO83" s="263">
        <f>FM83+'User Input - Correlations'!BO83</f>
        <v>0</v>
      </c>
      <c r="BP83" s="263">
        <f>FN83+'User Input - Correlations'!BP83</f>
        <v>0</v>
      </c>
      <c r="BQ83" s="263">
        <f>FO83+'User Input - Correlations'!BQ83</f>
        <v>0</v>
      </c>
      <c r="BR83" s="263">
        <f>FP83+'User Input - Correlations'!BR83</f>
        <v>0</v>
      </c>
      <c r="BS83" s="263">
        <f>FQ83+'User Input - Correlations'!BS83</f>
        <v>0</v>
      </c>
      <c r="BT83" s="263">
        <f>FR83+'User Input - Correlations'!BT83</f>
        <v>0</v>
      </c>
      <c r="BU83" s="263">
        <f>FS83+'User Input - Correlations'!BU83</f>
        <v>0</v>
      </c>
      <c r="BV83" s="263">
        <f>FT83+'User Input - Correlations'!BV83</f>
        <v>0</v>
      </c>
      <c r="BW83" s="263">
        <v>1</v>
      </c>
      <c r="BX83" s="263">
        <f>FV83+'User Input - Correlations'!BX83</f>
        <v>0</v>
      </c>
      <c r="BY83" s="263">
        <f>FW83+'User Input - Correlations'!BY83</f>
        <v>0</v>
      </c>
      <c r="BZ83" s="263">
        <f>FX83+'User Input - Correlations'!BZ83</f>
        <v>0</v>
      </c>
      <c r="CA83" s="263">
        <f>FY83+'User Input - Correlations'!CA83</f>
        <v>0</v>
      </c>
      <c r="CB83" s="263">
        <f>FZ83+'User Input - Correlations'!CB83</f>
        <v>0</v>
      </c>
      <c r="CC83" s="263">
        <f>GA83+'User Input - Correlations'!CC83</f>
        <v>0</v>
      </c>
      <c r="CD83" s="263">
        <f>GB83+'User Input - Correlations'!CD83</f>
        <v>0</v>
      </c>
      <c r="CE83" s="263">
        <f>GC83+'User Input - Correlations'!CE83</f>
        <v>0</v>
      </c>
      <c r="CF83" s="263">
        <f>GD83+'User Input - Correlations'!CF83</f>
        <v>0</v>
      </c>
      <c r="CG83" s="263">
        <f>GE83+'User Input - Correlations'!CG83</f>
        <v>0</v>
      </c>
      <c r="CH83" s="263">
        <f>GF83+'User Input - Correlations'!CH83</f>
        <v>0</v>
      </c>
      <c r="CI83" s="263">
        <f>GG83+'User Input - Correlations'!CI83</f>
        <v>0</v>
      </c>
      <c r="CJ83" s="263">
        <f>GH83+'User Input - Correlations'!CJ83</f>
        <v>0</v>
      </c>
      <c r="CK83" s="263">
        <f>GI83+'User Input - Correlations'!CK83</f>
        <v>0</v>
      </c>
      <c r="CL83" s="263">
        <f>GJ83+'User Input - Correlations'!CL83</f>
        <v>0</v>
      </c>
      <c r="CM83" s="263">
        <f>GK83+'User Input - Correlations'!CM83</f>
        <v>0</v>
      </c>
      <c r="CN83" s="263">
        <f>GL83+'User Input - Correlations'!CN83</f>
        <v>0</v>
      </c>
      <c r="CO83" s="263">
        <f>GM83+'User Input - Correlations'!CO83</f>
        <v>0</v>
      </c>
      <c r="CP83" s="264">
        <f>GN83+'User Input - Correlations'!CP83</f>
        <v>0</v>
      </c>
      <c r="CQ83" s="281">
        <f ca="1">MDETERM(OFFSET($C$11,0,0,ROWS($CQ$11:$CQ83),ROWS($CQ$11:$CQ83)))</f>
        <v>1</v>
      </c>
      <c r="DA83" s="263">
        <v>0</v>
      </c>
      <c r="DB83" s="263">
        <v>0</v>
      </c>
      <c r="DC83" s="263">
        <v>0</v>
      </c>
      <c r="DD83" s="263">
        <v>0</v>
      </c>
      <c r="DE83" s="263">
        <v>0</v>
      </c>
      <c r="DF83" s="263">
        <v>0</v>
      </c>
      <c r="DG83" s="263">
        <v>0</v>
      </c>
      <c r="DH83" s="263">
        <v>0</v>
      </c>
      <c r="DI83" s="263">
        <v>0</v>
      </c>
      <c r="DJ83" s="263">
        <v>0</v>
      </c>
      <c r="DK83" s="263">
        <v>0</v>
      </c>
      <c r="DL83" s="263">
        <v>0</v>
      </c>
      <c r="DM83" s="263">
        <v>0</v>
      </c>
      <c r="DN83" s="263">
        <v>0</v>
      </c>
      <c r="DO83" s="263">
        <v>0</v>
      </c>
      <c r="DP83" s="263">
        <v>0</v>
      </c>
      <c r="DQ83" s="263">
        <v>0</v>
      </c>
      <c r="DR83" s="263">
        <v>0</v>
      </c>
      <c r="DS83" s="263">
        <v>0</v>
      </c>
      <c r="DT83" s="263">
        <v>0</v>
      </c>
      <c r="DU83" s="263">
        <v>0</v>
      </c>
      <c r="DV83" s="263">
        <v>0</v>
      </c>
      <c r="DW83" s="263">
        <v>0</v>
      </c>
      <c r="DX83" s="263">
        <v>0</v>
      </c>
      <c r="DY83" s="263">
        <v>0</v>
      </c>
      <c r="DZ83" s="263">
        <v>0</v>
      </c>
      <c r="EA83" s="263">
        <v>0</v>
      </c>
      <c r="EB83" s="263">
        <v>0</v>
      </c>
      <c r="EC83" s="263">
        <v>0</v>
      </c>
      <c r="ED83" s="263">
        <v>0</v>
      </c>
      <c r="EE83" s="263">
        <v>0</v>
      </c>
      <c r="EF83" s="263">
        <v>0</v>
      </c>
      <c r="EG83" s="263">
        <v>0</v>
      </c>
      <c r="EH83" s="263">
        <v>0</v>
      </c>
      <c r="EI83" s="263">
        <v>0</v>
      </c>
      <c r="EJ83" s="263">
        <v>0</v>
      </c>
      <c r="EK83" s="263">
        <v>0</v>
      </c>
      <c r="EL83" s="263">
        <v>0</v>
      </c>
      <c r="EM83" s="263">
        <v>0</v>
      </c>
      <c r="EN83" s="263">
        <v>0</v>
      </c>
      <c r="EO83" s="263">
        <v>0</v>
      </c>
      <c r="EP83" s="263">
        <v>0</v>
      </c>
      <c r="EQ83" s="263">
        <v>0</v>
      </c>
      <c r="ER83" s="263">
        <v>0</v>
      </c>
      <c r="ES83" s="263">
        <v>0</v>
      </c>
      <c r="ET83" s="263">
        <v>0</v>
      </c>
      <c r="EU83" s="263">
        <v>0</v>
      </c>
      <c r="EV83" s="263">
        <v>0</v>
      </c>
      <c r="EW83" s="263">
        <v>0</v>
      </c>
      <c r="EX83" s="263">
        <v>0</v>
      </c>
      <c r="EY83" s="263">
        <v>0</v>
      </c>
      <c r="EZ83" s="263">
        <v>0</v>
      </c>
      <c r="FA83" s="263">
        <v>0</v>
      </c>
      <c r="FB83" s="263">
        <v>0</v>
      </c>
      <c r="FC83" s="263">
        <v>0</v>
      </c>
      <c r="FD83" s="263">
        <v>0</v>
      </c>
      <c r="FE83" s="263">
        <v>0</v>
      </c>
      <c r="FF83" s="263">
        <v>0</v>
      </c>
      <c r="FG83" s="263">
        <v>0</v>
      </c>
      <c r="FH83" s="263">
        <v>0</v>
      </c>
      <c r="FI83" s="263">
        <v>0</v>
      </c>
      <c r="FJ83" s="263">
        <v>0</v>
      </c>
      <c r="FK83" s="263">
        <v>0</v>
      </c>
      <c r="FL83" s="263">
        <v>0</v>
      </c>
      <c r="FM83" s="263">
        <v>0</v>
      </c>
      <c r="FN83" s="263">
        <v>0</v>
      </c>
      <c r="FO83" s="263">
        <v>0</v>
      </c>
      <c r="FP83" s="263">
        <v>0</v>
      </c>
      <c r="FQ83" s="263">
        <v>0</v>
      </c>
      <c r="FR83" s="263">
        <v>0</v>
      </c>
      <c r="FS83" s="263">
        <v>0</v>
      </c>
      <c r="FT83" s="263">
        <v>0</v>
      </c>
      <c r="FU83" s="263">
        <v>1</v>
      </c>
      <c r="FV83" s="263">
        <v>0</v>
      </c>
      <c r="FW83" s="263">
        <v>0</v>
      </c>
      <c r="FX83" s="263">
        <v>0</v>
      </c>
      <c r="FY83" s="263">
        <v>0</v>
      </c>
      <c r="FZ83" s="263">
        <v>0</v>
      </c>
      <c r="GA83" s="263">
        <v>0</v>
      </c>
      <c r="GB83" s="263">
        <v>0</v>
      </c>
      <c r="GC83" s="263">
        <v>0</v>
      </c>
      <c r="GD83" s="263">
        <v>0</v>
      </c>
      <c r="GE83" s="263">
        <v>0</v>
      </c>
      <c r="GF83" s="263">
        <v>0</v>
      </c>
      <c r="GG83" s="263">
        <v>0</v>
      </c>
      <c r="GH83" s="263">
        <v>0</v>
      </c>
      <c r="GI83" s="263">
        <v>0</v>
      </c>
      <c r="GJ83" s="263">
        <v>0</v>
      </c>
      <c r="GK83" s="263">
        <v>0</v>
      </c>
      <c r="GL83" s="263">
        <v>0</v>
      </c>
      <c r="GM83" s="263">
        <v>0</v>
      </c>
      <c r="GN83" s="263">
        <v>0</v>
      </c>
    </row>
    <row r="84" ht="12.75" customHeight="1">
      <c r="A84" s="287" t="s">
        <v>190</v>
      </c>
      <c r="B84" s="287" t="s">
        <v>83</v>
      </c>
      <c r="C84" s="263">
        <f>DA84+'User Input - Correlations'!C84</f>
        <v>0</v>
      </c>
      <c r="D84" s="263">
        <f>DB84+'User Input - Correlations'!D84</f>
        <v>0</v>
      </c>
      <c r="E84" s="263">
        <f>DC84+'User Input - Correlations'!E84</f>
        <v>0</v>
      </c>
      <c r="F84" s="263">
        <f>DD84+'User Input - Correlations'!F84</f>
        <v>0</v>
      </c>
      <c r="G84" s="263">
        <f>DE84+'User Input - Correlations'!G84</f>
        <v>0</v>
      </c>
      <c r="H84" s="263">
        <f>DF84+'User Input - Correlations'!H84</f>
        <v>0</v>
      </c>
      <c r="I84" s="263">
        <f>DG84+'User Input - Correlations'!I84</f>
        <v>0</v>
      </c>
      <c r="J84" s="263">
        <f>DH84+'User Input - Correlations'!J84</f>
        <v>0</v>
      </c>
      <c r="K84" s="263">
        <f>DI84+'User Input - Correlations'!K84</f>
        <v>0</v>
      </c>
      <c r="L84" s="263">
        <f>DJ84+'User Input - Correlations'!L84</f>
        <v>0</v>
      </c>
      <c r="M84" s="263">
        <f>DK84+'User Input - Correlations'!M84</f>
        <v>0</v>
      </c>
      <c r="N84" s="263">
        <f>DL84+'User Input - Correlations'!N84</f>
        <v>0</v>
      </c>
      <c r="O84" s="263">
        <f>DM84+'User Input - Correlations'!O84</f>
        <v>0</v>
      </c>
      <c r="P84" s="263">
        <f>DN84+'User Input - Correlations'!P84</f>
        <v>0</v>
      </c>
      <c r="Q84" s="263">
        <f>DO84+'User Input - Correlations'!Q84</f>
        <v>0</v>
      </c>
      <c r="R84" s="263">
        <f>DP84+'User Input - Correlations'!R84</f>
        <v>0</v>
      </c>
      <c r="S84" s="263">
        <f>DQ84+'User Input - Correlations'!S84</f>
        <v>0</v>
      </c>
      <c r="T84" s="263">
        <f>DR84+'User Input - Correlations'!T84</f>
        <v>0</v>
      </c>
      <c r="U84" s="263">
        <f>DS84+'User Input - Correlations'!U84</f>
        <v>0</v>
      </c>
      <c r="V84" s="263">
        <f>DT84+'User Input - Correlations'!V84</f>
        <v>0</v>
      </c>
      <c r="W84" s="263">
        <f>DU84+'User Input - Correlations'!W84</f>
        <v>0</v>
      </c>
      <c r="X84" s="263">
        <f>DV84+'User Input - Correlations'!X84</f>
        <v>0</v>
      </c>
      <c r="Y84" s="263">
        <f>DW84+'User Input - Correlations'!Y84</f>
        <v>0</v>
      </c>
      <c r="Z84" s="263">
        <f>DX84+'User Input - Correlations'!Z84</f>
        <v>0</v>
      </c>
      <c r="AA84" s="263">
        <f>DY84+'User Input - Correlations'!AA84</f>
        <v>0</v>
      </c>
      <c r="AB84" s="263">
        <f>DZ84+'User Input - Correlations'!AB84</f>
        <v>0</v>
      </c>
      <c r="AC84" s="263">
        <f>EA84+'User Input - Correlations'!AC84</f>
        <v>0</v>
      </c>
      <c r="AD84" s="263">
        <f>EB84+'User Input - Correlations'!AD84</f>
        <v>0</v>
      </c>
      <c r="AE84" s="263">
        <f>EC84+'User Input - Correlations'!AE84</f>
        <v>0</v>
      </c>
      <c r="AF84" s="263">
        <f>ED84+'User Input - Correlations'!AF84</f>
        <v>0</v>
      </c>
      <c r="AG84" s="263">
        <f>EE84+'User Input - Correlations'!AG84</f>
        <v>0</v>
      </c>
      <c r="AH84" s="263">
        <f>EF84+'User Input - Correlations'!AH84</f>
        <v>0</v>
      </c>
      <c r="AI84" s="263">
        <f>EG84+'User Input - Correlations'!AI84</f>
        <v>0</v>
      </c>
      <c r="AJ84" s="263">
        <f>EH84+'User Input - Correlations'!AJ84</f>
        <v>0</v>
      </c>
      <c r="AK84" s="263">
        <f>EI84+'User Input - Correlations'!AK84</f>
        <v>0</v>
      </c>
      <c r="AL84" s="263">
        <f>EJ84+'User Input - Correlations'!AL84</f>
        <v>0</v>
      </c>
      <c r="AM84" s="263">
        <f>EK84+'User Input - Correlations'!AM84</f>
        <v>0</v>
      </c>
      <c r="AN84" s="263">
        <f>EL84+'User Input - Correlations'!AN84</f>
        <v>0</v>
      </c>
      <c r="AO84" s="263">
        <f>EM84+'User Input - Correlations'!AO84</f>
        <v>0</v>
      </c>
      <c r="AP84" s="263">
        <f>EN84+'User Input - Correlations'!AP84</f>
        <v>0</v>
      </c>
      <c r="AQ84" s="263">
        <f>EO84+'User Input - Correlations'!AQ84</f>
        <v>0</v>
      </c>
      <c r="AR84" s="263">
        <f>EP84+'User Input - Correlations'!AR84</f>
        <v>0</v>
      </c>
      <c r="AS84" s="263">
        <f>EQ84+'User Input - Correlations'!AS84</f>
        <v>0</v>
      </c>
      <c r="AT84" s="263">
        <f>ER84+'User Input - Correlations'!AT84</f>
        <v>0</v>
      </c>
      <c r="AU84" s="263">
        <f>ES84+'User Input - Correlations'!AU84</f>
        <v>0</v>
      </c>
      <c r="AV84" s="263">
        <f>ET84+'User Input - Correlations'!AV84</f>
        <v>0</v>
      </c>
      <c r="AW84" s="263">
        <f>EU84+'User Input - Correlations'!AW84</f>
        <v>0</v>
      </c>
      <c r="AX84" s="263">
        <f>EV84+'User Input - Correlations'!AX84</f>
        <v>0</v>
      </c>
      <c r="AY84" s="263">
        <f>EW84+'User Input - Correlations'!AY84</f>
        <v>0</v>
      </c>
      <c r="AZ84" s="263">
        <f>EX84+'User Input - Correlations'!AZ84</f>
        <v>0</v>
      </c>
      <c r="BA84" s="263">
        <f>EY84+'User Input - Correlations'!BA84</f>
        <v>0</v>
      </c>
      <c r="BB84" s="263">
        <f>EZ84+'User Input - Correlations'!BB84</f>
        <v>0</v>
      </c>
      <c r="BC84" s="263">
        <f>FA84+'User Input - Correlations'!BC84</f>
        <v>0</v>
      </c>
      <c r="BD84" s="263">
        <f>FB84+'User Input - Correlations'!BD84</f>
        <v>0</v>
      </c>
      <c r="BE84" s="263">
        <f>FC84+'User Input - Correlations'!BE84</f>
        <v>0</v>
      </c>
      <c r="BF84" s="263">
        <f>FD84+'User Input - Correlations'!BF84</f>
        <v>0</v>
      </c>
      <c r="BG84" s="263">
        <f>FE84+'User Input - Correlations'!BG84</f>
        <v>0</v>
      </c>
      <c r="BH84" s="263">
        <f>FF84+'User Input - Correlations'!BH84</f>
        <v>0</v>
      </c>
      <c r="BI84" s="263">
        <f>FG84+'User Input - Correlations'!BI84</f>
        <v>0</v>
      </c>
      <c r="BJ84" s="263">
        <f>FH84+'User Input - Correlations'!BJ84</f>
        <v>0</v>
      </c>
      <c r="BK84" s="263">
        <f>FI84+'User Input - Correlations'!BK84</f>
        <v>0</v>
      </c>
      <c r="BL84" s="263">
        <f>FJ84+'User Input - Correlations'!BL84</f>
        <v>0</v>
      </c>
      <c r="BM84" s="263">
        <f>FK84+'User Input - Correlations'!BM84</f>
        <v>0</v>
      </c>
      <c r="BN84" s="263">
        <f>FL84+'User Input - Correlations'!BN84</f>
        <v>0</v>
      </c>
      <c r="BO84" s="263">
        <f>FM84+'User Input - Correlations'!BO84</f>
        <v>0</v>
      </c>
      <c r="BP84" s="263">
        <f>FN84+'User Input - Correlations'!BP84</f>
        <v>0</v>
      </c>
      <c r="BQ84" s="263">
        <f>FO84+'User Input - Correlations'!BQ84</f>
        <v>0</v>
      </c>
      <c r="BR84" s="263">
        <f>FP84+'User Input - Correlations'!BR84</f>
        <v>0</v>
      </c>
      <c r="BS84" s="263">
        <f>FQ84+'User Input - Correlations'!BS84</f>
        <v>0</v>
      </c>
      <c r="BT84" s="263">
        <f>FR84+'User Input - Correlations'!BT84</f>
        <v>0</v>
      </c>
      <c r="BU84" s="263">
        <f>FS84+'User Input - Correlations'!BU84</f>
        <v>0</v>
      </c>
      <c r="BV84" s="263">
        <f>FT84+'User Input - Correlations'!BV84</f>
        <v>0</v>
      </c>
      <c r="BW84" s="263">
        <f>FU84+'User Input - Correlations'!BW84</f>
        <v>0</v>
      </c>
      <c r="BX84" s="263">
        <v>1</v>
      </c>
      <c r="BY84" s="263">
        <f>FW84+'User Input - Correlations'!BY84</f>
        <v>0</v>
      </c>
      <c r="BZ84" s="263">
        <f>FX84+'User Input - Correlations'!BZ84</f>
        <v>0</v>
      </c>
      <c r="CA84" s="263">
        <f>FY84+'User Input - Correlations'!CA84</f>
        <v>0</v>
      </c>
      <c r="CB84" s="263">
        <f>FZ84+'User Input - Correlations'!CB84</f>
        <v>0</v>
      </c>
      <c r="CC84" s="263">
        <f>GA84+'User Input - Correlations'!CC84</f>
        <v>0</v>
      </c>
      <c r="CD84" s="263">
        <f>GB84+'User Input - Correlations'!CD84</f>
        <v>0</v>
      </c>
      <c r="CE84" s="263">
        <f>GC84+'User Input - Correlations'!CE84</f>
        <v>0</v>
      </c>
      <c r="CF84" s="263">
        <f>GD84+'User Input - Correlations'!CF84</f>
        <v>0</v>
      </c>
      <c r="CG84" s="263">
        <f>GE84+'User Input - Correlations'!CG84</f>
        <v>0</v>
      </c>
      <c r="CH84" s="263">
        <f>GF84+'User Input - Correlations'!CH84</f>
        <v>0</v>
      </c>
      <c r="CI84" s="263">
        <f>GG84+'User Input - Correlations'!CI84</f>
        <v>0</v>
      </c>
      <c r="CJ84" s="263">
        <f>GH84+'User Input - Correlations'!CJ84</f>
        <v>0</v>
      </c>
      <c r="CK84" s="263">
        <f>GI84+'User Input - Correlations'!CK84</f>
        <v>0</v>
      </c>
      <c r="CL84" s="263">
        <f>GJ84+'User Input - Correlations'!CL84</f>
        <v>0</v>
      </c>
      <c r="CM84" s="263">
        <f>GK84+'User Input - Correlations'!CM84</f>
        <v>0</v>
      </c>
      <c r="CN84" s="263">
        <f>GL84+'User Input - Correlations'!CN84</f>
        <v>0</v>
      </c>
      <c r="CO84" s="263">
        <f>GM84+'User Input - Correlations'!CO84</f>
        <v>0</v>
      </c>
      <c r="CP84" s="264">
        <f>GN84+'User Input - Correlations'!CP84</f>
        <v>0</v>
      </c>
      <c r="CQ84" s="281">
        <f ca="1">MDETERM(OFFSET($C$11,0,0,ROWS($CQ$11:$CQ84),ROWS($CQ$11:$CQ84)))</f>
        <v>1</v>
      </c>
      <c r="DA84" s="263">
        <v>0</v>
      </c>
      <c r="DB84" s="263">
        <v>0</v>
      </c>
      <c r="DC84" s="263">
        <v>0</v>
      </c>
      <c r="DD84" s="263">
        <v>0</v>
      </c>
      <c r="DE84" s="263">
        <v>0</v>
      </c>
      <c r="DF84" s="263">
        <v>0</v>
      </c>
      <c r="DG84" s="263">
        <v>0</v>
      </c>
      <c r="DH84" s="263">
        <v>0</v>
      </c>
      <c r="DI84" s="263">
        <v>0</v>
      </c>
      <c r="DJ84" s="263">
        <v>0</v>
      </c>
      <c r="DK84" s="263">
        <v>0</v>
      </c>
      <c r="DL84" s="263">
        <v>0</v>
      </c>
      <c r="DM84" s="263">
        <v>0</v>
      </c>
      <c r="DN84" s="263">
        <v>0</v>
      </c>
      <c r="DO84" s="263">
        <v>0</v>
      </c>
      <c r="DP84" s="263">
        <v>0</v>
      </c>
      <c r="DQ84" s="263">
        <v>0</v>
      </c>
      <c r="DR84" s="263">
        <v>0</v>
      </c>
      <c r="DS84" s="263">
        <v>0</v>
      </c>
      <c r="DT84" s="263">
        <v>0</v>
      </c>
      <c r="DU84" s="263">
        <v>0</v>
      </c>
      <c r="DV84" s="263">
        <v>0</v>
      </c>
      <c r="DW84" s="263">
        <v>0</v>
      </c>
      <c r="DX84" s="263">
        <v>0</v>
      </c>
      <c r="DY84" s="263">
        <v>0</v>
      </c>
      <c r="DZ84" s="263">
        <v>0</v>
      </c>
      <c r="EA84" s="263">
        <v>0</v>
      </c>
      <c r="EB84" s="263">
        <v>0</v>
      </c>
      <c r="EC84" s="263">
        <v>0</v>
      </c>
      <c r="ED84" s="263">
        <v>0</v>
      </c>
      <c r="EE84" s="263">
        <v>0</v>
      </c>
      <c r="EF84" s="263">
        <v>0</v>
      </c>
      <c r="EG84" s="263">
        <v>0</v>
      </c>
      <c r="EH84" s="263">
        <v>0</v>
      </c>
      <c r="EI84" s="263">
        <v>0</v>
      </c>
      <c r="EJ84" s="263">
        <v>0</v>
      </c>
      <c r="EK84" s="263">
        <v>0</v>
      </c>
      <c r="EL84" s="263">
        <v>0</v>
      </c>
      <c r="EM84" s="263">
        <v>0</v>
      </c>
      <c r="EN84" s="263">
        <v>0</v>
      </c>
      <c r="EO84" s="263">
        <v>0</v>
      </c>
      <c r="EP84" s="263">
        <v>0</v>
      </c>
      <c r="EQ84" s="263">
        <v>0</v>
      </c>
      <c r="ER84" s="263">
        <v>0</v>
      </c>
      <c r="ES84" s="263">
        <v>0</v>
      </c>
      <c r="ET84" s="263">
        <v>0</v>
      </c>
      <c r="EU84" s="263">
        <v>0</v>
      </c>
      <c r="EV84" s="263">
        <v>0</v>
      </c>
      <c r="EW84" s="263">
        <v>0</v>
      </c>
      <c r="EX84" s="263">
        <v>0</v>
      </c>
      <c r="EY84" s="263">
        <v>0</v>
      </c>
      <c r="EZ84" s="263">
        <v>0</v>
      </c>
      <c r="FA84" s="263">
        <v>0</v>
      </c>
      <c r="FB84" s="263">
        <v>0</v>
      </c>
      <c r="FC84" s="263">
        <v>0</v>
      </c>
      <c r="FD84" s="263">
        <v>0</v>
      </c>
      <c r="FE84" s="263">
        <v>0</v>
      </c>
      <c r="FF84" s="263">
        <v>0</v>
      </c>
      <c r="FG84" s="263">
        <v>0</v>
      </c>
      <c r="FH84" s="263">
        <v>0</v>
      </c>
      <c r="FI84" s="263">
        <v>0</v>
      </c>
      <c r="FJ84" s="263">
        <v>0</v>
      </c>
      <c r="FK84" s="263">
        <v>0</v>
      </c>
      <c r="FL84" s="263">
        <v>0</v>
      </c>
      <c r="FM84" s="263">
        <v>0</v>
      </c>
      <c r="FN84" s="263">
        <v>0</v>
      </c>
      <c r="FO84" s="263">
        <v>0</v>
      </c>
      <c r="FP84" s="263">
        <v>0</v>
      </c>
      <c r="FQ84" s="263">
        <v>0</v>
      </c>
      <c r="FR84" s="263">
        <v>0</v>
      </c>
      <c r="FS84" s="263">
        <v>0</v>
      </c>
      <c r="FT84" s="263">
        <v>0</v>
      </c>
      <c r="FU84" s="263">
        <v>0</v>
      </c>
      <c r="FV84" s="263">
        <v>1</v>
      </c>
      <c r="FW84" s="263">
        <v>0</v>
      </c>
      <c r="FX84" s="263">
        <v>0</v>
      </c>
      <c r="FY84" s="263">
        <v>0</v>
      </c>
      <c r="FZ84" s="263">
        <v>0</v>
      </c>
      <c r="GA84" s="263">
        <v>0</v>
      </c>
      <c r="GB84" s="263">
        <v>0</v>
      </c>
      <c r="GC84" s="263">
        <v>0</v>
      </c>
      <c r="GD84" s="263">
        <v>0</v>
      </c>
      <c r="GE84" s="263">
        <v>0</v>
      </c>
      <c r="GF84" s="263">
        <v>0</v>
      </c>
      <c r="GG84" s="263">
        <v>0</v>
      </c>
      <c r="GH84" s="263">
        <v>0</v>
      </c>
      <c r="GI84" s="263">
        <v>0</v>
      </c>
      <c r="GJ84" s="263">
        <v>0</v>
      </c>
      <c r="GK84" s="263">
        <v>0</v>
      </c>
      <c r="GL84" s="263">
        <v>0</v>
      </c>
      <c r="GM84" s="263">
        <v>0</v>
      </c>
      <c r="GN84" s="263">
        <v>0</v>
      </c>
    </row>
    <row r="85" ht="12.75" customHeight="1">
      <c r="A85" s="287" t="s">
        <v>85</v>
      </c>
      <c r="B85" s="287" t="s">
        <v>83</v>
      </c>
      <c r="C85" s="263">
        <f>DA85+'User Input - Correlations'!C85</f>
        <v>0</v>
      </c>
      <c r="D85" s="263">
        <f>DB85+'User Input - Correlations'!D85</f>
        <v>0</v>
      </c>
      <c r="E85" s="263">
        <f>DC85+'User Input - Correlations'!E85</f>
        <v>0</v>
      </c>
      <c r="F85" s="263">
        <f>DD85+'User Input - Correlations'!F85</f>
        <v>0</v>
      </c>
      <c r="G85" s="263">
        <f>DE85+'User Input - Correlations'!G85</f>
        <v>0</v>
      </c>
      <c r="H85" s="263">
        <f>DF85+'User Input - Correlations'!H85</f>
        <v>0</v>
      </c>
      <c r="I85" s="263">
        <f>DG85+'User Input - Correlations'!I85</f>
        <v>0</v>
      </c>
      <c r="J85" s="263">
        <f>DH85+'User Input - Correlations'!J85</f>
        <v>0</v>
      </c>
      <c r="K85" s="263">
        <f>DI85+'User Input - Correlations'!K85</f>
        <v>0</v>
      </c>
      <c r="L85" s="263">
        <f>DJ85+'User Input - Correlations'!L85</f>
        <v>0</v>
      </c>
      <c r="M85" s="263">
        <f>DK85+'User Input - Correlations'!M85</f>
        <v>0</v>
      </c>
      <c r="N85" s="263">
        <f>DL85+'User Input - Correlations'!N85</f>
        <v>0</v>
      </c>
      <c r="O85" s="263">
        <f>DM85+'User Input - Correlations'!O85</f>
        <v>0</v>
      </c>
      <c r="P85" s="263">
        <f>DN85+'User Input - Correlations'!P85</f>
        <v>0</v>
      </c>
      <c r="Q85" s="263">
        <f>DO85+'User Input - Correlations'!Q85</f>
        <v>0</v>
      </c>
      <c r="R85" s="263">
        <f>DP85+'User Input - Correlations'!R85</f>
        <v>0</v>
      </c>
      <c r="S85" s="263">
        <f>DQ85+'User Input - Correlations'!S85</f>
        <v>0</v>
      </c>
      <c r="T85" s="263">
        <f>DR85+'User Input - Correlations'!T85</f>
        <v>0</v>
      </c>
      <c r="U85" s="263">
        <f>DS85+'User Input - Correlations'!U85</f>
        <v>0</v>
      </c>
      <c r="V85" s="263">
        <f>DT85+'User Input - Correlations'!V85</f>
        <v>0</v>
      </c>
      <c r="W85" s="263">
        <f>DU85+'User Input - Correlations'!W85</f>
        <v>0</v>
      </c>
      <c r="X85" s="263">
        <f>DV85+'User Input - Correlations'!X85</f>
        <v>0</v>
      </c>
      <c r="Y85" s="263">
        <f>DW85+'User Input - Correlations'!Y85</f>
        <v>0</v>
      </c>
      <c r="Z85" s="263">
        <f>DX85+'User Input - Correlations'!Z85</f>
        <v>0</v>
      </c>
      <c r="AA85" s="263">
        <f>DY85+'User Input - Correlations'!AA85</f>
        <v>0</v>
      </c>
      <c r="AB85" s="263">
        <f>DZ85+'User Input - Correlations'!AB85</f>
        <v>0</v>
      </c>
      <c r="AC85" s="263">
        <f>EA85+'User Input - Correlations'!AC85</f>
        <v>0</v>
      </c>
      <c r="AD85" s="263">
        <f>EB85+'User Input - Correlations'!AD85</f>
        <v>0</v>
      </c>
      <c r="AE85" s="263">
        <f>EC85+'User Input - Correlations'!AE85</f>
        <v>0</v>
      </c>
      <c r="AF85" s="263">
        <f>ED85+'User Input - Correlations'!AF85</f>
        <v>0</v>
      </c>
      <c r="AG85" s="263">
        <f>EE85+'User Input - Correlations'!AG85</f>
        <v>0</v>
      </c>
      <c r="AH85" s="263">
        <f>EF85+'User Input - Correlations'!AH85</f>
        <v>0</v>
      </c>
      <c r="AI85" s="263">
        <f>EG85+'User Input - Correlations'!AI85</f>
        <v>0</v>
      </c>
      <c r="AJ85" s="263">
        <f>EH85+'User Input - Correlations'!AJ85</f>
        <v>0</v>
      </c>
      <c r="AK85" s="263">
        <f>EI85+'User Input - Correlations'!AK85</f>
        <v>0</v>
      </c>
      <c r="AL85" s="263">
        <f>EJ85+'User Input - Correlations'!AL85</f>
        <v>0</v>
      </c>
      <c r="AM85" s="263">
        <f>EK85+'User Input - Correlations'!AM85</f>
        <v>0</v>
      </c>
      <c r="AN85" s="263">
        <f>EL85+'User Input - Correlations'!AN85</f>
        <v>0</v>
      </c>
      <c r="AO85" s="263">
        <f>EM85+'User Input - Correlations'!AO85</f>
        <v>0</v>
      </c>
      <c r="AP85" s="263">
        <f>EN85+'User Input - Correlations'!AP85</f>
        <v>0</v>
      </c>
      <c r="AQ85" s="263">
        <f>EO85+'User Input - Correlations'!AQ85</f>
        <v>0</v>
      </c>
      <c r="AR85" s="263">
        <f>EP85+'User Input - Correlations'!AR85</f>
        <v>0</v>
      </c>
      <c r="AS85" s="263">
        <f>EQ85+'User Input - Correlations'!AS85</f>
        <v>0</v>
      </c>
      <c r="AT85" s="263">
        <f>ER85+'User Input - Correlations'!AT85</f>
        <v>0</v>
      </c>
      <c r="AU85" s="263">
        <f>ES85+'User Input - Correlations'!AU85</f>
        <v>0</v>
      </c>
      <c r="AV85" s="263">
        <f>ET85+'User Input - Correlations'!AV85</f>
        <v>0</v>
      </c>
      <c r="AW85" s="263">
        <f>EU85+'User Input - Correlations'!AW85</f>
        <v>0</v>
      </c>
      <c r="AX85" s="263">
        <f>EV85+'User Input - Correlations'!AX85</f>
        <v>0</v>
      </c>
      <c r="AY85" s="263">
        <f>EW85+'User Input - Correlations'!AY85</f>
        <v>0</v>
      </c>
      <c r="AZ85" s="263">
        <f>EX85+'User Input - Correlations'!AZ85</f>
        <v>0</v>
      </c>
      <c r="BA85" s="263">
        <f>EY85+'User Input - Correlations'!BA85</f>
        <v>0</v>
      </c>
      <c r="BB85" s="263">
        <f>EZ85+'User Input - Correlations'!BB85</f>
        <v>0</v>
      </c>
      <c r="BC85" s="263">
        <f>FA85+'User Input - Correlations'!BC85</f>
        <v>0</v>
      </c>
      <c r="BD85" s="263">
        <f>FB85+'User Input - Correlations'!BD85</f>
        <v>0</v>
      </c>
      <c r="BE85" s="263">
        <f>FC85+'User Input - Correlations'!BE85</f>
        <v>0</v>
      </c>
      <c r="BF85" s="263">
        <f>FD85+'User Input - Correlations'!BF85</f>
        <v>0</v>
      </c>
      <c r="BG85" s="263">
        <f>FE85+'User Input - Correlations'!BG85</f>
        <v>0</v>
      </c>
      <c r="BH85" s="263">
        <f>FF85+'User Input - Correlations'!BH85</f>
        <v>0</v>
      </c>
      <c r="BI85" s="263">
        <f>FG85+'User Input - Correlations'!BI85</f>
        <v>0</v>
      </c>
      <c r="BJ85" s="263">
        <f>FH85+'User Input - Correlations'!BJ85</f>
        <v>0</v>
      </c>
      <c r="BK85" s="263">
        <f>FI85+'User Input - Correlations'!BK85</f>
        <v>0</v>
      </c>
      <c r="BL85" s="263">
        <f>FJ85+'User Input - Correlations'!BL85</f>
        <v>0</v>
      </c>
      <c r="BM85" s="263">
        <f>FK85+'User Input - Correlations'!BM85</f>
        <v>0</v>
      </c>
      <c r="BN85" s="263">
        <f>FL85+'User Input - Correlations'!BN85</f>
        <v>0</v>
      </c>
      <c r="BO85" s="263">
        <f>FM85+'User Input - Correlations'!BO85</f>
        <v>0</v>
      </c>
      <c r="BP85" s="263">
        <f>FN85+'User Input - Correlations'!BP85</f>
        <v>0</v>
      </c>
      <c r="BQ85" s="263">
        <f>FO85+'User Input - Correlations'!BQ85</f>
        <v>0</v>
      </c>
      <c r="BR85" s="263">
        <f>FP85+'User Input - Correlations'!BR85</f>
        <v>0</v>
      </c>
      <c r="BS85" s="263">
        <f>FQ85+'User Input - Correlations'!BS85</f>
        <v>0</v>
      </c>
      <c r="BT85" s="263">
        <f>FR85+'User Input - Correlations'!BT85</f>
        <v>0</v>
      </c>
      <c r="BU85" s="263">
        <f>FS85+'User Input - Correlations'!BU85</f>
        <v>0</v>
      </c>
      <c r="BV85" s="263">
        <f>FT85+'User Input - Correlations'!BV85</f>
        <v>0</v>
      </c>
      <c r="BW85" s="263">
        <f>FU85+'User Input - Correlations'!BW85</f>
        <v>0</v>
      </c>
      <c r="BX85" s="263">
        <f>FV85+'User Input - Correlations'!BX85</f>
        <v>0</v>
      </c>
      <c r="BY85" s="263">
        <v>1</v>
      </c>
      <c r="BZ85" s="263">
        <f>FX85+'User Input - Correlations'!BZ85</f>
        <v>0</v>
      </c>
      <c r="CA85" s="263">
        <f>FY85+'User Input - Correlations'!CA85</f>
        <v>0</v>
      </c>
      <c r="CB85" s="263">
        <f>FZ85+'User Input - Correlations'!CB85</f>
        <v>0</v>
      </c>
      <c r="CC85" s="263">
        <f>GA85+'User Input - Correlations'!CC85</f>
        <v>0</v>
      </c>
      <c r="CD85" s="263">
        <f>GB85+'User Input - Correlations'!CD85</f>
        <v>0</v>
      </c>
      <c r="CE85" s="263">
        <f>GC85+'User Input - Correlations'!CE85</f>
        <v>0</v>
      </c>
      <c r="CF85" s="263">
        <f>GD85+'User Input - Correlations'!CF85</f>
        <v>0</v>
      </c>
      <c r="CG85" s="263">
        <f>GE85+'User Input - Correlations'!CG85</f>
        <v>0</v>
      </c>
      <c r="CH85" s="263">
        <f>GF85+'User Input - Correlations'!CH85</f>
        <v>0</v>
      </c>
      <c r="CI85" s="263">
        <f>GG85+'User Input - Correlations'!CI85</f>
        <v>0</v>
      </c>
      <c r="CJ85" s="263">
        <f>GH85+'User Input - Correlations'!CJ85</f>
        <v>0</v>
      </c>
      <c r="CK85" s="263">
        <f>GI85+'User Input - Correlations'!CK85</f>
        <v>0</v>
      </c>
      <c r="CL85" s="263">
        <f>GJ85+'User Input - Correlations'!CL85</f>
        <v>0</v>
      </c>
      <c r="CM85" s="263">
        <f>GK85+'User Input - Correlations'!CM85</f>
        <v>0</v>
      </c>
      <c r="CN85" s="263">
        <f>GL85+'User Input - Correlations'!CN85</f>
        <v>0</v>
      </c>
      <c r="CO85" s="263">
        <f>GM85+'User Input - Correlations'!CO85</f>
        <v>0</v>
      </c>
      <c r="CP85" s="264">
        <f>GN85+'User Input - Correlations'!CP85</f>
        <v>0</v>
      </c>
      <c r="CQ85" s="281">
        <f ca="1">MDETERM(OFFSET($C$11,0,0,ROWS($CQ$11:$CQ85),ROWS($CQ$11:$CQ85)))</f>
        <v>1</v>
      </c>
      <c r="DA85" s="263">
        <v>0</v>
      </c>
      <c r="DB85" s="263">
        <v>0</v>
      </c>
      <c r="DC85" s="263">
        <v>0</v>
      </c>
      <c r="DD85" s="263">
        <v>0</v>
      </c>
      <c r="DE85" s="263">
        <v>0</v>
      </c>
      <c r="DF85" s="263">
        <v>0</v>
      </c>
      <c r="DG85" s="263">
        <v>0</v>
      </c>
      <c r="DH85" s="263">
        <v>0</v>
      </c>
      <c r="DI85" s="263">
        <v>0</v>
      </c>
      <c r="DJ85" s="263">
        <v>0</v>
      </c>
      <c r="DK85" s="263">
        <v>0</v>
      </c>
      <c r="DL85" s="263">
        <v>0</v>
      </c>
      <c r="DM85" s="263">
        <v>0</v>
      </c>
      <c r="DN85" s="263">
        <v>0</v>
      </c>
      <c r="DO85" s="263">
        <v>0</v>
      </c>
      <c r="DP85" s="263">
        <v>0</v>
      </c>
      <c r="DQ85" s="263">
        <v>0</v>
      </c>
      <c r="DR85" s="263">
        <v>0</v>
      </c>
      <c r="DS85" s="263">
        <v>0</v>
      </c>
      <c r="DT85" s="263">
        <v>0</v>
      </c>
      <c r="DU85" s="263">
        <v>0</v>
      </c>
      <c r="DV85" s="263">
        <v>0</v>
      </c>
      <c r="DW85" s="263">
        <v>0</v>
      </c>
      <c r="DX85" s="263">
        <v>0</v>
      </c>
      <c r="DY85" s="263">
        <v>0</v>
      </c>
      <c r="DZ85" s="263">
        <v>0</v>
      </c>
      <c r="EA85" s="263">
        <v>0</v>
      </c>
      <c r="EB85" s="263">
        <v>0</v>
      </c>
      <c r="EC85" s="263">
        <v>0</v>
      </c>
      <c r="ED85" s="263">
        <v>0</v>
      </c>
      <c r="EE85" s="263">
        <v>0</v>
      </c>
      <c r="EF85" s="263">
        <v>0</v>
      </c>
      <c r="EG85" s="263">
        <v>0</v>
      </c>
      <c r="EH85" s="263">
        <v>0</v>
      </c>
      <c r="EI85" s="263">
        <v>0</v>
      </c>
      <c r="EJ85" s="263">
        <v>0</v>
      </c>
      <c r="EK85" s="263">
        <v>0</v>
      </c>
      <c r="EL85" s="263">
        <v>0</v>
      </c>
      <c r="EM85" s="263">
        <v>0</v>
      </c>
      <c r="EN85" s="263">
        <v>0</v>
      </c>
      <c r="EO85" s="263">
        <v>0</v>
      </c>
      <c r="EP85" s="263">
        <v>0</v>
      </c>
      <c r="EQ85" s="263">
        <v>0</v>
      </c>
      <c r="ER85" s="263">
        <v>0</v>
      </c>
      <c r="ES85" s="263">
        <v>0</v>
      </c>
      <c r="ET85" s="263">
        <v>0</v>
      </c>
      <c r="EU85" s="263">
        <v>0</v>
      </c>
      <c r="EV85" s="263">
        <v>0</v>
      </c>
      <c r="EW85" s="263">
        <v>0</v>
      </c>
      <c r="EX85" s="263">
        <v>0</v>
      </c>
      <c r="EY85" s="263">
        <v>0</v>
      </c>
      <c r="EZ85" s="263">
        <v>0</v>
      </c>
      <c r="FA85" s="263">
        <v>0</v>
      </c>
      <c r="FB85" s="263">
        <v>0</v>
      </c>
      <c r="FC85" s="263">
        <v>0</v>
      </c>
      <c r="FD85" s="263">
        <v>0</v>
      </c>
      <c r="FE85" s="263">
        <v>0</v>
      </c>
      <c r="FF85" s="263">
        <v>0</v>
      </c>
      <c r="FG85" s="263">
        <v>0</v>
      </c>
      <c r="FH85" s="263">
        <v>0</v>
      </c>
      <c r="FI85" s="263">
        <v>0</v>
      </c>
      <c r="FJ85" s="263">
        <v>0</v>
      </c>
      <c r="FK85" s="263">
        <v>0</v>
      </c>
      <c r="FL85" s="263">
        <v>0</v>
      </c>
      <c r="FM85" s="263">
        <v>0</v>
      </c>
      <c r="FN85" s="263">
        <v>0</v>
      </c>
      <c r="FO85" s="263">
        <v>0</v>
      </c>
      <c r="FP85" s="263">
        <v>0</v>
      </c>
      <c r="FQ85" s="263">
        <v>0</v>
      </c>
      <c r="FR85" s="263">
        <v>0</v>
      </c>
      <c r="FS85" s="263">
        <v>0</v>
      </c>
      <c r="FT85" s="263">
        <v>0</v>
      </c>
      <c r="FU85" s="263">
        <v>0</v>
      </c>
      <c r="FV85" s="263">
        <v>0</v>
      </c>
      <c r="FW85" s="263">
        <v>1</v>
      </c>
      <c r="FX85" s="263">
        <v>0</v>
      </c>
      <c r="FY85" s="263">
        <v>0</v>
      </c>
      <c r="FZ85" s="263">
        <v>0</v>
      </c>
      <c r="GA85" s="263">
        <v>0</v>
      </c>
      <c r="GB85" s="263">
        <v>0</v>
      </c>
      <c r="GC85" s="263">
        <v>0</v>
      </c>
      <c r="GD85" s="263">
        <v>0</v>
      </c>
      <c r="GE85" s="263">
        <v>0</v>
      </c>
      <c r="GF85" s="263">
        <v>0</v>
      </c>
      <c r="GG85" s="263">
        <v>0</v>
      </c>
      <c r="GH85" s="263">
        <v>0</v>
      </c>
      <c r="GI85" s="263">
        <v>0</v>
      </c>
      <c r="GJ85" s="263">
        <v>0</v>
      </c>
      <c r="GK85" s="263">
        <v>0</v>
      </c>
      <c r="GL85" s="263">
        <v>0</v>
      </c>
      <c r="GM85" s="263">
        <v>0</v>
      </c>
      <c r="GN85" s="263">
        <v>0</v>
      </c>
    </row>
    <row r="86" ht="12.75" customHeight="1">
      <c r="A86" s="287" t="s">
        <v>227</v>
      </c>
      <c r="B86" s="287" t="s">
        <v>83</v>
      </c>
      <c r="C86" s="263">
        <f>DA86+'User Input - Correlations'!C86</f>
        <v>0</v>
      </c>
      <c r="D86" s="263">
        <f>DB86+'User Input - Correlations'!D86</f>
        <v>0</v>
      </c>
      <c r="E86" s="263">
        <f>DC86+'User Input - Correlations'!E86</f>
        <v>0</v>
      </c>
      <c r="F86" s="263">
        <f>DD86+'User Input - Correlations'!F86</f>
        <v>0</v>
      </c>
      <c r="G86" s="263">
        <f>DE86+'User Input - Correlations'!G86</f>
        <v>0</v>
      </c>
      <c r="H86" s="263">
        <f>DF86+'User Input - Correlations'!H86</f>
        <v>0</v>
      </c>
      <c r="I86" s="263">
        <f>DG86+'User Input - Correlations'!I86</f>
        <v>0</v>
      </c>
      <c r="J86" s="263">
        <f>DH86+'User Input - Correlations'!J86</f>
        <v>0</v>
      </c>
      <c r="K86" s="263">
        <f>DI86+'User Input - Correlations'!K86</f>
        <v>0</v>
      </c>
      <c r="L86" s="263">
        <f>DJ86+'User Input - Correlations'!L86</f>
        <v>0</v>
      </c>
      <c r="M86" s="263">
        <f>DK86+'User Input - Correlations'!M86</f>
        <v>0</v>
      </c>
      <c r="N86" s="263">
        <f>DL86+'User Input - Correlations'!N86</f>
        <v>0</v>
      </c>
      <c r="O86" s="263">
        <f>DM86+'User Input - Correlations'!O86</f>
        <v>0</v>
      </c>
      <c r="P86" s="263">
        <f>DN86+'User Input - Correlations'!P86</f>
        <v>0</v>
      </c>
      <c r="Q86" s="263">
        <f>DO86+'User Input - Correlations'!Q86</f>
        <v>0</v>
      </c>
      <c r="R86" s="263">
        <f>DP86+'User Input - Correlations'!R86</f>
        <v>0</v>
      </c>
      <c r="S86" s="263">
        <f>DQ86+'User Input - Correlations'!S86</f>
        <v>0</v>
      </c>
      <c r="T86" s="263">
        <f>DR86+'User Input - Correlations'!T86</f>
        <v>0</v>
      </c>
      <c r="U86" s="263">
        <f>DS86+'User Input - Correlations'!U86</f>
        <v>0</v>
      </c>
      <c r="V86" s="263">
        <f>DT86+'User Input - Correlations'!V86</f>
        <v>0</v>
      </c>
      <c r="W86" s="263">
        <f>DU86+'User Input - Correlations'!W86</f>
        <v>0</v>
      </c>
      <c r="X86" s="263">
        <f>DV86+'User Input - Correlations'!X86</f>
        <v>0</v>
      </c>
      <c r="Y86" s="263">
        <f>DW86+'User Input - Correlations'!Y86</f>
        <v>0</v>
      </c>
      <c r="Z86" s="263">
        <f>DX86+'User Input - Correlations'!Z86</f>
        <v>0</v>
      </c>
      <c r="AA86" s="263">
        <f>DY86+'User Input - Correlations'!AA86</f>
        <v>0</v>
      </c>
      <c r="AB86" s="263">
        <f>DZ86+'User Input - Correlations'!AB86</f>
        <v>0</v>
      </c>
      <c r="AC86" s="263">
        <f>EA86+'User Input - Correlations'!AC86</f>
        <v>0</v>
      </c>
      <c r="AD86" s="263">
        <f>EB86+'User Input - Correlations'!AD86</f>
        <v>0</v>
      </c>
      <c r="AE86" s="263">
        <f>EC86+'User Input - Correlations'!AE86</f>
        <v>0</v>
      </c>
      <c r="AF86" s="263">
        <f>ED86+'User Input - Correlations'!AF86</f>
        <v>0</v>
      </c>
      <c r="AG86" s="263">
        <f>EE86+'User Input - Correlations'!AG86</f>
        <v>0</v>
      </c>
      <c r="AH86" s="263">
        <f>EF86+'User Input - Correlations'!AH86</f>
        <v>0</v>
      </c>
      <c r="AI86" s="263">
        <f>EG86+'User Input - Correlations'!AI86</f>
        <v>0</v>
      </c>
      <c r="AJ86" s="263">
        <f>EH86+'User Input - Correlations'!AJ86</f>
        <v>0</v>
      </c>
      <c r="AK86" s="263">
        <f>EI86+'User Input - Correlations'!AK86</f>
        <v>0</v>
      </c>
      <c r="AL86" s="263">
        <f>EJ86+'User Input - Correlations'!AL86</f>
        <v>0</v>
      </c>
      <c r="AM86" s="263">
        <f>EK86+'User Input - Correlations'!AM86</f>
        <v>0</v>
      </c>
      <c r="AN86" s="263">
        <f>EL86+'User Input - Correlations'!AN86</f>
        <v>0</v>
      </c>
      <c r="AO86" s="263">
        <f>EM86+'User Input - Correlations'!AO86</f>
        <v>0</v>
      </c>
      <c r="AP86" s="263">
        <f>EN86+'User Input - Correlations'!AP86</f>
        <v>0</v>
      </c>
      <c r="AQ86" s="263">
        <f>EO86+'User Input - Correlations'!AQ86</f>
        <v>0</v>
      </c>
      <c r="AR86" s="263">
        <f>EP86+'User Input - Correlations'!AR86</f>
        <v>0</v>
      </c>
      <c r="AS86" s="263">
        <f>EQ86+'User Input - Correlations'!AS86</f>
        <v>0</v>
      </c>
      <c r="AT86" s="263">
        <f>ER86+'User Input - Correlations'!AT86</f>
        <v>0</v>
      </c>
      <c r="AU86" s="263">
        <f>ES86+'User Input - Correlations'!AU86</f>
        <v>0</v>
      </c>
      <c r="AV86" s="263">
        <f>ET86+'User Input - Correlations'!AV86</f>
        <v>0</v>
      </c>
      <c r="AW86" s="263">
        <f>EU86+'User Input - Correlations'!AW86</f>
        <v>0</v>
      </c>
      <c r="AX86" s="263">
        <f>EV86+'User Input - Correlations'!AX86</f>
        <v>0</v>
      </c>
      <c r="AY86" s="263">
        <f>EW86+'User Input - Correlations'!AY86</f>
        <v>0</v>
      </c>
      <c r="AZ86" s="263">
        <f>EX86+'User Input - Correlations'!AZ86</f>
        <v>0</v>
      </c>
      <c r="BA86" s="263">
        <f>EY86+'User Input - Correlations'!BA86</f>
        <v>0</v>
      </c>
      <c r="BB86" s="263">
        <f>EZ86+'User Input - Correlations'!BB86</f>
        <v>0</v>
      </c>
      <c r="BC86" s="263">
        <f>FA86+'User Input - Correlations'!BC86</f>
        <v>0</v>
      </c>
      <c r="BD86" s="263">
        <f>FB86+'User Input - Correlations'!BD86</f>
        <v>0</v>
      </c>
      <c r="BE86" s="263">
        <f>FC86+'User Input - Correlations'!BE86</f>
        <v>0</v>
      </c>
      <c r="BF86" s="263">
        <f>FD86+'User Input - Correlations'!BF86</f>
        <v>0</v>
      </c>
      <c r="BG86" s="263">
        <f>FE86+'User Input - Correlations'!BG86</f>
        <v>0</v>
      </c>
      <c r="BH86" s="263">
        <f>FF86+'User Input - Correlations'!BH86</f>
        <v>0</v>
      </c>
      <c r="BI86" s="263">
        <f>FG86+'User Input - Correlations'!BI86</f>
        <v>0</v>
      </c>
      <c r="BJ86" s="263">
        <f>FH86+'User Input - Correlations'!BJ86</f>
        <v>0</v>
      </c>
      <c r="BK86" s="263">
        <f>FI86+'User Input - Correlations'!BK86</f>
        <v>0</v>
      </c>
      <c r="BL86" s="263">
        <f>FJ86+'User Input - Correlations'!BL86</f>
        <v>0</v>
      </c>
      <c r="BM86" s="263">
        <f>FK86+'User Input - Correlations'!BM86</f>
        <v>0</v>
      </c>
      <c r="BN86" s="263">
        <f>FL86+'User Input - Correlations'!BN86</f>
        <v>0</v>
      </c>
      <c r="BO86" s="263">
        <f>FM86+'User Input - Correlations'!BO86</f>
        <v>0</v>
      </c>
      <c r="BP86" s="263">
        <f>FN86+'User Input - Correlations'!BP86</f>
        <v>0</v>
      </c>
      <c r="BQ86" s="263">
        <f>FO86+'User Input - Correlations'!BQ86</f>
        <v>0</v>
      </c>
      <c r="BR86" s="263">
        <f>FP86+'User Input - Correlations'!BR86</f>
        <v>0</v>
      </c>
      <c r="BS86" s="263">
        <f>FQ86+'User Input - Correlations'!BS86</f>
        <v>0</v>
      </c>
      <c r="BT86" s="263">
        <f>FR86+'User Input - Correlations'!BT86</f>
        <v>0</v>
      </c>
      <c r="BU86" s="263">
        <f>FS86+'User Input - Correlations'!BU86</f>
        <v>0</v>
      </c>
      <c r="BV86" s="263">
        <f>FT86+'User Input - Correlations'!BV86</f>
        <v>0</v>
      </c>
      <c r="BW86" s="263">
        <f>FU86+'User Input - Correlations'!BW86</f>
        <v>0</v>
      </c>
      <c r="BX86" s="263">
        <f>FV86+'User Input - Correlations'!BX86</f>
        <v>0</v>
      </c>
      <c r="BY86" s="263">
        <f>FW86+'User Input - Correlations'!BY86</f>
        <v>0</v>
      </c>
      <c r="BZ86" s="263">
        <v>1</v>
      </c>
      <c r="CA86" s="263">
        <f>FY86+'User Input - Correlations'!CA86</f>
        <v>0</v>
      </c>
      <c r="CB86" s="263">
        <f>FZ86+'User Input - Correlations'!CB86</f>
        <v>0</v>
      </c>
      <c r="CC86" s="263">
        <f>GA86+'User Input - Correlations'!CC86</f>
        <v>0</v>
      </c>
      <c r="CD86" s="263">
        <f>GB86+'User Input - Correlations'!CD86</f>
        <v>0</v>
      </c>
      <c r="CE86" s="263">
        <f>GC86+'User Input - Correlations'!CE86</f>
        <v>0</v>
      </c>
      <c r="CF86" s="263">
        <f>GD86+'User Input - Correlations'!CF86</f>
        <v>0</v>
      </c>
      <c r="CG86" s="263">
        <f>GE86+'User Input - Correlations'!CG86</f>
        <v>0</v>
      </c>
      <c r="CH86" s="263">
        <f>GF86+'User Input - Correlations'!CH86</f>
        <v>0</v>
      </c>
      <c r="CI86" s="263">
        <f>GG86+'User Input - Correlations'!CI86</f>
        <v>0</v>
      </c>
      <c r="CJ86" s="263">
        <f>GH86+'User Input - Correlations'!CJ86</f>
        <v>0</v>
      </c>
      <c r="CK86" s="263">
        <f>GI86+'User Input - Correlations'!CK86</f>
        <v>0</v>
      </c>
      <c r="CL86" s="263">
        <f>GJ86+'User Input - Correlations'!CL86</f>
        <v>0</v>
      </c>
      <c r="CM86" s="263">
        <f>GK86+'User Input - Correlations'!CM86</f>
        <v>0</v>
      </c>
      <c r="CN86" s="263">
        <f>GL86+'User Input - Correlations'!CN86</f>
        <v>0</v>
      </c>
      <c r="CO86" s="263">
        <f>GM86+'User Input - Correlations'!CO86</f>
        <v>0</v>
      </c>
      <c r="CP86" s="264">
        <f>GN86+'User Input - Correlations'!CP86</f>
        <v>0</v>
      </c>
      <c r="CQ86" s="281">
        <f ca="1">MDETERM(OFFSET($C$11,0,0,ROWS($CQ$11:$CQ86),ROWS($CQ$11:$CQ86)))</f>
        <v>1</v>
      </c>
      <c r="DA86" s="263">
        <v>0</v>
      </c>
      <c r="DB86" s="263">
        <v>0</v>
      </c>
      <c r="DC86" s="263">
        <v>0</v>
      </c>
      <c r="DD86" s="263">
        <v>0</v>
      </c>
      <c r="DE86" s="263">
        <v>0</v>
      </c>
      <c r="DF86" s="263">
        <v>0</v>
      </c>
      <c r="DG86" s="263">
        <v>0</v>
      </c>
      <c r="DH86" s="263">
        <v>0</v>
      </c>
      <c r="DI86" s="263">
        <v>0</v>
      </c>
      <c r="DJ86" s="263">
        <v>0</v>
      </c>
      <c r="DK86" s="263">
        <v>0</v>
      </c>
      <c r="DL86" s="263">
        <v>0</v>
      </c>
      <c r="DM86" s="263">
        <v>0</v>
      </c>
      <c r="DN86" s="263">
        <v>0</v>
      </c>
      <c r="DO86" s="263">
        <v>0</v>
      </c>
      <c r="DP86" s="263">
        <v>0</v>
      </c>
      <c r="DQ86" s="263">
        <v>0</v>
      </c>
      <c r="DR86" s="263">
        <v>0</v>
      </c>
      <c r="DS86" s="263">
        <v>0</v>
      </c>
      <c r="DT86" s="263">
        <v>0</v>
      </c>
      <c r="DU86" s="263">
        <v>0</v>
      </c>
      <c r="DV86" s="263">
        <v>0</v>
      </c>
      <c r="DW86" s="263">
        <v>0</v>
      </c>
      <c r="DX86" s="263">
        <v>0</v>
      </c>
      <c r="DY86" s="263">
        <v>0</v>
      </c>
      <c r="DZ86" s="263">
        <v>0</v>
      </c>
      <c r="EA86" s="263">
        <v>0</v>
      </c>
      <c r="EB86" s="263">
        <v>0</v>
      </c>
      <c r="EC86" s="263">
        <v>0</v>
      </c>
      <c r="ED86" s="263">
        <v>0</v>
      </c>
      <c r="EE86" s="263">
        <v>0</v>
      </c>
      <c r="EF86" s="263">
        <v>0</v>
      </c>
      <c r="EG86" s="263">
        <v>0</v>
      </c>
      <c r="EH86" s="263">
        <v>0</v>
      </c>
      <c r="EI86" s="263">
        <v>0</v>
      </c>
      <c r="EJ86" s="263">
        <v>0</v>
      </c>
      <c r="EK86" s="263">
        <v>0</v>
      </c>
      <c r="EL86" s="263">
        <v>0</v>
      </c>
      <c r="EM86" s="263">
        <v>0</v>
      </c>
      <c r="EN86" s="263">
        <v>0</v>
      </c>
      <c r="EO86" s="263">
        <v>0</v>
      </c>
      <c r="EP86" s="263">
        <v>0</v>
      </c>
      <c r="EQ86" s="263">
        <v>0</v>
      </c>
      <c r="ER86" s="263">
        <v>0</v>
      </c>
      <c r="ES86" s="263">
        <v>0</v>
      </c>
      <c r="ET86" s="263">
        <v>0</v>
      </c>
      <c r="EU86" s="263">
        <v>0</v>
      </c>
      <c r="EV86" s="263">
        <v>0</v>
      </c>
      <c r="EW86" s="263">
        <v>0</v>
      </c>
      <c r="EX86" s="263">
        <v>0</v>
      </c>
      <c r="EY86" s="263">
        <v>0</v>
      </c>
      <c r="EZ86" s="263">
        <v>0</v>
      </c>
      <c r="FA86" s="263">
        <v>0</v>
      </c>
      <c r="FB86" s="263">
        <v>0</v>
      </c>
      <c r="FC86" s="263">
        <v>0</v>
      </c>
      <c r="FD86" s="263">
        <v>0</v>
      </c>
      <c r="FE86" s="263">
        <v>0</v>
      </c>
      <c r="FF86" s="263">
        <v>0</v>
      </c>
      <c r="FG86" s="263">
        <v>0</v>
      </c>
      <c r="FH86" s="263">
        <v>0</v>
      </c>
      <c r="FI86" s="263">
        <v>0</v>
      </c>
      <c r="FJ86" s="263">
        <v>0</v>
      </c>
      <c r="FK86" s="263">
        <v>0</v>
      </c>
      <c r="FL86" s="263">
        <v>0</v>
      </c>
      <c r="FM86" s="263">
        <v>0</v>
      </c>
      <c r="FN86" s="263">
        <v>0</v>
      </c>
      <c r="FO86" s="263">
        <v>0</v>
      </c>
      <c r="FP86" s="263">
        <v>0</v>
      </c>
      <c r="FQ86" s="263">
        <v>0</v>
      </c>
      <c r="FR86" s="263">
        <v>0</v>
      </c>
      <c r="FS86" s="263">
        <v>0</v>
      </c>
      <c r="FT86" s="263">
        <v>0</v>
      </c>
      <c r="FU86" s="263">
        <v>0</v>
      </c>
      <c r="FV86" s="263">
        <v>0</v>
      </c>
      <c r="FW86" s="263">
        <v>0</v>
      </c>
      <c r="FX86" s="263">
        <v>1</v>
      </c>
      <c r="FY86" s="263">
        <v>0</v>
      </c>
      <c r="FZ86" s="263">
        <v>0</v>
      </c>
      <c r="GA86" s="263">
        <v>0</v>
      </c>
      <c r="GB86" s="263">
        <v>0</v>
      </c>
      <c r="GC86" s="263">
        <v>0</v>
      </c>
      <c r="GD86" s="263">
        <v>0</v>
      </c>
      <c r="GE86" s="263">
        <v>0</v>
      </c>
      <c r="GF86" s="263">
        <v>0</v>
      </c>
      <c r="GG86" s="263">
        <v>0</v>
      </c>
      <c r="GH86" s="263">
        <v>0</v>
      </c>
      <c r="GI86" s="263">
        <v>0</v>
      </c>
      <c r="GJ86" s="263">
        <v>0</v>
      </c>
      <c r="GK86" s="263">
        <v>0</v>
      </c>
      <c r="GL86" s="263">
        <v>0</v>
      </c>
      <c r="GM86" s="263">
        <v>0</v>
      </c>
      <c r="GN86" s="263">
        <v>0</v>
      </c>
    </row>
    <row r="87" ht="12.75" customHeight="1">
      <c r="A87" s="287" t="s">
        <v>191</v>
      </c>
      <c r="B87" s="287" t="s">
        <v>83</v>
      </c>
      <c r="C87" s="263">
        <f>DA87+'User Input - Correlations'!C87</f>
        <v>0</v>
      </c>
      <c r="D87" s="263">
        <f>DB87+'User Input - Correlations'!D87</f>
        <v>0</v>
      </c>
      <c r="E87" s="263">
        <f>DC87+'User Input - Correlations'!E87</f>
        <v>0</v>
      </c>
      <c r="F87" s="263">
        <f>DD87+'User Input - Correlations'!F87</f>
        <v>0</v>
      </c>
      <c r="G87" s="263">
        <f>DE87+'User Input - Correlations'!G87</f>
        <v>0</v>
      </c>
      <c r="H87" s="263">
        <f>DF87+'User Input - Correlations'!H87</f>
        <v>0</v>
      </c>
      <c r="I87" s="263">
        <f>DG87+'User Input - Correlations'!I87</f>
        <v>0</v>
      </c>
      <c r="J87" s="263">
        <f>DH87+'User Input - Correlations'!J87</f>
        <v>0</v>
      </c>
      <c r="K87" s="263">
        <f>DI87+'User Input - Correlations'!K87</f>
        <v>0</v>
      </c>
      <c r="L87" s="263">
        <f>DJ87+'User Input - Correlations'!L87</f>
        <v>0</v>
      </c>
      <c r="M87" s="263">
        <f>DK87+'User Input - Correlations'!M87</f>
        <v>0</v>
      </c>
      <c r="N87" s="263">
        <f>DL87+'User Input - Correlations'!N87</f>
        <v>0</v>
      </c>
      <c r="O87" s="263">
        <f>DM87+'User Input - Correlations'!O87</f>
        <v>0</v>
      </c>
      <c r="P87" s="263">
        <f>DN87+'User Input - Correlations'!P87</f>
        <v>0</v>
      </c>
      <c r="Q87" s="263">
        <f>DO87+'User Input - Correlations'!Q87</f>
        <v>0</v>
      </c>
      <c r="R87" s="263">
        <f>DP87+'User Input - Correlations'!R87</f>
        <v>0</v>
      </c>
      <c r="S87" s="263">
        <f>DQ87+'User Input - Correlations'!S87</f>
        <v>0</v>
      </c>
      <c r="T87" s="263">
        <f>DR87+'User Input - Correlations'!T87</f>
        <v>0</v>
      </c>
      <c r="U87" s="263">
        <f>DS87+'User Input - Correlations'!U87</f>
        <v>0</v>
      </c>
      <c r="V87" s="263">
        <f>DT87+'User Input - Correlations'!V87</f>
        <v>0</v>
      </c>
      <c r="W87" s="263">
        <f>DU87+'User Input - Correlations'!W87</f>
        <v>0</v>
      </c>
      <c r="X87" s="263">
        <f>DV87+'User Input - Correlations'!X87</f>
        <v>0</v>
      </c>
      <c r="Y87" s="263">
        <f>DW87+'User Input - Correlations'!Y87</f>
        <v>0</v>
      </c>
      <c r="Z87" s="263">
        <f>DX87+'User Input - Correlations'!Z87</f>
        <v>0</v>
      </c>
      <c r="AA87" s="263">
        <f>DY87+'User Input - Correlations'!AA87</f>
        <v>0</v>
      </c>
      <c r="AB87" s="263">
        <f>DZ87+'User Input - Correlations'!AB87</f>
        <v>0</v>
      </c>
      <c r="AC87" s="263">
        <f>EA87+'User Input - Correlations'!AC87</f>
        <v>0</v>
      </c>
      <c r="AD87" s="263">
        <f>EB87+'User Input - Correlations'!AD87</f>
        <v>0</v>
      </c>
      <c r="AE87" s="263">
        <f>EC87+'User Input - Correlations'!AE87</f>
        <v>0</v>
      </c>
      <c r="AF87" s="263">
        <f>ED87+'User Input - Correlations'!AF87</f>
        <v>0</v>
      </c>
      <c r="AG87" s="263">
        <f>EE87+'User Input - Correlations'!AG87</f>
        <v>0</v>
      </c>
      <c r="AH87" s="263">
        <f>EF87+'User Input - Correlations'!AH87</f>
        <v>0</v>
      </c>
      <c r="AI87" s="263">
        <f>EG87+'User Input - Correlations'!AI87</f>
        <v>0</v>
      </c>
      <c r="AJ87" s="263">
        <f>EH87+'User Input - Correlations'!AJ87</f>
        <v>0</v>
      </c>
      <c r="AK87" s="263">
        <f>EI87+'User Input - Correlations'!AK87</f>
        <v>0</v>
      </c>
      <c r="AL87" s="263">
        <f>EJ87+'User Input - Correlations'!AL87</f>
        <v>0</v>
      </c>
      <c r="AM87" s="263">
        <f>EK87+'User Input - Correlations'!AM87</f>
        <v>0</v>
      </c>
      <c r="AN87" s="263">
        <f>EL87+'User Input - Correlations'!AN87</f>
        <v>0</v>
      </c>
      <c r="AO87" s="263">
        <f>EM87+'User Input - Correlations'!AO87</f>
        <v>0</v>
      </c>
      <c r="AP87" s="263">
        <f>EN87+'User Input - Correlations'!AP87</f>
        <v>0</v>
      </c>
      <c r="AQ87" s="263">
        <f>EO87+'User Input - Correlations'!AQ87</f>
        <v>0</v>
      </c>
      <c r="AR87" s="263">
        <f>EP87+'User Input - Correlations'!AR87</f>
        <v>0</v>
      </c>
      <c r="AS87" s="263">
        <f>EQ87+'User Input - Correlations'!AS87</f>
        <v>0</v>
      </c>
      <c r="AT87" s="263">
        <f>ER87+'User Input - Correlations'!AT87</f>
        <v>0</v>
      </c>
      <c r="AU87" s="263">
        <f>ES87+'User Input - Correlations'!AU87</f>
        <v>0</v>
      </c>
      <c r="AV87" s="263">
        <f>ET87+'User Input - Correlations'!AV87</f>
        <v>0</v>
      </c>
      <c r="AW87" s="263">
        <f>EU87+'User Input - Correlations'!AW87</f>
        <v>0</v>
      </c>
      <c r="AX87" s="263">
        <f>EV87+'User Input - Correlations'!AX87</f>
        <v>0</v>
      </c>
      <c r="AY87" s="263">
        <f>EW87+'User Input - Correlations'!AY87</f>
        <v>0</v>
      </c>
      <c r="AZ87" s="263">
        <f>EX87+'User Input - Correlations'!AZ87</f>
        <v>0</v>
      </c>
      <c r="BA87" s="263">
        <f>EY87+'User Input - Correlations'!BA87</f>
        <v>0</v>
      </c>
      <c r="BB87" s="263">
        <f>EZ87+'User Input - Correlations'!BB87</f>
        <v>0</v>
      </c>
      <c r="BC87" s="263">
        <f>FA87+'User Input - Correlations'!BC87</f>
        <v>0</v>
      </c>
      <c r="BD87" s="263">
        <f>FB87+'User Input - Correlations'!BD87</f>
        <v>0</v>
      </c>
      <c r="BE87" s="263">
        <f>FC87+'User Input - Correlations'!BE87</f>
        <v>0</v>
      </c>
      <c r="BF87" s="263">
        <f>FD87+'User Input - Correlations'!BF87</f>
        <v>0</v>
      </c>
      <c r="BG87" s="263">
        <f>FE87+'User Input - Correlations'!BG87</f>
        <v>0</v>
      </c>
      <c r="BH87" s="263">
        <f>FF87+'User Input - Correlations'!BH87</f>
        <v>0</v>
      </c>
      <c r="BI87" s="263">
        <f>FG87+'User Input - Correlations'!BI87</f>
        <v>0</v>
      </c>
      <c r="BJ87" s="263">
        <f>FH87+'User Input - Correlations'!BJ87</f>
        <v>0</v>
      </c>
      <c r="BK87" s="263">
        <f>FI87+'User Input - Correlations'!BK87</f>
        <v>0</v>
      </c>
      <c r="BL87" s="263">
        <f>FJ87+'User Input - Correlations'!BL87</f>
        <v>0</v>
      </c>
      <c r="BM87" s="263">
        <f>FK87+'User Input - Correlations'!BM87</f>
        <v>0</v>
      </c>
      <c r="BN87" s="263">
        <f>FL87+'User Input - Correlations'!BN87</f>
        <v>0</v>
      </c>
      <c r="BO87" s="263">
        <f>FM87+'User Input - Correlations'!BO87</f>
        <v>0</v>
      </c>
      <c r="BP87" s="263">
        <f>FN87+'User Input - Correlations'!BP87</f>
        <v>0</v>
      </c>
      <c r="BQ87" s="263">
        <f>FO87+'User Input - Correlations'!BQ87</f>
        <v>0</v>
      </c>
      <c r="BR87" s="263">
        <f>FP87+'User Input - Correlations'!BR87</f>
        <v>0</v>
      </c>
      <c r="BS87" s="263">
        <f>FQ87+'User Input - Correlations'!BS87</f>
        <v>0</v>
      </c>
      <c r="BT87" s="263">
        <f>FR87+'User Input - Correlations'!BT87</f>
        <v>0</v>
      </c>
      <c r="BU87" s="263">
        <f>FS87+'User Input - Correlations'!BU87</f>
        <v>0</v>
      </c>
      <c r="BV87" s="263">
        <f>FT87+'User Input - Correlations'!BV87</f>
        <v>0</v>
      </c>
      <c r="BW87" s="263">
        <f>FU87+'User Input - Correlations'!BW87</f>
        <v>0</v>
      </c>
      <c r="BX87" s="263">
        <f>FV87+'User Input - Correlations'!BX87</f>
        <v>0</v>
      </c>
      <c r="BY87" s="263">
        <f>FW87+'User Input - Correlations'!BY87</f>
        <v>0</v>
      </c>
      <c r="BZ87" s="263">
        <f>FX87+'User Input - Correlations'!BZ87</f>
        <v>0</v>
      </c>
      <c r="CA87" s="263">
        <v>1</v>
      </c>
      <c r="CB87" s="263">
        <f>FZ87+'User Input - Correlations'!CB87</f>
        <v>0</v>
      </c>
      <c r="CC87" s="263">
        <f>GA87+'User Input - Correlations'!CC87</f>
        <v>0</v>
      </c>
      <c r="CD87" s="263">
        <f>GB87+'User Input - Correlations'!CD87</f>
        <v>0</v>
      </c>
      <c r="CE87" s="263">
        <f>GC87+'User Input - Correlations'!CE87</f>
        <v>0</v>
      </c>
      <c r="CF87" s="263">
        <f>GD87+'User Input - Correlations'!CF87</f>
        <v>0</v>
      </c>
      <c r="CG87" s="263">
        <f>GE87+'User Input - Correlations'!CG87</f>
        <v>0</v>
      </c>
      <c r="CH87" s="263">
        <f>GF87+'User Input - Correlations'!CH87</f>
        <v>0</v>
      </c>
      <c r="CI87" s="263">
        <f>GG87+'User Input - Correlations'!CI87</f>
        <v>0</v>
      </c>
      <c r="CJ87" s="263">
        <f>GH87+'User Input - Correlations'!CJ87</f>
        <v>0</v>
      </c>
      <c r="CK87" s="263">
        <f>GI87+'User Input - Correlations'!CK87</f>
        <v>0</v>
      </c>
      <c r="CL87" s="263">
        <f>GJ87+'User Input - Correlations'!CL87</f>
        <v>0</v>
      </c>
      <c r="CM87" s="263">
        <f>GK87+'User Input - Correlations'!CM87</f>
        <v>0</v>
      </c>
      <c r="CN87" s="263">
        <f>GL87+'User Input - Correlations'!CN87</f>
        <v>0</v>
      </c>
      <c r="CO87" s="263">
        <f>GM87+'User Input - Correlations'!CO87</f>
        <v>0</v>
      </c>
      <c r="CP87" s="264">
        <f>GN87+'User Input - Correlations'!CP87</f>
        <v>0</v>
      </c>
      <c r="CQ87" s="281">
        <f ca="1">MDETERM(OFFSET($C$11,0,0,ROWS($CQ$11:$CQ87),ROWS($CQ$11:$CQ87)))</f>
        <v>1</v>
      </c>
      <c r="DA87" s="263">
        <v>0</v>
      </c>
      <c r="DB87" s="263">
        <v>0</v>
      </c>
      <c r="DC87" s="263">
        <v>0</v>
      </c>
      <c r="DD87" s="263">
        <v>0</v>
      </c>
      <c r="DE87" s="263">
        <v>0</v>
      </c>
      <c r="DF87" s="263">
        <v>0</v>
      </c>
      <c r="DG87" s="263">
        <v>0</v>
      </c>
      <c r="DH87" s="263">
        <v>0</v>
      </c>
      <c r="DI87" s="263">
        <v>0</v>
      </c>
      <c r="DJ87" s="263">
        <v>0</v>
      </c>
      <c r="DK87" s="263">
        <v>0</v>
      </c>
      <c r="DL87" s="263">
        <v>0</v>
      </c>
      <c r="DM87" s="263">
        <v>0</v>
      </c>
      <c r="DN87" s="263">
        <v>0</v>
      </c>
      <c r="DO87" s="263">
        <v>0</v>
      </c>
      <c r="DP87" s="263">
        <v>0</v>
      </c>
      <c r="DQ87" s="263">
        <v>0</v>
      </c>
      <c r="DR87" s="263">
        <v>0</v>
      </c>
      <c r="DS87" s="263">
        <v>0</v>
      </c>
      <c r="DT87" s="263">
        <v>0</v>
      </c>
      <c r="DU87" s="263">
        <v>0</v>
      </c>
      <c r="DV87" s="263">
        <v>0</v>
      </c>
      <c r="DW87" s="263">
        <v>0</v>
      </c>
      <c r="DX87" s="263">
        <v>0</v>
      </c>
      <c r="DY87" s="263">
        <v>0</v>
      </c>
      <c r="DZ87" s="263">
        <v>0</v>
      </c>
      <c r="EA87" s="263">
        <v>0</v>
      </c>
      <c r="EB87" s="263">
        <v>0</v>
      </c>
      <c r="EC87" s="263">
        <v>0</v>
      </c>
      <c r="ED87" s="263">
        <v>0</v>
      </c>
      <c r="EE87" s="263">
        <v>0</v>
      </c>
      <c r="EF87" s="263">
        <v>0</v>
      </c>
      <c r="EG87" s="263">
        <v>0</v>
      </c>
      <c r="EH87" s="263">
        <v>0</v>
      </c>
      <c r="EI87" s="263">
        <v>0</v>
      </c>
      <c r="EJ87" s="263">
        <v>0</v>
      </c>
      <c r="EK87" s="263">
        <v>0</v>
      </c>
      <c r="EL87" s="263">
        <v>0</v>
      </c>
      <c r="EM87" s="263">
        <v>0</v>
      </c>
      <c r="EN87" s="263">
        <v>0</v>
      </c>
      <c r="EO87" s="263">
        <v>0</v>
      </c>
      <c r="EP87" s="263">
        <v>0</v>
      </c>
      <c r="EQ87" s="263">
        <v>0</v>
      </c>
      <c r="ER87" s="263">
        <v>0</v>
      </c>
      <c r="ES87" s="263">
        <v>0</v>
      </c>
      <c r="ET87" s="263">
        <v>0</v>
      </c>
      <c r="EU87" s="263">
        <v>0</v>
      </c>
      <c r="EV87" s="263">
        <v>0</v>
      </c>
      <c r="EW87" s="263">
        <v>0</v>
      </c>
      <c r="EX87" s="263">
        <v>0</v>
      </c>
      <c r="EY87" s="263">
        <v>0</v>
      </c>
      <c r="EZ87" s="263">
        <v>0</v>
      </c>
      <c r="FA87" s="263">
        <v>0</v>
      </c>
      <c r="FB87" s="263">
        <v>0</v>
      </c>
      <c r="FC87" s="263">
        <v>0</v>
      </c>
      <c r="FD87" s="263">
        <v>0</v>
      </c>
      <c r="FE87" s="263">
        <v>0</v>
      </c>
      <c r="FF87" s="263">
        <v>0</v>
      </c>
      <c r="FG87" s="263">
        <v>0</v>
      </c>
      <c r="FH87" s="263">
        <v>0</v>
      </c>
      <c r="FI87" s="263">
        <v>0</v>
      </c>
      <c r="FJ87" s="263">
        <v>0</v>
      </c>
      <c r="FK87" s="263">
        <v>0</v>
      </c>
      <c r="FL87" s="263">
        <v>0</v>
      </c>
      <c r="FM87" s="263">
        <v>0</v>
      </c>
      <c r="FN87" s="263">
        <v>0</v>
      </c>
      <c r="FO87" s="263">
        <v>0</v>
      </c>
      <c r="FP87" s="263">
        <v>0</v>
      </c>
      <c r="FQ87" s="263">
        <v>0</v>
      </c>
      <c r="FR87" s="263">
        <v>0</v>
      </c>
      <c r="FS87" s="263">
        <v>0</v>
      </c>
      <c r="FT87" s="263">
        <v>0</v>
      </c>
      <c r="FU87" s="263">
        <v>0</v>
      </c>
      <c r="FV87" s="263">
        <v>0</v>
      </c>
      <c r="FW87" s="263">
        <v>0</v>
      </c>
      <c r="FX87" s="263">
        <v>0</v>
      </c>
      <c r="FY87" s="263">
        <v>1</v>
      </c>
      <c r="FZ87" s="263">
        <v>0</v>
      </c>
      <c r="GA87" s="263">
        <v>0</v>
      </c>
      <c r="GB87" s="263">
        <v>0</v>
      </c>
      <c r="GC87" s="263">
        <v>0</v>
      </c>
      <c r="GD87" s="263">
        <v>0</v>
      </c>
      <c r="GE87" s="263">
        <v>0</v>
      </c>
      <c r="GF87" s="263">
        <v>0</v>
      </c>
      <c r="GG87" s="263">
        <v>0</v>
      </c>
      <c r="GH87" s="263">
        <v>0</v>
      </c>
      <c r="GI87" s="263">
        <v>0</v>
      </c>
      <c r="GJ87" s="263">
        <v>0</v>
      </c>
      <c r="GK87" s="263">
        <v>0</v>
      </c>
      <c r="GL87" s="263">
        <v>0</v>
      </c>
      <c r="GM87" s="263">
        <v>0</v>
      </c>
      <c r="GN87" s="263">
        <v>0</v>
      </c>
    </row>
    <row r="88" ht="12.75" customHeight="1">
      <c r="A88" s="287" t="s">
        <v>180</v>
      </c>
      <c r="B88" s="287" t="s">
        <v>83</v>
      </c>
      <c r="C88" s="263">
        <f>DA88+'User Input - Correlations'!C88</f>
        <v>0</v>
      </c>
      <c r="D88" s="263">
        <f>DB88+'User Input - Correlations'!D88</f>
        <v>0</v>
      </c>
      <c r="E88" s="263">
        <f>DC88+'User Input - Correlations'!E88</f>
        <v>0</v>
      </c>
      <c r="F88" s="263">
        <f>DD88+'User Input - Correlations'!F88</f>
        <v>0</v>
      </c>
      <c r="G88" s="263">
        <f>DE88+'User Input - Correlations'!G88</f>
        <v>0</v>
      </c>
      <c r="H88" s="263">
        <f>DF88+'User Input - Correlations'!H88</f>
        <v>0</v>
      </c>
      <c r="I88" s="263">
        <f>DG88+'User Input - Correlations'!I88</f>
        <v>0</v>
      </c>
      <c r="J88" s="263">
        <f>DH88+'User Input - Correlations'!J88</f>
        <v>0</v>
      </c>
      <c r="K88" s="263">
        <f>DI88+'User Input - Correlations'!K88</f>
        <v>0</v>
      </c>
      <c r="L88" s="263">
        <f>DJ88+'User Input - Correlations'!L88</f>
        <v>0</v>
      </c>
      <c r="M88" s="263">
        <f>DK88+'User Input - Correlations'!M88</f>
        <v>0</v>
      </c>
      <c r="N88" s="263">
        <f>DL88+'User Input - Correlations'!N88</f>
        <v>0</v>
      </c>
      <c r="O88" s="263">
        <f>DM88+'User Input - Correlations'!O88</f>
        <v>0</v>
      </c>
      <c r="P88" s="263">
        <f>DN88+'User Input - Correlations'!P88</f>
        <v>0</v>
      </c>
      <c r="Q88" s="263">
        <f>DO88+'User Input - Correlations'!Q88</f>
        <v>0</v>
      </c>
      <c r="R88" s="263">
        <f>DP88+'User Input - Correlations'!R88</f>
        <v>0</v>
      </c>
      <c r="S88" s="263">
        <f>DQ88+'User Input - Correlations'!S88</f>
        <v>0</v>
      </c>
      <c r="T88" s="263">
        <f>DR88+'User Input - Correlations'!T88</f>
        <v>0</v>
      </c>
      <c r="U88" s="263">
        <f>DS88+'User Input - Correlations'!U88</f>
        <v>0</v>
      </c>
      <c r="V88" s="263">
        <f>DT88+'User Input - Correlations'!V88</f>
        <v>0</v>
      </c>
      <c r="W88" s="263">
        <f>DU88+'User Input - Correlations'!W88</f>
        <v>0</v>
      </c>
      <c r="X88" s="263">
        <f>DV88+'User Input - Correlations'!X88</f>
        <v>0</v>
      </c>
      <c r="Y88" s="263">
        <f>DW88+'User Input - Correlations'!Y88</f>
        <v>0</v>
      </c>
      <c r="Z88" s="263">
        <f>DX88+'User Input - Correlations'!Z88</f>
        <v>0</v>
      </c>
      <c r="AA88" s="263">
        <f>DY88+'User Input - Correlations'!AA88</f>
        <v>0</v>
      </c>
      <c r="AB88" s="263">
        <f>DZ88+'User Input - Correlations'!AB88</f>
        <v>0</v>
      </c>
      <c r="AC88" s="263">
        <f>EA88+'User Input - Correlations'!AC88</f>
        <v>0</v>
      </c>
      <c r="AD88" s="263">
        <f>EB88+'User Input - Correlations'!AD88</f>
        <v>0</v>
      </c>
      <c r="AE88" s="263">
        <f>EC88+'User Input - Correlations'!AE88</f>
        <v>0</v>
      </c>
      <c r="AF88" s="263">
        <f>ED88+'User Input - Correlations'!AF88</f>
        <v>0</v>
      </c>
      <c r="AG88" s="263">
        <f>EE88+'User Input - Correlations'!AG88</f>
        <v>0</v>
      </c>
      <c r="AH88" s="263">
        <f>EF88+'User Input - Correlations'!AH88</f>
        <v>0</v>
      </c>
      <c r="AI88" s="263">
        <f>EG88+'User Input - Correlations'!AI88</f>
        <v>0</v>
      </c>
      <c r="AJ88" s="263">
        <f>EH88+'User Input - Correlations'!AJ88</f>
        <v>0</v>
      </c>
      <c r="AK88" s="263">
        <f>EI88+'User Input - Correlations'!AK88</f>
        <v>0</v>
      </c>
      <c r="AL88" s="263">
        <f>EJ88+'User Input - Correlations'!AL88</f>
        <v>0</v>
      </c>
      <c r="AM88" s="263">
        <f>EK88+'User Input - Correlations'!AM88</f>
        <v>0</v>
      </c>
      <c r="AN88" s="263">
        <f>EL88+'User Input - Correlations'!AN88</f>
        <v>0</v>
      </c>
      <c r="AO88" s="263">
        <f>EM88+'User Input - Correlations'!AO88</f>
        <v>0</v>
      </c>
      <c r="AP88" s="263">
        <f>EN88+'User Input - Correlations'!AP88</f>
        <v>0</v>
      </c>
      <c r="AQ88" s="263">
        <f>EO88+'User Input - Correlations'!AQ88</f>
        <v>0</v>
      </c>
      <c r="AR88" s="263">
        <f>EP88+'User Input - Correlations'!AR88</f>
        <v>0</v>
      </c>
      <c r="AS88" s="263">
        <f>EQ88+'User Input - Correlations'!AS88</f>
        <v>0</v>
      </c>
      <c r="AT88" s="263">
        <f>ER88+'User Input - Correlations'!AT88</f>
        <v>0</v>
      </c>
      <c r="AU88" s="263">
        <f>ES88+'User Input - Correlations'!AU88</f>
        <v>0</v>
      </c>
      <c r="AV88" s="263">
        <f>ET88+'User Input - Correlations'!AV88</f>
        <v>0</v>
      </c>
      <c r="AW88" s="263">
        <f>EU88+'User Input - Correlations'!AW88</f>
        <v>0</v>
      </c>
      <c r="AX88" s="263">
        <f>EV88+'User Input - Correlations'!AX88</f>
        <v>0</v>
      </c>
      <c r="AY88" s="263">
        <f>EW88+'User Input - Correlations'!AY88</f>
        <v>0</v>
      </c>
      <c r="AZ88" s="263">
        <f>EX88+'User Input - Correlations'!AZ88</f>
        <v>0</v>
      </c>
      <c r="BA88" s="263">
        <f>EY88+'User Input - Correlations'!BA88</f>
        <v>0</v>
      </c>
      <c r="BB88" s="263">
        <f>EZ88+'User Input - Correlations'!BB88</f>
        <v>0</v>
      </c>
      <c r="BC88" s="263">
        <f>FA88+'User Input - Correlations'!BC88</f>
        <v>0</v>
      </c>
      <c r="BD88" s="263">
        <f>FB88+'User Input - Correlations'!BD88</f>
        <v>0</v>
      </c>
      <c r="BE88" s="263">
        <f>FC88+'User Input - Correlations'!BE88</f>
        <v>0</v>
      </c>
      <c r="BF88" s="263">
        <f>FD88+'User Input - Correlations'!BF88</f>
        <v>0</v>
      </c>
      <c r="BG88" s="263">
        <f>FE88+'User Input - Correlations'!BG88</f>
        <v>0</v>
      </c>
      <c r="BH88" s="263">
        <f>FF88+'User Input - Correlations'!BH88</f>
        <v>0</v>
      </c>
      <c r="BI88" s="263">
        <f>FG88+'User Input - Correlations'!BI88</f>
        <v>0</v>
      </c>
      <c r="BJ88" s="263">
        <f>FH88+'User Input - Correlations'!BJ88</f>
        <v>0</v>
      </c>
      <c r="BK88" s="263">
        <f>FI88+'User Input - Correlations'!BK88</f>
        <v>0</v>
      </c>
      <c r="BL88" s="263">
        <f>FJ88+'User Input - Correlations'!BL88</f>
        <v>0</v>
      </c>
      <c r="BM88" s="263">
        <f>FK88+'User Input - Correlations'!BM88</f>
        <v>0</v>
      </c>
      <c r="BN88" s="263">
        <f>FL88+'User Input - Correlations'!BN88</f>
        <v>0</v>
      </c>
      <c r="BO88" s="263">
        <f>FM88+'User Input - Correlations'!BO88</f>
        <v>0</v>
      </c>
      <c r="BP88" s="263">
        <f>FN88+'User Input - Correlations'!BP88</f>
        <v>0</v>
      </c>
      <c r="BQ88" s="263">
        <f>FO88+'User Input - Correlations'!BQ88</f>
        <v>0</v>
      </c>
      <c r="BR88" s="263">
        <f>FP88+'User Input - Correlations'!BR88</f>
        <v>0</v>
      </c>
      <c r="BS88" s="263">
        <f>FQ88+'User Input - Correlations'!BS88</f>
        <v>0</v>
      </c>
      <c r="BT88" s="263">
        <f>FR88+'User Input - Correlations'!BT88</f>
        <v>0</v>
      </c>
      <c r="BU88" s="263">
        <f>FS88+'User Input - Correlations'!BU88</f>
        <v>0</v>
      </c>
      <c r="BV88" s="263">
        <f>FT88+'User Input - Correlations'!BV88</f>
        <v>0</v>
      </c>
      <c r="BW88" s="263">
        <f>FU88+'User Input - Correlations'!BW88</f>
        <v>0</v>
      </c>
      <c r="BX88" s="263">
        <f>FV88+'User Input - Correlations'!BX88</f>
        <v>0</v>
      </c>
      <c r="BY88" s="263">
        <f>FW88+'User Input - Correlations'!BY88</f>
        <v>0</v>
      </c>
      <c r="BZ88" s="263">
        <f>FX88+'User Input - Correlations'!BZ88</f>
        <v>0</v>
      </c>
      <c r="CA88" s="263">
        <f>FY88+'User Input - Correlations'!CA88</f>
        <v>0</v>
      </c>
      <c r="CB88" s="263">
        <v>1</v>
      </c>
      <c r="CC88" s="263">
        <f>GA88+'User Input - Correlations'!CC88</f>
        <v>0</v>
      </c>
      <c r="CD88" s="263">
        <f>GB88+'User Input - Correlations'!CD88</f>
        <v>0</v>
      </c>
      <c r="CE88" s="263">
        <f>GC88+'User Input - Correlations'!CE88</f>
        <v>0</v>
      </c>
      <c r="CF88" s="263">
        <f>GD88+'User Input - Correlations'!CF88</f>
        <v>0</v>
      </c>
      <c r="CG88" s="263">
        <f>GE88+'User Input - Correlations'!CG88</f>
        <v>0</v>
      </c>
      <c r="CH88" s="263">
        <f>GF88+'User Input - Correlations'!CH88</f>
        <v>0</v>
      </c>
      <c r="CI88" s="263">
        <f>GG88+'User Input - Correlations'!CI88</f>
        <v>0</v>
      </c>
      <c r="CJ88" s="263">
        <f>GH88+'User Input - Correlations'!CJ88</f>
        <v>0</v>
      </c>
      <c r="CK88" s="263">
        <f>GI88+'User Input - Correlations'!CK88</f>
        <v>0</v>
      </c>
      <c r="CL88" s="263">
        <f>GJ88+'User Input - Correlations'!CL88</f>
        <v>0</v>
      </c>
      <c r="CM88" s="263">
        <f>GK88+'User Input - Correlations'!CM88</f>
        <v>0</v>
      </c>
      <c r="CN88" s="263">
        <f>GL88+'User Input - Correlations'!CN88</f>
        <v>0</v>
      </c>
      <c r="CO88" s="263">
        <f>GM88+'User Input - Correlations'!CO88</f>
        <v>0</v>
      </c>
      <c r="CP88" s="264">
        <f>GN88+'User Input - Correlations'!CP88</f>
        <v>0</v>
      </c>
      <c r="CQ88" s="281">
        <f ca="1">MDETERM(OFFSET($C$11,0,0,ROWS($CQ$11:$CQ88),ROWS($CQ$11:$CQ88)))</f>
        <v>1</v>
      </c>
      <c r="DA88" s="263">
        <v>0</v>
      </c>
      <c r="DB88" s="263">
        <v>0</v>
      </c>
      <c r="DC88" s="263">
        <v>0</v>
      </c>
      <c r="DD88" s="263">
        <v>0</v>
      </c>
      <c r="DE88" s="263">
        <v>0</v>
      </c>
      <c r="DF88" s="263">
        <v>0</v>
      </c>
      <c r="DG88" s="263">
        <v>0</v>
      </c>
      <c r="DH88" s="263">
        <v>0</v>
      </c>
      <c r="DI88" s="263">
        <v>0</v>
      </c>
      <c r="DJ88" s="263">
        <v>0</v>
      </c>
      <c r="DK88" s="263">
        <v>0</v>
      </c>
      <c r="DL88" s="263">
        <v>0</v>
      </c>
      <c r="DM88" s="263">
        <v>0</v>
      </c>
      <c r="DN88" s="263">
        <v>0</v>
      </c>
      <c r="DO88" s="263">
        <v>0</v>
      </c>
      <c r="DP88" s="263">
        <v>0</v>
      </c>
      <c r="DQ88" s="263">
        <v>0</v>
      </c>
      <c r="DR88" s="263">
        <v>0</v>
      </c>
      <c r="DS88" s="263">
        <v>0</v>
      </c>
      <c r="DT88" s="263">
        <v>0</v>
      </c>
      <c r="DU88" s="263">
        <v>0</v>
      </c>
      <c r="DV88" s="263">
        <v>0</v>
      </c>
      <c r="DW88" s="263">
        <v>0</v>
      </c>
      <c r="DX88" s="263">
        <v>0</v>
      </c>
      <c r="DY88" s="263">
        <v>0</v>
      </c>
      <c r="DZ88" s="263">
        <v>0</v>
      </c>
      <c r="EA88" s="263">
        <v>0</v>
      </c>
      <c r="EB88" s="263">
        <v>0</v>
      </c>
      <c r="EC88" s="263">
        <v>0</v>
      </c>
      <c r="ED88" s="263">
        <v>0</v>
      </c>
      <c r="EE88" s="263">
        <v>0</v>
      </c>
      <c r="EF88" s="263">
        <v>0</v>
      </c>
      <c r="EG88" s="263">
        <v>0</v>
      </c>
      <c r="EH88" s="263">
        <v>0</v>
      </c>
      <c r="EI88" s="263">
        <v>0</v>
      </c>
      <c r="EJ88" s="263">
        <v>0</v>
      </c>
      <c r="EK88" s="263">
        <v>0</v>
      </c>
      <c r="EL88" s="263">
        <v>0</v>
      </c>
      <c r="EM88" s="263">
        <v>0</v>
      </c>
      <c r="EN88" s="263">
        <v>0</v>
      </c>
      <c r="EO88" s="263">
        <v>0</v>
      </c>
      <c r="EP88" s="263">
        <v>0</v>
      </c>
      <c r="EQ88" s="263">
        <v>0</v>
      </c>
      <c r="ER88" s="263">
        <v>0</v>
      </c>
      <c r="ES88" s="263">
        <v>0</v>
      </c>
      <c r="ET88" s="263">
        <v>0</v>
      </c>
      <c r="EU88" s="263">
        <v>0</v>
      </c>
      <c r="EV88" s="263">
        <v>0</v>
      </c>
      <c r="EW88" s="263">
        <v>0</v>
      </c>
      <c r="EX88" s="263">
        <v>0</v>
      </c>
      <c r="EY88" s="263">
        <v>0</v>
      </c>
      <c r="EZ88" s="263">
        <v>0</v>
      </c>
      <c r="FA88" s="263">
        <v>0</v>
      </c>
      <c r="FB88" s="263">
        <v>0</v>
      </c>
      <c r="FC88" s="263">
        <v>0</v>
      </c>
      <c r="FD88" s="263">
        <v>0</v>
      </c>
      <c r="FE88" s="263">
        <v>0</v>
      </c>
      <c r="FF88" s="263">
        <v>0</v>
      </c>
      <c r="FG88" s="263">
        <v>0</v>
      </c>
      <c r="FH88" s="263">
        <v>0</v>
      </c>
      <c r="FI88" s="263">
        <v>0</v>
      </c>
      <c r="FJ88" s="263">
        <v>0</v>
      </c>
      <c r="FK88" s="263">
        <v>0</v>
      </c>
      <c r="FL88" s="263">
        <v>0</v>
      </c>
      <c r="FM88" s="263">
        <v>0</v>
      </c>
      <c r="FN88" s="263">
        <v>0</v>
      </c>
      <c r="FO88" s="263">
        <v>0</v>
      </c>
      <c r="FP88" s="263">
        <v>0</v>
      </c>
      <c r="FQ88" s="263">
        <v>0</v>
      </c>
      <c r="FR88" s="263">
        <v>0</v>
      </c>
      <c r="FS88" s="263">
        <v>0</v>
      </c>
      <c r="FT88" s="263">
        <v>0</v>
      </c>
      <c r="FU88" s="263">
        <v>0</v>
      </c>
      <c r="FV88" s="263">
        <v>0</v>
      </c>
      <c r="FW88" s="263">
        <v>0</v>
      </c>
      <c r="FX88" s="263">
        <v>0</v>
      </c>
      <c r="FY88" s="263">
        <v>0</v>
      </c>
      <c r="FZ88" s="263">
        <v>1</v>
      </c>
      <c r="GA88" s="263">
        <v>0</v>
      </c>
      <c r="GB88" s="263">
        <v>0</v>
      </c>
      <c r="GC88" s="263">
        <v>0</v>
      </c>
      <c r="GD88" s="263">
        <v>0</v>
      </c>
      <c r="GE88" s="263">
        <v>0</v>
      </c>
      <c r="GF88" s="263">
        <v>0</v>
      </c>
      <c r="GG88" s="263">
        <v>0</v>
      </c>
      <c r="GH88" s="263">
        <v>0</v>
      </c>
      <c r="GI88" s="263">
        <v>0</v>
      </c>
      <c r="GJ88" s="263">
        <v>0</v>
      </c>
      <c r="GK88" s="263">
        <v>0</v>
      </c>
      <c r="GL88" s="263">
        <v>0</v>
      </c>
      <c r="GM88" s="263">
        <v>0</v>
      </c>
      <c r="GN88" s="263">
        <v>0</v>
      </c>
    </row>
    <row r="89" ht="12.75" customHeight="1">
      <c r="A89" s="287" t="s">
        <v>181</v>
      </c>
      <c r="B89" s="287" t="s">
        <v>83</v>
      </c>
      <c r="C89" s="263">
        <f>DA89+'User Input - Correlations'!C89</f>
        <v>0</v>
      </c>
      <c r="D89" s="263">
        <f>DB89+'User Input - Correlations'!D89</f>
        <v>0</v>
      </c>
      <c r="E89" s="263">
        <f>DC89+'User Input - Correlations'!E89</f>
        <v>0</v>
      </c>
      <c r="F89" s="263">
        <f>DD89+'User Input - Correlations'!F89</f>
        <v>0</v>
      </c>
      <c r="G89" s="263">
        <f>DE89+'User Input - Correlations'!G89</f>
        <v>0</v>
      </c>
      <c r="H89" s="263">
        <f>DF89+'User Input - Correlations'!H89</f>
        <v>0</v>
      </c>
      <c r="I89" s="263">
        <f>DG89+'User Input - Correlations'!I89</f>
        <v>0</v>
      </c>
      <c r="J89" s="263">
        <f>DH89+'User Input - Correlations'!J89</f>
        <v>0</v>
      </c>
      <c r="K89" s="263">
        <f>DI89+'User Input - Correlations'!K89</f>
        <v>0</v>
      </c>
      <c r="L89" s="263">
        <f>DJ89+'User Input - Correlations'!L89</f>
        <v>0</v>
      </c>
      <c r="M89" s="263">
        <f>DK89+'User Input - Correlations'!M89</f>
        <v>0</v>
      </c>
      <c r="N89" s="263">
        <f>DL89+'User Input - Correlations'!N89</f>
        <v>0</v>
      </c>
      <c r="O89" s="263">
        <f>DM89+'User Input - Correlations'!O89</f>
        <v>0</v>
      </c>
      <c r="P89" s="263">
        <f>DN89+'User Input - Correlations'!P89</f>
        <v>0</v>
      </c>
      <c r="Q89" s="263">
        <f>DO89+'User Input - Correlations'!Q89</f>
        <v>0</v>
      </c>
      <c r="R89" s="263">
        <f>DP89+'User Input - Correlations'!R89</f>
        <v>0</v>
      </c>
      <c r="S89" s="263">
        <f>DQ89+'User Input - Correlations'!S89</f>
        <v>0</v>
      </c>
      <c r="T89" s="263">
        <f>DR89+'User Input - Correlations'!T89</f>
        <v>0</v>
      </c>
      <c r="U89" s="263">
        <f>DS89+'User Input - Correlations'!U89</f>
        <v>0</v>
      </c>
      <c r="V89" s="263">
        <f>DT89+'User Input - Correlations'!V89</f>
        <v>0</v>
      </c>
      <c r="W89" s="263">
        <f>DU89+'User Input - Correlations'!W89</f>
        <v>0</v>
      </c>
      <c r="X89" s="263">
        <f>DV89+'User Input - Correlations'!X89</f>
        <v>0</v>
      </c>
      <c r="Y89" s="263">
        <f>DW89+'User Input - Correlations'!Y89</f>
        <v>0</v>
      </c>
      <c r="Z89" s="263">
        <f>DX89+'User Input - Correlations'!Z89</f>
        <v>0</v>
      </c>
      <c r="AA89" s="263">
        <f>DY89+'User Input - Correlations'!AA89</f>
        <v>0</v>
      </c>
      <c r="AB89" s="263">
        <f>DZ89+'User Input - Correlations'!AB89</f>
        <v>0</v>
      </c>
      <c r="AC89" s="263">
        <f>EA89+'User Input - Correlations'!AC89</f>
        <v>0</v>
      </c>
      <c r="AD89" s="263">
        <f>EB89+'User Input - Correlations'!AD89</f>
        <v>0</v>
      </c>
      <c r="AE89" s="263">
        <f>EC89+'User Input - Correlations'!AE89</f>
        <v>0</v>
      </c>
      <c r="AF89" s="263">
        <f>ED89+'User Input - Correlations'!AF89</f>
        <v>0</v>
      </c>
      <c r="AG89" s="263">
        <f>EE89+'User Input - Correlations'!AG89</f>
        <v>0</v>
      </c>
      <c r="AH89" s="263">
        <f>EF89+'User Input - Correlations'!AH89</f>
        <v>0</v>
      </c>
      <c r="AI89" s="263">
        <f>EG89+'User Input - Correlations'!AI89</f>
        <v>0</v>
      </c>
      <c r="AJ89" s="263">
        <f>EH89+'User Input - Correlations'!AJ89</f>
        <v>0</v>
      </c>
      <c r="AK89" s="263">
        <f>EI89+'User Input - Correlations'!AK89</f>
        <v>0</v>
      </c>
      <c r="AL89" s="263">
        <f>EJ89+'User Input - Correlations'!AL89</f>
        <v>0</v>
      </c>
      <c r="AM89" s="263">
        <f>EK89+'User Input - Correlations'!AM89</f>
        <v>0</v>
      </c>
      <c r="AN89" s="263">
        <f>EL89+'User Input - Correlations'!AN89</f>
        <v>0</v>
      </c>
      <c r="AO89" s="263">
        <f>EM89+'User Input - Correlations'!AO89</f>
        <v>0</v>
      </c>
      <c r="AP89" s="263">
        <f>EN89+'User Input - Correlations'!AP89</f>
        <v>0</v>
      </c>
      <c r="AQ89" s="263">
        <f>EO89+'User Input - Correlations'!AQ89</f>
        <v>0</v>
      </c>
      <c r="AR89" s="263">
        <f>EP89+'User Input - Correlations'!AR89</f>
        <v>0</v>
      </c>
      <c r="AS89" s="263">
        <f>EQ89+'User Input - Correlations'!AS89</f>
        <v>0</v>
      </c>
      <c r="AT89" s="263">
        <f>ER89+'User Input - Correlations'!AT89</f>
        <v>0</v>
      </c>
      <c r="AU89" s="263">
        <f>ES89+'User Input - Correlations'!AU89</f>
        <v>0</v>
      </c>
      <c r="AV89" s="263">
        <f>ET89+'User Input - Correlations'!AV89</f>
        <v>0</v>
      </c>
      <c r="AW89" s="263">
        <f>EU89+'User Input - Correlations'!AW89</f>
        <v>0</v>
      </c>
      <c r="AX89" s="263">
        <f>EV89+'User Input - Correlations'!AX89</f>
        <v>0</v>
      </c>
      <c r="AY89" s="263">
        <f>EW89+'User Input - Correlations'!AY89</f>
        <v>0</v>
      </c>
      <c r="AZ89" s="263">
        <f>EX89+'User Input - Correlations'!AZ89</f>
        <v>0</v>
      </c>
      <c r="BA89" s="263">
        <f>EY89+'User Input - Correlations'!BA89</f>
        <v>0</v>
      </c>
      <c r="BB89" s="263">
        <f>EZ89+'User Input - Correlations'!BB89</f>
        <v>0</v>
      </c>
      <c r="BC89" s="263">
        <f>FA89+'User Input - Correlations'!BC89</f>
        <v>0</v>
      </c>
      <c r="BD89" s="263">
        <f>FB89+'User Input - Correlations'!BD89</f>
        <v>0</v>
      </c>
      <c r="BE89" s="263">
        <f>FC89+'User Input - Correlations'!BE89</f>
        <v>0</v>
      </c>
      <c r="BF89" s="263">
        <f>FD89+'User Input - Correlations'!BF89</f>
        <v>0</v>
      </c>
      <c r="BG89" s="263">
        <f>FE89+'User Input - Correlations'!BG89</f>
        <v>0</v>
      </c>
      <c r="BH89" s="263">
        <f>FF89+'User Input - Correlations'!BH89</f>
        <v>0</v>
      </c>
      <c r="BI89" s="263">
        <f>FG89+'User Input - Correlations'!BI89</f>
        <v>0</v>
      </c>
      <c r="BJ89" s="263">
        <f>FH89+'User Input - Correlations'!BJ89</f>
        <v>0</v>
      </c>
      <c r="BK89" s="263">
        <f>FI89+'User Input - Correlations'!BK89</f>
        <v>0</v>
      </c>
      <c r="BL89" s="263">
        <f>FJ89+'User Input - Correlations'!BL89</f>
        <v>0</v>
      </c>
      <c r="BM89" s="263">
        <f>FK89+'User Input - Correlations'!BM89</f>
        <v>0</v>
      </c>
      <c r="BN89" s="263">
        <f>FL89+'User Input - Correlations'!BN89</f>
        <v>0</v>
      </c>
      <c r="BO89" s="263">
        <f>FM89+'User Input - Correlations'!BO89</f>
        <v>0</v>
      </c>
      <c r="BP89" s="263">
        <f>FN89+'User Input - Correlations'!BP89</f>
        <v>0</v>
      </c>
      <c r="BQ89" s="263">
        <f>FO89+'User Input - Correlations'!BQ89</f>
        <v>0</v>
      </c>
      <c r="BR89" s="263">
        <f>FP89+'User Input - Correlations'!BR89</f>
        <v>0</v>
      </c>
      <c r="BS89" s="263">
        <f>FQ89+'User Input - Correlations'!BS89</f>
        <v>0</v>
      </c>
      <c r="BT89" s="263">
        <f>FR89+'User Input - Correlations'!BT89</f>
        <v>0</v>
      </c>
      <c r="BU89" s="263">
        <f>FS89+'User Input - Correlations'!BU89</f>
        <v>0</v>
      </c>
      <c r="BV89" s="263">
        <f>FT89+'User Input - Correlations'!BV89</f>
        <v>0</v>
      </c>
      <c r="BW89" s="263">
        <f>FU89+'User Input - Correlations'!BW89</f>
        <v>0</v>
      </c>
      <c r="BX89" s="263">
        <f>FV89+'User Input - Correlations'!BX89</f>
        <v>0</v>
      </c>
      <c r="BY89" s="263">
        <f>FW89+'User Input - Correlations'!BY89</f>
        <v>0</v>
      </c>
      <c r="BZ89" s="263">
        <f>FX89+'User Input - Correlations'!BZ89</f>
        <v>0</v>
      </c>
      <c r="CA89" s="263">
        <f>FY89+'User Input - Correlations'!CA89</f>
        <v>0</v>
      </c>
      <c r="CB89" s="263">
        <f>FZ89+'User Input - Correlations'!CB89</f>
        <v>0</v>
      </c>
      <c r="CC89" s="263">
        <v>1</v>
      </c>
      <c r="CD89" s="263">
        <f>GB89+'User Input - Correlations'!CD89</f>
        <v>0</v>
      </c>
      <c r="CE89" s="263">
        <f>GC89+'User Input - Correlations'!CE89</f>
        <v>0</v>
      </c>
      <c r="CF89" s="263">
        <f>GD89+'User Input - Correlations'!CF89</f>
        <v>0</v>
      </c>
      <c r="CG89" s="263">
        <f>GE89+'User Input - Correlations'!CG89</f>
        <v>0</v>
      </c>
      <c r="CH89" s="263">
        <f>GF89+'User Input - Correlations'!CH89</f>
        <v>0</v>
      </c>
      <c r="CI89" s="263">
        <f>GG89+'User Input - Correlations'!CI89</f>
        <v>0</v>
      </c>
      <c r="CJ89" s="263">
        <f>GH89+'User Input - Correlations'!CJ89</f>
        <v>0</v>
      </c>
      <c r="CK89" s="263">
        <f>GI89+'User Input - Correlations'!CK89</f>
        <v>0</v>
      </c>
      <c r="CL89" s="263">
        <f>GJ89+'User Input - Correlations'!CL89</f>
        <v>0</v>
      </c>
      <c r="CM89" s="263">
        <f>GK89+'User Input - Correlations'!CM89</f>
        <v>0</v>
      </c>
      <c r="CN89" s="263">
        <f>GL89+'User Input - Correlations'!CN89</f>
        <v>0</v>
      </c>
      <c r="CO89" s="263">
        <f>GM89+'User Input - Correlations'!CO89</f>
        <v>0</v>
      </c>
      <c r="CP89" s="264">
        <f>GN89+'User Input - Correlations'!CP89</f>
        <v>0</v>
      </c>
      <c r="CQ89" s="281">
        <f ca="1">MDETERM(OFFSET($C$11,0,0,ROWS($CQ$11:$CQ89),ROWS($CQ$11:$CQ89)))</f>
        <v>1</v>
      </c>
      <c r="DA89" s="263">
        <v>0</v>
      </c>
      <c r="DB89" s="263">
        <v>0</v>
      </c>
      <c r="DC89" s="263">
        <v>0</v>
      </c>
      <c r="DD89" s="263">
        <v>0</v>
      </c>
      <c r="DE89" s="263">
        <v>0</v>
      </c>
      <c r="DF89" s="263">
        <v>0</v>
      </c>
      <c r="DG89" s="263">
        <v>0</v>
      </c>
      <c r="DH89" s="263">
        <v>0</v>
      </c>
      <c r="DI89" s="263">
        <v>0</v>
      </c>
      <c r="DJ89" s="263">
        <v>0</v>
      </c>
      <c r="DK89" s="263">
        <v>0</v>
      </c>
      <c r="DL89" s="263">
        <v>0</v>
      </c>
      <c r="DM89" s="263">
        <v>0</v>
      </c>
      <c r="DN89" s="263">
        <v>0</v>
      </c>
      <c r="DO89" s="263">
        <v>0</v>
      </c>
      <c r="DP89" s="263">
        <v>0</v>
      </c>
      <c r="DQ89" s="263">
        <v>0</v>
      </c>
      <c r="DR89" s="263">
        <v>0</v>
      </c>
      <c r="DS89" s="263">
        <v>0</v>
      </c>
      <c r="DT89" s="263">
        <v>0</v>
      </c>
      <c r="DU89" s="263">
        <v>0</v>
      </c>
      <c r="DV89" s="263">
        <v>0</v>
      </c>
      <c r="DW89" s="263">
        <v>0</v>
      </c>
      <c r="DX89" s="263">
        <v>0</v>
      </c>
      <c r="DY89" s="263">
        <v>0</v>
      </c>
      <c r="DZ89" s="263">
        <v>0</v>
      </c>
      <c r="EA89" s="263">
        <v>0</v>
      </c>
      <c r="EB89" s="263">
        <v>0</v>
      </c>
      <c r="EC89" s="263">
        <v>0</v>
      </c>
      <c r="ED89" s="263">
        <v>0</v>
      </c>
      <c r="EE89" s="263">
        <v>0</v>
      </c>
      <c r="EF89" s="263">
        <v>0</v>
      </c>
      <c r="EG89" s="263">
        <v>0</v>
      </c>
      <c r="EH89" s="263">
        <v>0</v>
      </c>
      <c r="EI89" s="263">
        <v>0</v>
      </c>
      <c r="EJ89" s="263">
        <v>0</v>
      </c>
      <c r="EK89" s="263">
        <v>0</v>
      </c>
      <c r="EL89" s="263">
        <v>0</v>
      </c>
      <c r="EM89" s="263">
        <v>0</v>
      </c>
      <c r="EN89" s="263">
        <v>0</v>
      </c>
      <c r="EO89" s="263">
        <v>0</v>
      </c>
      <c r="EP89" s="263">
        <v>0</v>
      </c>
      <c r="EQ89" s="263">
        <v>0</v>
      </c>
      <c r="ER89" s="263">
        <v>0</v>
      </c>
      <c r="ES89" s="263">
        <v>0</v>
      </c>
      <c r="ET89" s="263">
        <v>0</v>
      </c>
      <c r="EU89" s="263">
        <v>0</v>
      </c>
      <c r="EV89" s="263">
        <v>0</v>
      </c>
      <c r="EW89" s="263">
        <v>0</v>
      </c>
      <c r="EX89" s="263">
        <v>0</v>
      </c>
      <c r="EY89" s="263">
        <v>0</v>
      </c>
      <c r="EZ89" s="263">
        <v>0</v>
      </c>
      <c r="FA89" s="263">
        <v>0</v>
      </c>
      <c r="FB89" s="263">
        <v>0</v>
      </c>
      <c r="FC89" s="263">
        <v>0</v>
      </c>
      <c r="FD89" s="263">
        <v>0</v>
      </c>
      <c r="FE89" s="263">
        <v>0</v>
      </c>
      <c r="FF89" s="263">
        <v>0</v>
      </c>
      <c r="FG89" s="263">
        <v>0</v>
      </c>
      <c r="FH89" s="263">
        <v>0</v>
      </c>
      <c r="FI89" s="263">
        <v>0</v>
      </c>
      <c r="FJ89" s="263">
        <v>0</v>
      </c>
      <c r="FK89" s="263">
        <v>0</v>
      </c>
      <c r="FL89" s="263">
        <v>0</v>
      </c>
      <c r="FM89" s="263">
        <v>0</v>
      </c>
      <c r="FN89" s="263">
        <v>0</v>
      </c>
      <c r="FO89" s="263">
        <v>0</v>
      </c>
      <c r="FP89" s="263">
        <v>0</v>
      </c>
      <c r="FQ89" s="263">
        <v>0</v>
      </c>
      <c r="FR89" s="263">
        <v>0</v>
      </c>
      <c r="FS89" s="263">
        <v>0</v>
      </c>
      <c r="FT89" s="263">
        <v>0</v>
      </c>
      <c r="FU89" s="263">
        <v>0</v>
      </c>
      <c r="FV89" s="263">
        <v>0</v>
      </c>
      <c r="FW89" s="263">
        <v>0</v>
      </c>
      <c r="FX89" s="263">
        <v>0</v>
      </c>
      <c r="FY89" s="263">
        <v>0</v>
      </c>
      <c r="FZ89" s="263">
        <v>0</v>
      </c>
      <c r="GA89" s="263">
        <v>1</v>
      </c>
      <c r="GB89" s="263">
        <v>0</v>
      </c>
      <c r="GC89" s="263">
        <v>0</v>
      </c>
      <c r="GD89" s="263">
        <v>0</v>
      </c>
      <c r="GE89" s="263">
        <v>0</v>
      </c>
      <c r="GF89" s="263">
        <v>0</v>
      </c>
      <c r="GG89" s="263">
        <v>0</v>
      </c>
      <c r="GH89" s="263">
        <v>0</v>
      </c>
      <c r="GI89" s="263">
        <v>0</v>
      </c>
      <c r="GJ89" s="263">
        <v>0</v>
      </c>
      <c r="GK89" s="263">
        <v>0</v>
      </c>
      <c r="GL89" s="263">
        <v>0</v>
      </c>
      <c r="GM89" s="263">
        <v>0</v>
      </c>
      <c r="GN89" s="263">
        <v>0</v>
      </c>
    </row>
    <row r="90" ht="12.75" customHeight="1">
      <c r="A90" s="287" t="s">
        <v>182</v>
      </c>
      <c r="B90" s="287" t="s">
        <v>83</v>
      </c>
      <c r="C90" s="263">
        <f>DA90+'User Input - Correlations'!C90</f>
        <v>0</v>
      </c>
      <c r="D90" s="263">
        <f>DB90+'User Input - Correlations'!D90</f>
        <v>0</v>
      </c>
      <c r="E90" s="263">
        <f>DC90+'User Input - Correlations'!E90</f>
        <v>0</v>
      </c>
      <c r="F90" s="263">
        <f>DD90+'User Input - Correlations'!F90</f>
        <v>0</v>
      </c>
      <c r="G90" s="263">
        <f>DE90+'User Input - Correlations'!G90</f>
        <v>0</v>
      </c>
      <c r="H90" s="263">
        <f>DF90+'User Input - Correlations'!H90</f>
        <v>0</v>
      </c>
      <c r="I90" s="263">
        <f>DG90+'User Input - Correlations'!I90</f>
        <v>0</v>
      </c>
      <c r="J90" s="263">
        <f>DH90+'User Input - Correlations'!J90</f>
        <v>0</v>
      </c>
      <c r="K90" s="263">
        <f>DI90+'User Input - Correlations'!K90</f>
        <v>0</v>
      </c>
      <c r="L90" s="263">
        <f>DJ90+'User Input - Correlations'!L90</f>
        <v>0</v>
      </c>
      <c r="M90" s="263">
        <f>DK90+'User Input - Correlations'!M90</f>
        <v>0</v>
      </c>
      <c r="N90" s="263">
        <f>DL90+'User Input - Correlations'!N90</f>
        <v>0</v>
      </c>
      <c r="O90" s="263">
        <f>DM90+'User Input - Correlations'!O90</f>
        <v>0</v>
      </c>
      <c r="P90" s="263">
        <f>DN90+'User Input - Correlations'!P90</f>
        <v>0</v>
      </c>
      <c r="Q90" s="263">
        <f>DO90+'User Input - Correlations'!Q90</f>
        <v>0</v>
      </c>
      <c r="R90" s="263">
        <f>DP90+'User Input - Correlations'!R90</f>
        <v>0</v>
      </c>
      <c r="S90" s="263">
        <f>DQ90+'User Input - Correlations'!S90</f>
        <v>0</v>
      </c>
      <c r="T90" s="263">
        <f>DR90+'User Input - Correlations'!T90</f>
        <v>0</v>
      </c>
      <c r="U90" s="263">
        <f>DS90+'User Input - Correlations'!U90</f>
        <v>0</v>
      </c>
      <c r="V90" s="263">
        <f>DT90+'User Input - Correlations'!V90</f>
        <v>0</v>
      </c>
      <c r="W90" s="263">
        <f>DU90+'User Input - Correlations'!W90</f>
        <v>0</v>
      </c>
      <c r="X90" s="263">
        <f>DV90+'User Input - Correlations'!X90</f>
        <v>0</v>
      </c>
      <c r="Y90" s="263">
        <f>DW90+'User Input - Correlations'!Y90</f>
        <v>0</v>
      </c>
      <c r="Z90" s="263">
        <f>DX90+'User Input - Correlations'!Z90</f>
        <v>0</v>
      </c>
      <c r="AA90" s="263">
        <f>DY90+'User Input - Correlations'!AA90</f>
        <v>0</v>
      </c>
      <c r="AB90" s="263">
        <f>DZ90+'User Input - Correlations'!AB90</f>
        <v>0</v>
      </c>
      <c r="AC90" s="263">
        <f>EA90+'User Input - Correlations'!AC90</f>
        <v>0</v>
      </c>
      <c r="AD90" s="263">
        <f>EB90+'User Input - Correlations'!AD90</f>
        <v>0</v>
      </c>
      <c r="AE90" s="263">
        <f>EC90+'User Input - Correlations'!AE90</f>
        <v>0</v>
      </c>
      <c r="AF90" s="263">
        <f>ED90+'User Input - Correlations'!AF90</f>
        <v>0</v>
      </c>
      <c r="AG90" s="263">
        <f>EE90+'User Input - Correlations'!AG90</f>
        <v>0</v>
      </c>
      <c r="AH90" s="263">
        <f>EF90+'User Input - Correlations'!AH90</f>
        <v>0</v>
      </c>
      <c r="AI90" s="263">
        <f>EG90+'User Input - Correlations'!AI90</f>
        <v>0</v>
      </c>
      <c r="AJ90" s="263">
        <f>EH90+'User Input - Correlations'!AJ90</f>
        <v>0</v>
      </c>
      <c r="AK90" s="263">
        <f>EI90+'User Input - Correlations'!AK90</f>
        <v>0</v>
      </c>
      <c r="AL90" s="263">
        <f>EJ90+'User Input - Correlations'!AL90</f>
        <v>0</v>
      </c>
      <c r="AM90" s="263">
        <f>EK90+'User Input - Correlations'!AM90</f>
        <v>0</v>
      </c>
      <c r="AN90" s="263">
        <f>EL90+'User Input - Correlations'!AN90</f>
        <v>0</v>
      </c>
      <c r="AO90" s="263">
        <f>EM90+'User Input - Correlations'!AO90</f>
        <v>0</v>
      </c>
      <c r="AP90" s="263">
        <f>EN90+'User Input - Correlations'!AP90</f>
        <v>0</v>
      </c>
      <c r="AQ90" s="263">
        <f>EO90+'User Input - Correlations'!AQ90</f>
        <v>0</v>
      </c>
      <c r="AR90" s="263">
        <f>EP90+'User Input - Correlations'!AR90</f>
        <v>0</v>
      </c>
      <c r="AS90" s="263">
        <f>EQ90+'User Input - Correlations'!AS90</f>
        <v>0</v>
      </c>
      <c r="AT90" s="263">
        <f>ER90+'User Input - Correlations'!AT90</f>
        <v>0</v>
      </c>
      <c r="AU90" s="263">
        <f>ES90+'User Input - Correlations'!AU90</f>
        <v>0</v>
      </c>
      <c r="AV90" s="263">
        <f>ET90+'User Input - Correlations'!AV90</f>
        <v>0</v>
      </c>
      <c r="AW90" s="263">
        <f>EU90+'User Input - Correlations'!AW90</f>
        <v>0</v>
      </c>
      <c r="AX90" s="263">
        <f>EV90+'User Input - Correlations'!AX90</f>
        <v>0</v>
      </c>
      <c r="AY90" s="263">
        <f>EW90+'User Input - Correlations'!AY90</f>
        <v>0</v>
      </c>
      <c r="AZ90" s="263">
        <f>EX90+'User Input - Correlations'!AZ90</f>
        <v>0</v>
      </c>
      <c r="BA90" s="263">
        <f>EY90+'User Input - Correlations'!BA90</f>
        <v>0</v>
      </c>
      <c r="BB90" s="263">
        <f>EZ90+'User Input - Correlations'!BB90</f>
        <v>0</v>
      </c>
      <c r="BC90" s="263">
        <f>FA90+'User Input - Correlations'!BC90</f>
        <v>0</v>
      </c>
      <c r="BD90" s="263">
        <f>FB90+'User Input - Correlations'!BD90</f>
        <v>0</v>
      </c>
      <c r="BE90" s="263">
        <f>FC90+'User Input - Correlations'!BE90</f>
        <v>0</v>
      </c>
      <c r="BF90" s="263">
        <f>FD90+'User Input - Correlations'!BF90</f>
        <v>0</v>
      </c>
      <c r="BG90" s="263">
        <f>FE90+'User Input - Correlations'!BG90</f>
        <v>0</v>
      </c>
      <c r="BH90" s="263">
        <f>FF90+'User Input - Correlations'!BH90</f>
        <v>0</v>
      </c>
      <c r="BI90" s="263">
        <f>FG90+'User Input - Correlations'!BI90</f>
        <v>0</v>
      </c>
      <c r="BJ90" s="263">
        <f>FH90+'User Input - Correlations'!BJ90</f>
        <v>0</v>
      </c>
      <c r="BK90" s="263">
        <f>FI90+'User Input - Correlations'!BK90</f>
        <v>0</v>
      </c>
      <c r="BL90" s="263">
        <f>FJ90+'User Input - Correlations'!BL90</f>
        <v>0</v>
      </c>
      <c r="BM90" s="263">
        <f>FK90+'User Input - Correlations'!BM90</f>
        <v>0</v>
      </c>
      <c r="BN90" s="263">
        <f>FL90+'User Input - Correlations'!BN90</f>
        <v>0</v>
      </c>
      <c r="BO90" s="263">
        <f>FM90+'User Input - Correlations'!BO90</f>
        <v>0</v>
      </c>
      <c r="BP90" s="263">
        <f>FN90+'User Input - Correlations'!BP90</f>
        <v>0</v>
      </c>
      <c r="BQ90" s="263">
        <f>FO90+'User Input - Correlations'!BQ90</f>
        <v>0</v>
      </c>
      <c r="BR90" s="263">
        <f>FP90+'User Input - Correlations'!BR90</f>
        <v>0</v>
      </c>
      <c r="BS90" s="263">
        <f>FQ90+'User Input - Correlations'!BS90</f>
        <v>0</v>
      </c>
      <c r="BT90" s="263">
        <f>FR90+'User Input - Correlations'!BT90</f>
        <v>0</v>
      </c>
      <c r="BU90" s="263">
        <f>FS90+'User Input - Correlations'!BU90</f>
        <v>0</v>
      </c>
      <c r="BV90" s="263">
        <f>FT90+'User Input - Correlations'!BV90</f>
        <v>0</v>
      </c>
      <c r="BW90" s="263">
        <f>FU90+'User Input - Correlations'!BW90</f>
        <v>0</v>
      </c>
      <c r="BX90" s="263">
        <f>FV90+'User Input - Correlations'!BX90</f>
        <v>0</v>
      </c>
      <c r="BY90" s="263">
        <f>FW90+'User Input - Correlations'!BY90</f>
        <v>0</v>
      </c>
      <c r="BZ90" s="263">
        <f>FX90+'User Input - Correlations'!BZ90</f>
        <v>0</v>
      </c>
      <c r="CA90" s="263">
        <f>FY90+'User Input - Correlations'!CA90</f>
        <v>0</v>
      </c>
      <c r="CB90" s="263">
        <f>FZ90+'User Input - Correlations'!CB90</f>
        <v>0</v>
      </c>
      <c r="CC90" s="263">
        <f>GA90+'User Input - Correlations'!CC90</f>
        <v>0</v>
      </c>
      <c r="CD90" s="263">
        <v>1</v>
      </c>
      <c r="CE90" s="263">
        <f>GC90+'User Input - Correlations'!CE90</f>
        <v>0</v>
      </c>
      <c r="CF90" s="263">
        <f>GD90+'User Input - Correlations'!CF90</f>
        <v>0</v>
      </c>
      <c r="CG90" s="263">
        <f>GE90+'User Input - Correlations'!CG90</f>
        <v>0</v>
      </c>
      <c r="CH90" s="263">
        <f>GF90+'User Input - Correlations'!CH90</f>
        <v>0</v>
      </c>
      <c r="CI90" s="263">
        <f>GG90+'User Input - Correlations'!CI90</f>
        <v>0</v>
      </c>
      <c r="CJ90" s="263">
        <f>GH90+'User Input - Correlations'!CJ90</f>
        <v>0</v>
      </c>
      <c r="CK90" s="263">
        <f>GI90+'User Input - Correlations'!CK90</f>
        <v>0</v>
      </c>
      <c r="CL90" s="263">
        <f>GJ90+'User Input - Correlations'!CL90</f>
        <v>0</v>
      </c>
      <c r="CM90" s="263">
        <f>GK90+'User Input - Correlations'!CM90</f>
        <v>0</v>
      </c>
      <c r="CN90" s="263">
        <f>GL90+'User Input - Correlations'!CN90</f>
        <v>0</v>
      </c>
      <c r="CO90" s="263">
        <f>GM90+'User Input - Correlations'!CO90</f>
        <v>0</v>
      </c>
      <c r="CP90" s="264">
        <f>GN90+'User Input - Correlations'!CP90</f>
        <v>0</v>
      </c>
      <c r="CQ90" s="281">
        <f ca="1">MDETERM(OFFSET($C$11,0,0,ROWS($CQ$11:$CQ90),ROWS($CQ$11:$CQ90)))</f>
        <v>1</v>
      </c>
      <c r="DA90" s="263">
        <v>0</v>
      </c>
      <c r="DB90" s="263">
        <v>0</v>
      </c>
      <c r="DC90" s="263">
        <v>0</v>
      </c>
      <c r="DD90" s="263">
        <v>0</v>
      </c>
      <c r="DE90" s="263">
        <v>0</v>
      </c>
      <c r="DF90" s="263">
        <v>0</v>
      </c>
      <c r="DG90" s="263">
        <v>0</v>
      </c>
      <c r="DH90" s="263">
        <v>0</v>
      </c>
      <c r="DI90" s="263">
        <v>0</v>
      </c>
      <c r="DJ90" s="263">
        <v>0</v>
      </c>
      <c r="DK90" s="263">
        <v>0</v>
      </c>
      <c r="DL90" s="263">
        <v>0</v>
      </c>
      <c r="DM90" s="263">
        <v>0</v>
      </c>
      <c r="DN90" s="263">
        <v>0</v>
      </c>
      <c r="DO90" s="263">
        <v>0</v>
      </c>
      <c r="DP90" s="263">
        <v>0</v>
      </c>
      <c r="DQ90" s="263">
        <v>0</v>
      </c>
      <c r="DR90" s="263">
        <v>0</v>
      </c>
      <c r="DS90" s="263">
        <v>0</v>
      </c>
      <c r="DT90" s="263">
        <v>0</v>
      </c>
      <c r="DU90" s="263">
        <v>0</v>
      </c>
      <c r="DV90" s="263">
        <v>0</v>
      </c>
      <c r="DW90" s="263">
        <v>0</v>
      </c>
      <c r="DX90" s="263">
        <v>0</v>
      </c>
      <c r="DY90" s="263">
        <v>0</v>
      </c>
      <c r="DZ90" s="263">
        <v>0</v>
      </c>
      <c r="EA90" s="263">
        <v>0</v>
      </c>
      <c r="EB90" s="263">
        <v>0</v>
      </c>
      <c r="EC90" s="263">
        <v>0</v>
      </c>
      <c r="ED90" s="263">
        <v>0</v>
      </c>
      <c r="EE90" s="263">
        <v>0</v>
      </c>
      <c r="EF90" s="263">
        <v>0</v>
      </c>
      <c r="EG90" s="263">
        <v>0</v>
      </c>
      <c r="EH90" s="263">
        <v>0</v>
      </c>
      <c r="EI90" s="263">
        <v>0</v>
      </c>
      <c r="EJ90" s="263">
        <v>0</v>
      </c>
      <c r="EK90" s="263">
        <v>0</v>
      </c>
      <c r="EL90" s="263">
        <v>0</v>
      </c>
      <c r="EM90" s="263">
        <v>0</v>
      </c>
      <c r="EN90" s="263">
        <v>0</v>
      </c>
      <c r="EO90" s="263">
        <v>0</v>
      </c>
      <c r="EP90" s="263">
        <v>0</v>
      </c>
      <c r="EQ90" s="263">
        <v>0</v>
      </c>
      <c r="ER90" s="263">
        <v>0</v>
      </c>
      <c r="ES90" s="263">
        <v>0</v>
      </c>
      <c r="ET90" s="263">
        <v>0</v>
      </c>
      <c r="EU90" s="263">
        <v>0</v>
      </c>
      <c r="EV90" s="263">
        <v>0</v>
      </c>
      <c r="EW90" s="263">
        <v>0</v>
      </c>
      <c r="EX90" s="263">
        <v>0</v>
      </c>
      <c r="EY90" s="263">
        <v>0</v>
      </c>
      <c r="EZ90" s="263">
        <v>0</v>
      </c>
      <c r="FA90" s="263">
        <v>0</v>
      </c>
      <c r="FB90" s="263">
        <v>0</v>
      </c>
      <c r="FC90" s="263">
        <v>0</v>
      </c>
      <c r="FD90" s="263">
        <v>0</v>
      </c>
      <c r="FE90" s="263">
        <v>0</v>
      </c>
      <c r="FF90" s="263">
        <v>0</v>
      </c>
      <c r="FG90" s="263">
        <v>0</v>
      </c>
      <c r="FH90" s="263">
        <v>0</v>
      </c>
      <c r="FI90" s="263">
        <v>0</v>
      </c>
      <c r="FJ90" s="263">
        <v>0</v>
      </c>
      <c r="FK90" s="263">
        <v>0</v>
      </c>
      <c r="FL90" s="263">
        <v>0</v>
      </c>
      <c r="FM90" s="263">
        <v>0</v>
      </c>
      <c r="FN90" s="263">
        <v>0</v>
      </c>
      <c r="FO90" s="263">
        <v>0</v>
      </c>
      <c r="FP90" s="263">
        <v>0</v>
      </c>
      <c r="FQ90" s="263">
        <v>0</v>
      </c>
      <c r="FR90" s="263">
        <v>0</v>
      </c>
      <c r="FS90" s="263">
        <v>0</v>
      </c>
      <c r="FT90" s="263">
        <v>0</v>
      </c>
      <c r="FU90" s="263">
        <v>0</v>
      </c>
      <c r="FV90" s="263">
        <v>0</v>
      </c>
      <c r="FW90" s="263">
        <v>0</v>
      </c>
      <c r="FX90" s="263">
        <v>0</v>
      </c>
      <c r="FY90" s="263">
        <v>0</v>
      </c>
      <c r="FZ90" s="263">
        <v>0</v>
      </c>
      <c r="GA90" s="263">
        <v>0</v>
      </c>
      <c r="GB90" s="263">
        <v>1</v>
      </c>
      <c r="GC90" s="263">
        <v>0</v>
      </c>
      <c r="GD90" s="263">
        <v>0</v>
      </c>
      <c r="GE90" s="263">
        <v>0</v>
      </c>
      <c r="GF90" s="263">
        <v>0</v>
      </c>
      <c r="GG90" s="263">
        <v>0</v>
      </c>
      <c r="GH90" s="263">
        <v>0</v>
      </c>
      <c r="GI90" s="263">
        <v>0</v>
      </c>
      <c r="GJ90" s="263">
        <v>0</v>
      </c>
      <c r="GK90" s="263">
        <v>0</v>
      </c>
      <c r="GL90" s="263">
        <v>0</v>
      </c>
      <c r="GM90" s="263">
        <v>0</v>
      </c>
      <c r="GN90" s="263">
        <v>0</v>
      </c>
    </row>
    <row r="91" ht="12.75" customHeight="1">
      <c r="A91" s="287" t="s">
        <v>184</v>
      </c>
      <c r="B91" s="287" t="s">
        <v>83</v>
      </c>
      <c r="C91" s="263">
        <f>DA91+'User Input - Correlations'!C91</f>
        <v>0</v>
      </c>
      <c r="D91" s="263">
        <f>DB91+'User Input - Correlations'!D91</f>
        <v>0</v>
      </c>
      <c r="E91" s="263">
        <f>DC91+'User Input - Correlations'!E91</f>
        <v>0</v>
      </c>
      <c r="F91" s="263">
        <f>DD91+'User Input - Correlations'!F91</f>
        <v>0</v>
      </c>
      <c r="G91" s="263">
        <f>DE91+'User Input - Correlations'!G91</f>
        <v>0</v>
      </c>
      <c r="H91" s="263">
        <f>DF91+'User Input - Correlations'!H91</f>
        <v>0</v>
      </c>
      <c r="I91" s="263">
        <f>DG91+'User Input - Correlations'!I91</f>
        <v>0</v>
      </c>
      <c r="J91" s="263">
        <f>DH91+'User Input - Correlations'!J91</f>
        <v>0</v>
      </c>
      <c r="K91" s="263">
        <f>DI91+'User Input - Correlations'!K91</f>
        <v>0</v>
      </c>
      <c r="L91" s="263">
        <f>DJ91+'User Input - Correlations'!L91</f>
        <v>0</v>
      </c>
      <c r="M91" s="263">
        <f>DK91+'User Input - Correlations'!M91</f>
        <v>0</v>
      </c>
      <c r="N91" s="263">
        <f>DL91+'User Input - Correlations'!N91</f>
        <v>0</v>
      </c>
      <c r="O91" s="263">
        <f>DM91+'User Input - Correlations'!O91</f>
        <v>0</v>
      </c>
      <c r="P91" s="263">
        <f>DN91+'User Input - Correlations'!P91</f>
        <v>0</v>
      </c>
      <c r="Q91" s="263">
        <f>DO91+'User Input - Correlations'!Q91</f>
        <v>0</v>
      </c>
      <c r="R91" s="263">
        <f>DP91+'User Input - Correlations'!R91</f>
        <v>0</v>
      </c>
      <c r="S91" s="263">
        <f>DQ91+'User Input - Correlations'!S91</f>
        <v>0</v>
      </c>
      <c r="T91" s="263">
        <f>DR91+'User Input - Correlations'!T91</f>
        <v>0</v>
      </c>
      <c r="U91" s="263">
        <f>DS91+'User Input - Correlations'!U91</f>
        <v>0</v>
      </c>
      <c r="V91" s="263">
        <f>DT91+'User Input - Correlations'!V91</f>
        <v>0</v>
      </c>
      <c r="W91" s="263">
        <f>DU91+'User Input - Correlations'!W91</f>
        <v>0</v>
      </c>
      <c r="X91" s="263">
        <f>DV91+'User Input - Correlations'!X91</f>
        <v>0</v>
      </c>
      <c r="Y91" s="263">
        <f>DW91+'User Input - Correlations'!Y91</f>
        <v>0</v>
      </c>
      <c r="Z91" s="263">
        <f>DX91+'User Input - Correlations'!Z91</f>
        <v>0</v>
      </c>
      <c r="AA91" s="263">
        <f>DY91+'User Input - Correlations'!AA91</f>
        <v>0</v>
      </c>
      <c r="AB91" s="263">
        <f>DZ91+'User Input - Correlations'!AB91</f>
        <v>0</v>
      </c>
      <c r="AC91" s="263">
        <f>EA91+'User Input - Correlations'!AC91</f>
        <v>0</v>
      </c>
      <c r="AD91" s="263">
        <f>EB91+'User Input - Correlations'!AD91</f>
        <v>0</v>
      </c>
      <c r="AE91" s="263">
        <f>EC91+'User Input - Correlations'!AE91</f>
        <v>0</v>
      </c>
      <c r="AF91" s="263">
        <f>ED91+'User Input - Correlations'!AF91</f>
        <v>0</v>
      </c>
      <c r="AG91" s="263">
        <f>EE91+'User Input - Correlations'!AG91</f>
        <v>0</v>
      </c>
      <c r="AH91" s="263">
        <f>EF91+'User Input - Correlations'!AH91</f>
        <v>0</v>
      </c>
      <c r="AI91" s="263">
        <f>EG91+'User Input - Correlations'!AI91</f>
        <v>0</v>
      </c>
      <c r="AJ91" s="263">
        <f>EH91+'User Input - Correlations'!AJ91</f>
        <v>0</v>
      </c>
      <c r="AK91" s="263">
        <f>EI91+'User Input - Correlations'!AK91</f>
        <v>0</v>
      </c>
      <c r="AL91" s="263">
        <f>EJ91+'User Input - Correlations'!AL91</f>
        <v>0</v>
      </c>
      <c r="AM91" s="263">
        <f>EK91+'User Input - Correlations'!AM91</f>
        <v>0</v>
      </c>
      <c r="AN91" s="263">
        <f>EL91+'User Input - Correlations'!AN91</f>
        <v>0</v>
      </c>
      <c r="AO91" s="263">
        <f>EM91+'User Input - Correlations'!AO91</f>
        <v>0</v>
      </c>
      <c r="AP91" s="263">
        <f>EN91+'User Input - Correlations'!AP91</f>
        <v>0</v>
      </c>
      <c r="AQ91" s="263">
        <f>EO91+'User Input - Correlations'!AQ91</f>
        <v>0</v>
      </c>
      <c r="AR91" s="263">
        <f>EP91+'User Input - Correlations'!AR91</f>
        <v>0</v>
      </c>
      <c r="AS91" s="263">
        <f>EQ91+'User Input - Correlations'!AS91</f>
        <v>0</v>
      </c>
      <c r="AT91" s="263">
        <f>ER91+'User Input - Correlations'!AT91</f>
        <v>0</v>
      </c>
      <c r="AU91" s="263">
        <f>ES91+'User Input - Correlations'!AU91</f>
        <v>0</v>
      </c>
      <c r="AV91" s="263">
        <f>ET91+'User Input - Correlations'!AV91</f>
        <v>0</v>
      </c>
      <c r="AW91" s="263">
        <f>EU91+'User Input - Correlations'!AW91</f>
        <v>0</v>
      </c>
      <c r="AX91" s="263">
        <f>EV91+'User Input - Correlations'!AX91</f>
        <v>0</v>
      </c>
      <c r="AY91" s="263">
        <f>EW91+'User Input - Correlations'!AY91</f>
        <v>0</v>
      </c>
      <c r="AZ91" s="263">
        <f>EX91+'User Input - Correlations'!AZ91</f>
        <v>0</v>
      </c>
      <c r="BA91" s="263">
        <f>EY91+'User Input - Correlations'!BA91</f>
        <v>0</v>
      </c>
      <c r="BB91" s="263">
        <f>EZ91+'User Input - Correlations'!BB91</f>
        <v>0</v>
      </c>
      <c r="BC91" s="263">
        <f>FA91+'User Input - Correlations'!BC91</f>
        <v>0</v>
      </c>
      <c r="BD91" s="263">
        <f>FB91+'User Input - Correlations'!BD91</f>
        <v>0</v>
      </c>
      <c r="BE91" s="263">
        <f>FC91+'User Input - Correlations'!BE91</f>
        <v>0</v>
      </c>
      <c r="BF91" s="263">
        <f>FD91+'User Input - Correlations'!BF91</f>
        <v>0</v>
      </c>
      <c r="BG91" s="263">
        <f>FE91+'User Input - Correlations'!BG91</f>
        <v>0</v>
      </c>
      <c r="BH91" s="263">
        <f>FF91+'User Input - Correlations'!BH91</f>
        <v>0</v>
      </c>
      <c r="BI91" s="263">
        <f>FG91+'User Input - Correlations'!BI91</f>
        <v>0</v>
      </c>
      <c r="BJ91" s="263">
        <f>FH91+'User Input - Correlations'!BJ91</f>
        <v>0</v>
      </c>
      <c r="BK91" s="263">
        <f>FI91+'User Input - Correlations'!BK91</f>
        <v>0</v>
      </c>
      <c r="BL91" s="263">
        <f>FJ91+'User Input - Correlations'!BL91</f>
        <v>0</v>
      </c>
      <c r="BM91" s="263">
        <f>FK91+'User Input - Correlations'!BM91</f>
        <v>0</v>
      </c>
      <c r="BN91" s="263">
        <f>FL91+'User Input - Correlations'!BN91</f>
        <v>0</v>
      </c>
      <c r="BO91" s="263">
        <f>FM91+'User Input - Correlations'!BO91</f>
        <v>0</v>
      </c>
      <c r="BP91" s="263">
        <f>FN91+'User Input - Correlations'!BP91</f>
        <v>0</v>
      </c>
      <c r="BQ91" s="263">
        <f>FO91+'User Input - Correlations'!BQ91</f>
        <v>0</v>
      </c>
      <c r="BR91" s="263">
        <f>FP91+'User Input - Correlations'!BR91</f>
        <v>0</v>
      </c>
      <c r="BS91" s="263">
        <f>FQ91+'User Input - Correlations'!BS91</f>
        <v>0</v>
      </c>
      <c r="BT91" s="263">
        <f>FR91+'User Input - Correlations'!BT91</f>
        <v>0</v>
      </c>
      <c r="BU91" s="263">
        <f>FS91+'User Input - Correlations'!BU91</f>
        <v>0</v>
      </c>
      <c r="BV91" s="263">
        <f>FT91+'User Input - Correlations'!BV91</f>
        <v>0</v>
      </c>
      <c r="BW91" s="263">
        <f>FU91+'User Input - Correlations'!BW91</f>
        <v>0</v>
      </c>
      <c r="BX91" s="263">
        <f>FV91+'User Input - Correlations'!BX91</f>
        <v>0</v>
      </c>
      <c r="BY91" s="263">
        <f>FW91+'User Input - Correlations'!BY91</f>
        <v>0</v>
      </c>
      <c r="BZ91" s="263">
        <f>FX91+'User Input - Correlations'!BZ91</f>
        <v>0</v>
      </c>
      <c r="CA91" s="263">
        <f>FY91+'User Input - Correlations'!CA91</f>
        <v>0</v>
      </c>
      <c r="CB91" s="263">
        <f>FZ91+'User Input - Correlations'!CB91</f>
        <v>0</v>
      </c>
      <c r="CC91" s="263">
        <f>GA91+'User Input - Correlations'!CC91</f>
        <v>0</v>
      </c>
      <c r="CD91" s="263">
        <f>GB91+'User Input - Correlations'!CD91</f>
        <v>0</v>
      </c>
      <c r="CE91" s="263">
        <v>1</v>
      </c>
      <c r="CF91" s="263">
        <f>GD91+'User Input - Correlations'!CF91</f>
        <v>0</v>
      </c>
      <c r="CG91" s="263">
        <f>GE91+'User Input - Correlations'!CG91</f>
        <v>0</v>
      </c>
      <c r="CH91" s="263">
        <f>GF91+'User Input - Correlations'!CH91</f>
        <v>0</v>
      </c>
      <c r="CI91" s="263">
        <f>GG91+'User Input - Correlations'!CI91</f>
        <v>0</v>
      </c>
      <c r="CJ91" s="263">
        <f>GH91+'User Input - Correlations'!CJ91</f>
        <v>0</v>
      </c>
      <c r="CK91" s="263">
        <f>GI91+'User Input - Correlations'!CK91</f>
        <v>0</v>
      </c>
      <c r="CL91" s="263">
        <f>GJ91+'User Input - Correlations'!CL91</f>
        <v>0</v>
      </c>
      <c r="CM91" s="263">
        <f>GK91+'User Input - Correlations'!CM91</f>
        <v>0</v>
      </c>
      <c r="CN91" s="263">
        <f>GL91+'User Input - Correlations'!CN91</f>
        <v>0</v>
      </c>
      <c r="CO91" s="263">
        <f>GM91+'User Input - Correlations'!CO91</f>
        <v>0</v>
      </c>
      <c r="CP91" s="264">
        <f>GN91+'User Input - Correlations'!CP91</f>
        <v>0</v>
      </c>
      <c r="CQ91" s="281">
        <f ca="1">MDETERM(OFFSET($C$11,0,0,ROWS($CQ$11:$CQ91),ROWS($CQ$11:$CQ91)))</f>
        <v>1</v>
      </c>
      <c r="DA91" s="263">
        <v>0</v>
      </c>
      <c r="DB91" s="263">
        <v>0</v>
      </c>
      <c r="DC91" s="263">
        <v>0</v>
      </c>
      <c r="DD91" s="263">
        <v>0</v>
      </c>
      <c r="DE91" s="263">
        <v>0</v>
      </c>
      <c r="DF91" s="263">
        <v>0</v>
      </c>
      <c r="DG91" s="263">
        <v>0</v>
      </c>
      <c r="DH91" s="263">
        <v>0</v>
      </c>
      <c r="DI91" s="263">
        <v>0</v>
      </c>
      <c r="DJ91" s="263">
        <v>0</v>
      </c>
      <c r="DK91" s="263">
        <v>0</v>
      </c>
      <c r="DL91" s="263">
        <v>0</v>
      </c>
      <c r="DM91" s="263">
        <v>0</v>
      </c>
      <c r="DN91" s="263">
        <v>0</v>
      </c>
      <c r="DO91" s="263">
        <v>0</v>
      </c>
      <c r="DP91" s="263">
        <v>0</v>
      </c>
      <c r="DQ91" s="263">
        <v>0</v>
      </c>
      <c r="DR91" s="263">
        <v>0</v>
      </c>
      <c r="DS91" s="263">
        <v>0</v>
      </c>
      <c r="DT91" s="263">
        <v>0</v>
      </c>
      <c r="DU91" s="263">
        <v>0</v>
      </c>
      <c r="DV91" s="263">
        <v>0</v>
      </c>
      <c r="DW91" s="263">
        <v>0</v>
      </c>
      <c r="DX91" s="263">
        <v>0</v>
      </c>
      <c r="DY91" s="263">
        <v>0</v>
      </c>
      <c r="DZ91" s="263">
        <v>0</v>
      </c>
      <c r="EA91" s="263">
        <v>0</v>
      </c>
      <c r="EB91" s="263">
        <v>0</v>
      </c>
      <c r="EC91" s="263">
        <v>0</v>
      </c>
      <c r="ED91" s="263">
        <v>0</v>
      </c>
      <c r="EE91" s="263">
        <v>0</v>
      </c>
      <c r="EF91" s="263">
        <v>0</v>
      </c>
      <c r="EG91" s="263">
        <v>0</v>
      </c>
      <c r="EH91" s="263">
        <v>0</v>
      </c>
      <c r="EI91" s="263">
        <v>0</v>
      </c>
      <c r="EJ91" s="263">
        <v>0</v>
      </c>
      <c r="EK91" s="263">
        <v>0</v>
      </c>
      <c r="EL91" s="263">
        <v>0</v>
      </c>
      <c r="EM91" s="263">
        <v>0</v>
      </c>
      <c r="EN91" s="263">
        <v>0</v>
      </c>
      <c r="EO91" s="263">
        <v>0</v>
      </c>
      <c r="EP91" s="263">
        <v>0</v>
      </c>
      <c r="EQ91" s="263">
        <v>0</v>
      </c>
      <c r="ER91" s="263">
        <v>0</v>
      </c>
      <c r="ES91" s="263">
        <v>0</v>
      </c>
      <c r="ET91" s="263">
        <v>0</v>
      </c>
      <c r="EU91" s="263">
        <v>0</v>
      </c>
      <c r="EV91" s="263">
        <v>0</v>
      </c>
      <c r="EW91" s="263">
        <v>0</v>
      </c>
      <c r="EX91" s="263">
        <v>0</v>
      </c>
      <c r="EY91" s="263">
        <v>0</v>
      </c>
      <c r="EZ91" s="263">
        <v>0</v>
      </c>
      <c r="FA91" s="263">
        <v>0</v>
      </c>
      <c r="FB91" s="263">
        <v>0</v>
      </c>
      <c r="FC91" s="263">
        <v>0</v>
      </c>
      <c r="FD91" s="263">
        <v>0</v>
      </c>
      <c r="FE91" s="263">
        <v>0</v>
      </c>
      <c r="FF91" s="263">
        <v>0</v>
      </c>
      <c r="FG91" s="263">
        <v>0</v>
      </c>
      <c r="FH91" s="263">
        <v>0</v>
      </c>
      <c r="FI91" s="263">
        <v>0</v>
      </c>
      <c r="FJ91" s="263">
        <v>0</v>
      </c>
      <c r="FK91" s="263">
        <v>0</v>
      </c>
      <c r="FL91" s="263">
        <v>0</v>
      </c>
      <c r="FM91" s="263">
        <v>0</v>
      </c>
      <c r="FN91" s="263">
        <v>0</v>
      </c>
      <c r="FO91" s="263">
        <v>0</v>
      </c>
      <c r="FP91" s="263">
        <v>0</v>
      </c>
      <c r="FQ91" s="263">
        <v>0</v>
      </c>
      <c r="FR91" s="263">
        <v>0</v>
      </c>
      <c r="FS91" s="263">
        <v>0</v>
      </c>
      <c r="FT91" s="263">
        <v>0</v>
      </c>
      <c r="FU91" s="263">
        <v>0</v>
      </c>
      <c r="FV91" s="263">
        <v>0</v>
      </c>
      <c r="FW91" s="263">
        <v>0</v>
      </c>
      <c r="FX91" s="263">
        <v>0</v>
      </c>
      <c r="FY91" s="263">
        <v>0</v>
      </c>
      <c r="FZ91" s="263">
        <v>0</v>
      </c>
      <c r="GA91" s="263">
        <v>0</v>
      </c>
      <c r="GB91" s="263">
        <v>0</v>
      </c>
      <c r="GC91" s="263">
        <v>1</v>
      </c>
      <c r="GD91" s="263">
        <v>0</v>
      </c>
      <c r="GE91" s="263">
        <v>0</v>
      </c>
      <c r="GF91" s="263">
        <v>0</v>
      </c>
      <c r="GG91" s="263">
        <v>0</v>
      </c>
      <c r="GH91" s="263">
        <v>0</v>
      </c>
      <c r="GI91" s="263">
        <v>0</v>
      </c>
      <c r="GJ91" s="263">
        <v>0</v>
      </c>
      <c r="GK91" s="263">
        <v>0</v>
      </c>
      <c r="GL91" s="263">
        <v>0</v>
      </c>
      <c r="GM91" s="263">
        <v>0</v>
      </c>
      <c r="GN91" s="263">
        <v>0</v>
      </c>
    </row>
    <row r="92" ht="12.75" customHeight="1">
      <c r="A92" s="287" t="s">
        <v>183</v>
      </c>
      <c r="B92" s="287" t="s">
        <v>83</v>
      </c>
      <c r="C92" s="263">
        <f>DA92+'User Input - Correlations'!C92</f>
        <v>0</v>
      </c>
      <c r="D92" s="263">
        <f>DB92+'User Input - Correlations'!D92</f>
        <v>0</v>
      </c>
      <c r="E92" s="263">
        <f>DC92+'User Input - Correlations'!E92</f>
        <v>0</v>
      </c>
      <c r="F92" s="263">
        <f>DD92+'User Input - Correlations'!F92</f>
        <v>0</v>
      </c>
      <c r="G92" s="263">
        <f>DE92+'User Input - Correlations'!G92</f>
        <v>0</v>
      </c>
      <c r="H92" s="263">
        <f>DF92+'User Input - Correlations'!H92</f>
        <v>0</v>
      </c>
      <c r="I92" s="263">
        <f>DG92+'User Input - Correlations'!I92</f>
        <v>0</v>
      </c>
      <c r="J92" s="263">
        <f>DH92+'User Input - Correlations'!J92</f>
        <v>0</v>
      </c>
      <c r="K92" s="263">
        <f>DI92+'User Input - Correlations'!K92</f>
        <v>0</v>
      </c>
      <c r="L92" s="263">
        <f>DJ92+'User Input - Correlations'!L92</f>
        <v>0</v>
      </c>
      <c r="M92" s="263">
        <f>DK92+'User Input - Correlations'!M92</f>
        <v>0</v>
      </c>
      <c r="N92" s="263">
        <f>DL92+'User Input - Correlations'!N92</f>
        <v>0</v>
      </c>
      <c r="O92" s="263">
        <f>DM92+'User Input - Correlations'!O92</f>
        <v>0</v>
      </c>
      <c r="P92" s="263">
        <f>DN92+'User Input - Correlations'!P92</f>
        <v>0</v>
      </c>
      <c r="Q92" s="263">
        <f>DO92+'User Input - Correlations'!Q92</f>
        <v>0</v>
      </c>
      <c r="R92" s="263">
        <f>DP92+'User Input - Correlations'!R92</f>
        <v>0</v>
      </c>
      <c r="S92" s="263">
        <f>DQ92+'User Input - Correlations'!S92</f>
        <v>0</v>
      </c>
      <c r="T92" s="263">
        <f>DR92+'User Input - Correlations'!T92</f>
        <v>0</v>
      </c>
      <c r="U92" s="263">
        <f>DS92+'User Input - Correlations'!U92</f>
        <v>0</v>
      </c>
      <c r="V92" s="263">
        <f>DT92+'User Input - Correlations'!V92</f>
        <v>0</v>
      </c>
      <c r="W92" s="263">
        <f>DU92+'User Input - Correlations'!W92</f>
        <v>0</v>
      </c>
      <c r="X92" s="263">
        <f>DV92+'User Input - Correlations'!X92</f>
        <v>0</v>
      </c>
      <c r="Y92" s="263">
        <f>DW92+'User Input - Correlations'!Y92</f>
        <v>0</v>
      </c>
      <c r="Z92" s="263">
        <f>DX92+'User Input - Correlations'!Z92</f>
        <v>0</v>
      </c>
      <c r="AA92" s="263">
        <f>DY92+'User Input - Correlations'!AA92</f>
        <v>0</v>
      </c>
      <c r="AB92" s="263">
        <f>DZ92+'User Input - Correlations'!AB92</f>
        <v>0</v>
      </c>
      <c r="AC92" s="263">
        <f>EA92+'User Input - Correlations'!AC92</f>
        <v>0</v>
      </c>
      <c r="AD92" s="263">
        <f>EB92+'User Input - Correlations'!AD92</f>
        <v>0</v>
      </c>
      <c r="AE92" s="263">
        <f>EC92+'User Input - Correlations'!AE92</f>
        <v>0</v>
      </c>
      <c r="AF92" s="263">
        <f>ED92+'User Input - Correlations'!AF92</f>
        <v>0</v>
      </c>
      <c r="AG92" s="263">
        <f>EE92+'User Input - Correlations'!AG92</f>
        <v>0</v>
      </c>
      <c r="AH92" s="263">
        <f>EF92+'User Input - Correlations'!AH92</f>
        <v>0</v>
      </c>
      <c r="AI92" s="263">
        <f>EG92+'User Input - Correlations'!AI92</f>
        <v>0</v>
      </c>
      <c r="AJ92" s="263">
        <f>EH92+'User Input - Correlations'!AJ92</f>
        <v>0</v>
      </c>
      <c r="AK92" s="263">
        <f>EI92+'User Input - Correlations'!AK92</f>
        <v>0</v>
      </c>
      <c r="AL92" s="263">
        <f>EJ92+'User Input - Correlations'!AL92</f>
        <v>0</v>
      </c>
      <c r="AM92" s="263">
        <f>EK92+'User Input - Correlations'!AM92</f>
        <v>0</v>
      </c>
      <c r="AN92" s="263">
        <f>EL92+'User Input - Correlations'!AN92</f>
        <v>0</v>
      </c>
      <c r="AO92" s="263">
        <f>EM92+'User Input - Correlations'!AO92</f>
        <v>0</v>
      </c>
      <c r="AP92" s="263">
        <f>EN92+'User Input - Correlations'!AP92</f>
        <v>0</v>
      </c>
      <c r="AQ92" s="263">
        <f>EO92+'User Input - Correlations'!AQ92</f>
        <v>0</v>
      </c>
      <c r="AR92" s="263">
        <f>EP92+'User Input - Correlations'!AR92</f>
        <v>0</v>
      </c>
      <c r="AS92" s="263">
        <f>EQ92+'User Input - Correlations'!AS92</f>
        <v>0</v>
      </c>
      <c r="AT92" s="263">
        <f>ER92+'User Input - Correlations'!AT92</f>
        <v>0</v>
      </c>
      <c r="AU92" s="263">
        <f>ES92+'User Input - Correlations'!AU92</f>
        <v>0</v>
      </c>
      <c r="AV92" s="263">
        <f>ET92+'User Input - Correlations'!AV92</f>
        <v>0</v>
      </c>
      <c r="AW92" s="263">
        <f>EU92+'User Input - Correlations'!AW92</f>
        <v>0</v>
      </c>
      <c r="AX92" s="263">
        <f>EV92+'User Input - Correlations'!AX92</f>
        <v>0</v>
      </c>
      <c r="AY92" s="263">
        <f>EW92+'User Input - Correlations'!AY92</f>
        <v>0</v>
      </c>
      <c r="AZ92" s="263">
        <f>EX92+'User Input - Correlations'!AZ92</f>
        <v>0</v>
      </c>
      <c r="BA92" s="263">
        <f>EY92+'User Input - Correlations'!BA92</f>
        <v>0</v>
      </c>
      <c r="BB92" s="263">
        <f>EZ92+'User Input - Correlations'!BB92</f>
        <v>0</v>
      </c>
      <c r="BC92" s="263">
        <f>FA92+'User Input - Correlations'!BC92</f>
        <v>0</v>
      </c>
      <c r="BD92" s="263">
        <f>FB92+'User Input - Correlations'!BD92</f>
        <v>0</v>
      </c>
      <c r="BE92" s="263">
        <f>FC92+'User Input - Correlations'!BE92</f>
        <v>0</v>
      </c>
      <c r="BF92" s="263">
        <f>FD92+'User Input - Correlations'!BF92</f>
        <v>0</v>
      </c>
      <c r="BG92" s="263">
        <f>FE92+'User Input - Correlations'!BG92</f>
        <v>0</v>
      </c>
      <c r="BH92" s="263">
        <f>FF92+'User Input - Correlations'!BH92</f>
        <v>0</v>
      </c>
      <c r="BI92" s="263">
        <f>FG92+'User Input - Correlations'!BI92</f>
        <v>0</v>
      </c>
      <c r="BJ92" s="263">
        <f>FH92+'User Input - Correlations'!BJ92</f>
        <v>0</v>
      </c>
      <c r="BK92" s="263">
        <f>FI92+'User Input - Correlations'!BK92</f>
        <v>0</v>
      </c>
      <c r="BL92" s="263">
        <f>FJ92+'User Input - Correlations'!BL92</f>
        <v>0</v>
      </c>
      <c r="BM92" s="263">
        <f>FK92+'User Input - Correlations'!BM92</f>
        <v>0</v>
      </c>
      <c r="BN92" s="263">
        <f>FL92+'User Input - Correlations'!BN92</f>
        <v>0</v>
      </c>
      <c r="BO92" s="263">
        <f>FM92+'User Input - Correlations'!BO92</f>
        <v>0</v>
      </c>
      <c r="BP92" s="263">
        <f>FN92+'User Input - Correlations'!BP92</f>
        <v>0</v>
      </c>
      <c r="BQ92" s="263">
        <f>FO92+'User Input - Correlations'!BQ92</f>
        <v>0</v>
      </c>
      <c r="BR92" s="263">
        <f>FP92+'User Input - Correlations'!BR92</f>
        <v>0</v>
      </c>
      <c r="BS92" s="263">
        <f>FQ92+'User Input - Correlations'!BS92</f>
        <v>0</v>
      </c>
      <c r="BT92" s="263">
        <f>FR92+'User Input - Correlations'!BT92</f>
        <v>0</v>
      </c>
      <c r="BU92" s="263">
        <f>FS92+'User Input - Correlations'!BU92</f>
        <v>0</v>
      </c>
      <c r="BV92" s="263">
        <f>FT92+'User Input - Correlations'!BV92</f>
        <v>0</v>
      </c>
      <c r="BW92" s="263">
        <f>FU92+'User Input - Correlations'!BW92</f>
        <v>0</v>
      </c>
      <c r="BX92" s="263">
        <f>FV92+'User Input - Correlations'!BX92</f>
        <v>0</v>
      </c>
      <c r="BY92" s="263">
        <f>FW92+'User Input - Correlations'!BY92</f>
        <v>0</v>
      </c>
      <c r="BZ92" s="263">
        <f>FX92+'User Input - Correlations'!BZ92</f>
        <v>0</v>
      </c>
      <c r="CA92" s="263">
        <f>FY92+'User Input - Correlations'!CA92</f>
        <v>0</v>
      </c>
      <c r="CB92" s="263">
        <f>FZ92+'User Input - Correlations'!CB92</f>
        <v>0</v>
      </c>
      <c r="CC92" s="263">
        <f>GA92+'User Input - Correlations'!CC92</f>
        <v>0</v>
      </c>
      <c r="CD92" s="263">
        <f>GB92+'User Input - Correlations'!CD92</f>
        <v>0</v>
      </c>
      <c r="CE92" s="263">
        <f>GC92+'User Input - Correlations'!CE92</f>
        <v>0</v>
      </c>
      <c r="CF92" s="263">
        <v>1</v>
      </c>
      <c r="CG92" s="263">
        <f>GE92+'User Input - Correlations'!CG92</f>
        <v>0</v>
      </c>
      <c r="CH92" s="263">
        <f>GF92+'User Input - Correlations'!CH92</f>
        <v>0</v>
      </c>
      <c r="CI92" s="263">
        <f>GG92+'User Input - Correlations'!CI92</f>
        <v>0</v>
      </c>
      <c r="CJ92" s="263">
        <f>GH92+'User Input - Correlations'!CJ92</f>
        <v>0</v>
      </c>
      <c r="CK92" s="263">
        <f>GI92+'User Input - Correlations'!CK92</f>
        <v>0</v>
      </c>
      <c r="CL92" s="263">
        <f>GJ92+'User Input - Correlations'!CL92</f>
        <v>0</v>
      </c>
      <c r="CM92" s="263">
        <f>GK92+'User Input - Correlations'!CM92</f>
        <v>0</v>
      </c>
      <c r="CN92" s="263">
        <f>GL92+'User Input - Correlations'!CN92</f>
        <v>0</v>
      </c>
      <c r="CO92" s="263">
        <f>GM92+'User Input - Correlations'!CO92</f>
        <v>0</v>
      </c>
      <c r="CP92" s="264">
        <f>GN92+'User Input - Correlations'!CP92</f>
        <v>0</v>
      </c>
      <c r="CQ92" s="281">
        <f ca="1">MDETERM(OFFSET($C$11,0,0,ROWS($CQ$11:$CQ92),ROWS($CQ$11:$CQ92)))</f>
        <v>1</v>
      </c>
      <c r="DA92" s="263">
        <v>0</v>
      </c>
      <c r="DB92" s="263">
        <v>0</v>
      </c>
      <c r="DC92" s="263">
        <v>0</v>
      </c>
      <c r="DD92" s="263">
        <v>0</v>
      </c>
      <c r="DE92" s="263">
        <v>0</v>
      </c>
      <c r="DF92" s="263">
        <v>0</v>
      </c>
      <c r="DG92" s="263">
        <v>0</v>
      </c>
      <c r="DH92" s="263">
        <v>0</v>
      </c>
      <c r="DI92" s="263">
        <v>0</v>
      </c>
      <c r="DJ92" s="263">
        <v>0</v>
      </c>
      <c r="DK92" s="263">
        <v>0</v>
      </c>
      <c r="DL92" s="263">
        <v>0</v>
      </c>
      <c r="DM92" s="263">
        <v>0</v>
      </c>
      <c r="DN92" s="263">
        <v>0</v>
      </c>
      <c r="DO92" s="263">
        <v>0</v>
      </c>
      <c r="DP92" s="263">
        <v>0</v>
      </c>
      <c r="DQ92" s="263">
        <v>0</v>
      </c>
      <c r="DR92" s="263">
        <v>0</v>
      </c>
      <c r="DS92" s="263">
        <v>0</v>
      </c>
      <c r="DT92" s="263">
        <v>0</v>
      </c>
      <c r="DU92" s="263">
        <v>0</v>
      </c>
      <c r="DV92" s="263">
        <v>0</v>
      </c>
      <c r="DW92" s="263">
        <v>0</v>
      </c>
      <c r="DX92" s="263">
        <v>0</v>
      </c>
      <c r="DY92" s="263">
        <v>0</v>
      </c>
      <c r="DZ92" s="263">
        <v>0</v>
      </c>
      <c r="EA92" s="263">
        <v>0</v>
      </c>
      <c r="EB92" s="263">
        <v>0</v>
      </c>
      <c r="EC92" s="263">
        <v>0</v>
      </c>
      <c r="ED92" s="263">
        <v>0</v>
      </c>
      <c r="EE92" s="263">
        <v>0</v>
      </c>
      <c r="EF92" s="263">
        <v>0</v>
      </c>
      <c r="EG92" s="263">
        <v>0</v>
      </c>
      <c r="EH92" s="263">
        <v>0</v>
      </c>
      <c r="EI92" s="263">
        <v>0</v>
      </c>
      <c r="EJ92" s="263">
        <v>0</v>
      </c>
      <c r="EK92" s="263">
        <v>0</v>
      </c>
      <c r="EL92" s="263">
        <v>0</v>
      </c>
      <c r="EM92" s="263">
        <v>0</v>
      </c>
      <c r="EN92" s="263">
        <v>0</v>
      </c>
      <c r="EO92" s="263">
        <v>0</v>
      </c>
      <c r="EP92" s="263">
        <v>0</v>
      </c>
      <c r="EQ92" s="263">
        <v>0</v>
      </c>
      <c r="ER92" s="263">
        <v>0</v>
      </c>
      <c r="ES92" s="263">
        <v>0</v>
      </c>
      <c r="ET92" s="263">
        <v>0</v>
      </c>
      <c r="EU92" s="263">
        <v>0</v>
      </c>
      <c r="EV92" s="263">
        <v>0</v>
      </c>
      <c r="EW92" s="263">
        <v>0</v>
      </c>
      <c r="EX92" s="263">
        <v>0</v>
      </c>
      <c r="EY92" s="263">
        <v>0</v>
      </c>
      <c r="EZ92" s="263">
        <v>0</v>
      </c>
      <c r="FA92" s="263">
        <v>0</v>
      </c>
      <c r="FB92" s="263">
        <v>0</v>
      </c>
      <c r="FC92" s="263">
        <v>0</v>
      </c>
      <c r="FD92" s="263">
        <v>0</v>
      </c>
      <c r="FE92" s="263">
        <v>0</v>
      </c>
      <c r="FF92" s="263">
        <v>0</v>
      </c>
      <c r="FG92" s="263">
        <v>0</v>
      </c>
      <c r="FH92" s="263">
        <v>0</v>
      </c>
      <c r="FI92" s="263">
        <v>0</v>
      </c>
      <c r="FJ92" s="263">
        <v>0</v>
      </c>
      <c r="FK92" s="263">
        <v>0</v>
      </c>
      <c r="FL92" s="263">
        <v>0</v>
      </c>
      <c r="FM92" s="263">
        <v>0</v>
      </c>
      <c r="FN92" s="263">
        <v>0</v>
      </c>
      <c r="FO92" s="263">
        <v>0</v>
      </c>
      <c r="FP92" s="263">
        <v>0</v>
      </c>
      <c r="FQ92" s="263">
        <v>0</v>
      </c>
      <c r="FR92" s="263">
        <v>0</v>
      </c>
      <c r="FS92" s="263">
        <v>0</v>
      </c>
      <c r="FT92" s="263">
        <v>0</v>
      </c>
      <c r="FU92" s="263">
        <v>0</v>
      </c>
      <c r="FV92" s="263">
        <v>0</v>
      </c>
      <c r="FW92" s="263">
        <v>0</v>
      </c>
      <c r="FX92" s="263">
        <v>0</v>
      </c>
      <c r="FY92" s="263">
        <v>0</v>
      </c>
      <c r="FZ92" s="263">
        <v>0</v>
      </c>
      <c r="GA92" s="263">
        <v>0</v>
      </c>
      <c r="GB92" s="263">
        <v>0</v>
      </c>
      <c r="GC92" s="263">
        <v>0</v>
      </c>
      <c r="GD92" s="263">
        <v>1</v>
      </c>
      <c r="GE92" s="263">
        <v>0</v>
      </c>
      <c r="GF92" s="263">
        <v>0</v>
      </c>
      <c r="GG92" s="263">
        <v>0</v>
      </c>
      <c r="GH92" s="263">
        <v>0</v>
      </c>
      <c r="GI92" s="263">
        <v>0</v>
      </c>
      <c r="GJ92" s="263">
        <v>0</v>
      </c>
      <c r="GK92" s="263">
        <v>0</v>
      </c>
      <c r="GL92" s="263">
        <v>0</v>
      </c>
      <c r="GM92" s="263">
        <v>0</v>
      </c>
      <c r="GN92" s="263">
        <v>0</v>
      </c>
    </row>
    <row r="93" ht="12.75" customHeight="1">
      <c r="A93" s="287" t="s">
        <v>192</v>
      </c>
      <c r="B93" s="287" t="s">
        <v>83</v>
      </c>
      <c r="C93" s="263">
        <f>DA93+'User Input - Correlations'!C93</f>
        <v>0</v>
      </c>
      <c r="D93" s="263">
        <f>DB93+'User Input - Correlations'!D93</f>
        <v>0</v>
      </c>
      <c r="E93" s="263">
        <f>DC93+'User Input - Correlations'!E93</f>
        <v>0</v>
      </c>
      <c r="F93" s="263">
        <f>DD93+'User Input - Correlations'!F93</f>
        <v>0</v>
      </c>
      <c r="G93" s="263">
        <f>DE93+'User Input - Correlations'!G93</f>
        <v>0</v>
      </c>
      <c r="H93" s="263">
        <f>DF93+'User Input - Correlations'!H93</f>
        <v>0</v>
      </c>
      <c r="I93" s="263">
        <f>DG93+'User Input - Correlations'!I93</f>
        <v>0</v>
      </c>
      <c r="J93" s="263">
        <f>DH93+'User Input - Correlations'!J93</f>
        <v>0</v>
      </c>
      <c r="K93" s="263">
        <f>DI93+'User Input - Correlations'!K93</f>
        <v>0</v>
      </c>
      <c r="L93" s="263">
        <f>DJ93+'User Input - Correlations'!L93</f>
        <v>0</v>
      </c>
      <c r="M93" s="263">
        <f>DK93+'User Input - Correlations'!M93</f>
        <v>0</v>
      </c>
      <c r="N93" s="263">
        <f>DL93+'User Input - Correlations'!N93</f>
        <v>0</v>
      </c>
      <c r="O93" s="263">
        <f>DM93+'User Input - Correlations'!O93</f>
        <v>0</v>
      </c>
      <c r="P93" s="263">
        <f>DN93+'User Input - Correlations'!P93</f>
        <v>0</v>
      </c>
      <c r="Q93" s="263">
        <f>DO93+'User Input - Correlations'!Q93</f>
        <v>0</v>
      </c>
      <c r="R93" s="263">
        <f>DP93+'User Input - Correlations'!R93</f>
        <v>0</v>
      </c>
      <c r="S93" s="263">
        <f>DQ93+'User Input - Correlations'!S93</f>
        <v>0</v>
      </c>
      <c r="T93" s="263">
        <f>DR93+'User Input - Correlations'!T93</f>
        <v>0</v>
      </c>
      <c r="U93" s="263">
        <f>DS93+'User Input - Correlations'!U93</f>
        <v>0</v>
      </c>
      <c r="V93" s="263">
        <f>DT93+'User Input - Correlations'!V93</f>
        <v>0</v>
      </c>
      <c r="W93" s="263">
        <f>DU93+'User Input - Correlations'!W93</f>
        <v>0</v>
      </c>
      <c r="X93" s="263">
        <f>DV93+'User Input - Correlations'!X93</f>
        <v>0</v>
      </c>
      <c r="Y93" s="263">
        <f>DW93+'User Input - Correlations'!Y93</f>
        <v>0</v>
      </c>
      <c r="Z93" s="263">
        <f>DX93+'User Input - Correlations'!Z93</f>
        <v>0</v>
      </c>
      <c r="AA93" s="263">
        <f>DY93+'User Input - Correlations'!AA93</f>
        <v>0</v>
      </c>
      <c r="AB93" s="263">
        <f>DZ93+'User Input - Correlations'!AB93</f>
        <v>0</v>
      </c>
      <c r="AC93" s="263">
        <f>EA93+'User Input - Correlations'!AC93</f>
        <v>0</v>
      </c>
      <c r="AD93" s="263">
        <f>EB93+'User Input - Correlations'!AD93</f>
        <v>0</v>
      </c>
      <c r="AE93" s="263">
        <f>EC93+'User Input - Correlations'!AE93</f>
        <v>0</v>
      </c>
      <c r="AF93" s="263">
        <f>ED93+'User Input - Correlations'!AF93</f>
        <v>0</v>
      </c>
      <c r="AG93" s="263">
        <f>EE93+'User Input - Correlations'!AG93</f>
        <v>0</v>
      </c>
      <c r="AH93" s="263">
        <f>EF93+'User Input - Correlations'!AH93</f>
        <v>0</v>
      </c>
      <c r="AI93" s="263">
        <f>EG93+'User Input - Correlations'!AI93</f>
        <v>0</v>
      </c>
      <c r="AJ93" s="263">
        <f>EH93+'User Input - Correlations'!AJ93</f>
        <v>0</v>
      </c>
      <c r="AK93" s="263">
        <f>EI93+'User Input - Correlations'!AK93</f>
        <v>0</v>
      </c>
      <c r="AL93" s="263">
        <f>EJ93+'User Input - Correlations'!AL93</f>
        <v>0</v>
      </c>
      <c r="AM93" s="263">
        <f>EK93+'User Input - Correlations'!AM93</f>
        <v>0</v>
      </c>
      <c r="AN93" s="263">
        <f>EL93+'User Input - Correlations'!AN93</f>
        <v>0</v>
      </c>
      <c r="AO93" s="263">
        <f>EM93+'User Input - Correlations'!AO93</f>
        <v>0</v>
      </c>
      <c r="AP93" s="263">
        <f>EN93+'User Input - Correlations'!AP93</f>
        <v>0</v>
      </c>
      <c r="AQ93" s="263">
        <f>EO93+'User Input - Correlations'!AQ93</f>
        <v>0</v>
      </c>
      <c r="AR93" s="263">
        <f>EP93+'User Input - Correlations'!AR93</f>
        <v>0</v>
      </c>
      <c r="AS93" s="263">
        <f>EQ93+'User Input - Correlations'!AS93</f>
        <v>0</v>
      </c>
      <c r="AT93" s="263">
        <f>ER93+'User Input - Correlations'!AT93</f>
        <v>0</v>
      </c>
      <c r="AU93" s="263">
        <f>ES93+'User Input - Correlations'!AU93</f>
        <v>0</v>
      </c>
      <c r="AV93" s="263">
        <f>ET93+'User Input - Correlations'!AV93</f>
        <v>0</v>
      </c>
      <c r="AW93" s="263">
        <f>EU93+'User Input - Correlations'!AW93</f>
        <v>0</v>
      </c>
      <c r="AX93" s="263">
        <f>EV93+'User Input - Correlations'!AX93</f>
        <v>0</v>
      </c>
      <c r="AY93" s="263">
        <f>EW93+'User Input - Correlations'!AY93</f>
        <v>0</v>
      </c>
      <c r="AZ93" s="263">
        <f>EX93+'User Input - Correlations'!AZ93</f>
        <v>0</v>
      </c>
      <c r="BA93" s="263">
        <f>EY93+'User Input - Correlations'!BA93</f>
        <v>0</v>
      </c>
      <c r="BB93" s="263">
        <f>EZ93+'User Input - Correlations'!BB93</f>
        <v>0</v>
      </c>
      <c r="BC93" s="263">
        <f>FA93+'User Input - Correlations'!BC93</f>
        <v>0</v>
      </c>
      <c r="BD93" s="263">
        <f>FB93+'User Input - Correlations'!BD93</f>
        <v>0</v>
      </c>
      <c r="BE93" s="263">
        <f>FC93+'User Input - Correlations'!BE93</f>
        <v>0</v>
      </c>
      <c r="BF93" s="263">
        <f>FD93+'User Input - Correlations'!BF93</f>
        <v>0</v>
      </c>
      <c r="BG93" s="263">
        <f>FE93+'User Input - Correlations'!BG93</f>
        <v>0</v>
      </c>
      <c r="BH93" s="263">
        <f>FF93+'User Input - Correlations'!BH93</f>
        <v>0</v>
      </c>
      <c r="BI93" s="263">
        <f>FG93+'User Input - Correlations'!BI93</f>
        <v>0</v>
      </c>
      <c r="BJ93" s="263">
        <f>FH93+'User Input - Correlations'!BJ93</f>
        <v>0</v>
      </c>
      <c r="BK93" s="263">
        <f>FI93+'User Input - Correlations'!BK93</f>
        <v>0</v>
      </c>
      <c r="BL93" s="263">
        <f>FJ93+'User Input - Correlations'!BL93</f>
        <v>0</v>
      </c>
      <c r="BM93" s="263">
        <f>FK93+'User Input - Correlations'!BM93</f>
        <v>0</v>
      </c>
      <c r="BN93" s="263">
        <f>FL93+'User Input - Correlations'!BN93</f>
        <v>0</v>
      </c>
      <c r="BO93" s="263">
        <f>FM93+'User Input - Correlations'!BO93</f>
        <v>0</v>
      </c>
      <c r="BP93" s="263">
        <f>FN93+'User Input - Correlations'!BP93</f>
        <v>0</v>
      </c>
      <c r="BQ93" s="263">
        <f>FO93+'User Input - Correlations'!BQ93</f>
        <v>0</v>
      </c>
      <c r="BR93" s="263">
        <f>FP93+'User Input - Correlations'!BR93</f>
        <v>0</v>
      </c>
      <c r="BS93" s="263">
        <f>FQ93+'User Input - Correlations'!BS93</f>
        <v>0</v>
      </c>
      <c r="BT93" s="263">
        <f>FR93+'User Input - Correlations'!BT93</f>
        <v>0</v>
      </c>
      <c r="BU93" s="263">
        <f>FS93+'User Input - Correlations'!BU93</f>
        <v>0</v>
      </c>
      <c r="BV93" s="263">
        <f>FT93+'User Input - Correlations'!BV93</f>
        <v>0</v>
      </c>
      <c r="BW93" s="263">
        <f>FU93+'User Input - Correlations'!BW93</f>
        <v>0</v>
      </c>
      <c r="BX93" s="263">
        <f>FV93+'User Input - Correlations'!BX93</f>
        <v>0</v>
      </c>
      <c r="BY93" s="263">
        <f>FW93+'User Input - Correlations'!BY93</f>
        <v>0</v>
      </c>
      <c r="BZ93" s="263">
        <f>FX93+'User Input - Correlations'!BZ93</f>
        <v>0</v>
      </c>
      <c r="CA93" s="263">
        <f>FY93+'User Input - Correlations'!CA93</f>
        <v>0</v>
      </c>
      <c r="CB93" s="263">
        <f>FZ93+'User Input - Correlations'!CB93</f>
        <v>0</v>
      </c>
      <c r="CC93" s="263">
        <f>GA93+'User Input - Correlations'!CC93</f>
        <v>0</v>
      </c>
      <c r="CD93" s="263">
        <f>GB93+'User Input - Correlations'!CD93</f>
        <v>0</v>
      </c>
      <c r="CE93" s="263">
        <f>GC93+'User Input - Correlations'!CE93</f>
        <v>0</v>
      </c>
      <c r="CF93" s="263">
        <f>GD93+'User Input - Correlations'!CF93</f>
        <v>0</v>
      </c>
      <c r="CG93" s="263">
        <v>1</v>
      </c>
      <c r="CH93" s="263">
        <f>GF93+'User Input - Correlations'!CH93</f>
        <v>0</v>
      </c>
      <c r="CI93" s="263">
        <f>GG93+'User Input - Correlations'!CI93</f>
        <v>0</v>
      </c>
      <c r="CJ93" s="263">
        <f>GH93+'User Input - Correlations'!CJ93</f>
        <v>0</v>
      </c>
      <c r="CK93" s="263">
        <f>GI93+'User Input - Correlations'!CK93</f>
        <v>0</v>
      </c>
      <c r="CL93" s="263">
        <f>GJ93+'User Input - Correlations'!CL93</f>
        <v>0</v>
      </c>
      <c r="CM93" s="263">
        <f>GK93+'User Input - Correlations'!CM93</f>
        <v>0</v>
      </c>
      <c r="CN93" s="263">
        <f>GL93+'User Input - Correlations'!CN93</f>
        <v>0</v>
      </c>
      <c r="CO93" s="263">
        <f>GM93+'User Input - Correlations'!CO93</f>
        <v>0</v>
      </c>
      <c r="CP93" s="264">
        <f>GN93+'User Input - Correlations'!CP93</f>
        <v>0</v>
      </c>
      <c r="CQ93" s="281">
        <f ca="1">MDETERM(OFFSET($C$11,0,0,ROWS($CQ$11:$CQ93),ROWS($CQ$11:$CQ93)))</f>
        <v>1</v>
      </c>
      <c r="DA93" s="263">
        <v>0</v>
      </c>
      <c r="DB93" s="263">
        <v>0</v>
      </c>
      <c r="DC93" s="263">
        <v>0</v>
      </c>
      <c r="DD93" s="263">
        <v>0</v>
      </c>
      <c r="DE93" s="263">
        <v>0</v>
      </c>
      <c r="DF93" s="263">
        <v>0</v>
      </c>
      <c r="DG93" s="263">
        <v>0</v>
      </c>
      <c r="DH93" s="263">
        <v>0</v>
      </c>
      <c r="DI93" s="263">
        <v>0</v>
      </c>
      <c r="DJ93" s="263">
        <v>0</v>
      </c>
      <c r="DK93" s="263">
        <v>0</v>
      </c>
      <c r="DL93" s="263">
        <v>0</v>
      </c>
      <c r="DM93" s="263">
        <v>0</v>
      </c>
      <c r="DN93" s="263">
        <v>0</v>
      </c>
      <c r="DO93" s="263">
        <v>0</v>
      </c>
      <c r="DP93" s="263">
        <v>0</v>
      </c>
      <c r="DQ93" s="263">
        <v>0</v>
      </c>
      <c r="DR93" s="263">
        <v>0</v>
      </c>
      <c r="DS93" s="263">
        <v>0</v>
      </c>
      <c r="DT93" s="263">
        <v>0</v>
      </c>
      <c r="DU93" s="263">
        <v>0</v>
      </c>
      <c r="DV93" s="263">
        <v>0</v>
      </c>
      <c r="DW93" s="263">
        <v>0</v>
      </c>
      <c r="DX93" s="263">
        <v>0</v>
      </c>
      <c r="DY93" s="263">
        <v>0</v>
      </c>
      <c r="DZ93" s="263">
        <v>0</v>
      </c>
      <c r="EA93" s="263">
        <v>0</v>
      </c>
      <c r="EB93" s="263">
        <v>0</v>
      </c>
      <c r="EC93" s="263">
        <v>0</v>
      </c>
      <c r="ED93" s="263">
        <v>0</v>
      </c>
      <c r="EE93" s="263">
        <v>0</v>
      </c>
      <c r="EF93" s="263">
        <v>0</v>
      </c>
      <c r="EG93" s="263">
        <v>0</v>
      </c>
      <c r="EH93" s="263">
        <v>0</v>
      </c>
      <c r="EI93" s="263">
        <v>0</v>
      </c>
      <c r="EJ93" s="263">
        <v>0</v>
      </c>
      <c r="EK93" s="263">
        <v>0</v>
      </c>
      <c r="EL93" s="263">
        <v>0</v>
      </c>
      <c r="EM93" s="263">
        <v>0</v>
      </c>
      <c r="EN93" s="263">
        <v>0</v>
      </c>
      <c r="EO93" s="263">
        <v>0</v>
      </c>
      <c r="EP93" s="263">
        <v>0</v>
      </c>
      <c r="EQ93" s="263">
        <v>0</v>
      </c>
      <c r="ER93" s="263">
        <v>0</v>
      </c>
      <c r="ES93" s="263">
        <v>0</v>
      </c>
      <c r="ET93" s="263">
        <v>0</v>
      </c>
      <c r="EU93" s="263">
        <v>0</v>
      </c>
      <c r="EV93" s="263">
        <v>0</v>
      </c>
      <c r="EW93" s="263">
        <v>0</v>
      </c>
      <c r="EX93" s="263">
        <v>0</v>
      </c>
      <c r="EY93" s="263">
        <v>0</v>
      </c>
      <c r="EZ93" s="263">
        <v>0</v>
      </c>
      <c r="FA93" s="263">
        <v>0</v>
      </c>
      <c r="FB93" s="263">
        <v>0</v>
      </c>
      <c r="FC93" s="263">
        <v>0</v>
      </c>
      <c r="FD93" s="263">
        <v>0</v>
      </c>
      <c r="FE93" s="263">
        <v>0</v>
      </c>
      <c r="FF93" s="263">
        <v>0</v>
      </c>
      <c r="FG93" s="263">
        <v>0</v>
      </c>
      <c r="FH93" s="263">
        <v>0</v>
      </c>
      <c r="FI93" s="263">
        <v>0</v>
      </c>
      <c r="FJ93" s="263">
        <v>0</v>
      </c>
      <c r="FK93" s="263">
        <v>0</v>
      </c>
      <c r="FL93" s="263">
        <v>0</v>
      </c>
      <c r="FM93" s="263">
        <v>0</v>
      </c>
      <c r="FN93" s="263">
        <v>0</v>
      </c>
      <c r="FO93" s="263">
        <v>0</v>
      </c>
      <c r="FP93" s="263">
        <v>0</v>
      </c>
      <c r="FQ93" s="263">
        <v>0</v>
      </c>
      <c r="FR93" s="263">
        <v>0</v>
      </c>
      <c r="FS93" s="263">
        <v>0</v>
      </c>
      <c r="FT93" s="263">
        <v>0</v>
      </c>
      <c r="FU93" s="263">
        <v>0</v>
      </c>
      <c r="FV93" s="263">
        <v>0</v>
      </c>
      <c r="FW93" s="263">
        <v>0</v>
      </c>
      <c r="FX93" s="263">
        <v>0</v>
      </c>
      <c r="FY93" s="263">
        <v>0</v>
      </c>
      <c r="FZ93" s="263">
        <v>0</v>
      </c>
      <c r="GA93" s="263">
        <v>0</v>
      </c>
      <c r="GB93" s="263">
        <v>0</v>
      </c>
      <c r="GC93" s="263">
        <v>0</v>
      </c>
      <c r="GD93" s="263">
        <v>0</v>
      </c>
      <c r="GE93" s="263">
        <v>1</v>
      </c>
      <c r="GF93" s="263">
        <v>0</v>
      </c>
      <c r="GG93" s="263">
        <v>0</v>
      </c>
      <c r="GH93" s="263">
        <v>0</v>
      </c>
      <c r="GI93" s="263">
        <v>0</v>
      </c>
      <c r="GJ93" s="263">
        <v>0</v>
      </c>
      <c r="GK93" s="263">
        <v>0</v>
      </c>
      <c r="GL93" s="263">
        <v>0</v>
      </c>
      <c r="GM93" s="263">
        <v>0</v>
      </c>
      <c r="GN93" s="263">
        <v>0</v>
      </c>
    </row>
    <row r="94" ht="12.75" customHeight="1">
      <c r="A94" s="287" t="s">
        <v>193</v>
      </c>
      <c r="B94" s="287" t="s">
        <v>83</v>
      </c>
      <c r="C94" s="263">
        <f>DA94+'User Input - Correlations'!C94</f>
        <v>0</v>
      </c>
      <c r="D94" s="263">
        <f>DB94+'User Input - Correlations'!D94</f>
        <v>0</v>
      </c>
      <c r="E94" s="263">
        <f>DC94+'User Input - Correlations'!E94</f>
        <v>0</v>
      </c>
      <c r="F94" s="263">
        <f>DD94+'User Input - Correlations'!F94</f>
        <v>0</v>
      </c>
      <c r="G94" s="263">
        <f>DE94+'User Input - Correlations'!G94</f>
        <v>0</v>
      </c>
      <c r="H94" s="263">
        <f>DF94+'User Input - Correlations'!H94</f>
        <v>0</v>
      </c>
      <c r="I94" s="263">
        <f>DG94+'User Input - Correlations'!I94</f>
        <v>0</v>
      </c>
      <c r="J94" s="263">
        <f>DH94+'User Input - Correlations'!J94</f>
        <v>0</v>
      </c>
      <c r="K94" s="263">
        <f>DI94+'User Input - Correlations'!K94</f>
        <v>0</v>
      </c>
      <c r="L94" s="263">
        <f>DJ94+'User Input - Correlations'!L94</f>
        <v>0</v>
      </c>
      <c r="M94" s="263">
        <f>DK94+'User Input - Correlations'!M94</f>
        <v>0</v>
      </c>
      <c r="N94" s="263">
        <f>DL94+'User Input - Correlations'!N94</f>
        <v>0</v>
      </c>
      <c r="O94" s="263">
        <f>DM94+'User Input - Correlations'!O94</f>
        <v>0</v>
      </c>
      <c r="P94" s="263">
        <f>DN94+'User Input - Correlations'!P94</f>
        <v>0</v>
      </c>
      <c r="Q94" s="263">
        <f>DO94+'User Input - Correlations'!Q94</f>
        <v>0</v>
      </c>
      <c r="R94" s="263">
        <f>DP94+'User Input - Correlations'!R94</f>
        <v>0</v>
      </c>
      <c r="S94" s="263">
        <f>DQ94+'User Input - Correlations'!S94</f>
        <v>0</v>
      </c>
      <c r="T94" s="263">
        <f>DR94+'User Input - Correlations'!T94</f>
        <v>0</v>
      </c>
      <c r="U94" s="263">
        <f>DS94+'User Input - Correlations'!U94</f>
        <v>0</v>
      </c>
      <c r="V94" s="263">
        <f>DT94+'User Input - Correlations'!V94</f>
        <v>0</v>
      </c>
      <c r="W94" s="263">
        <f>DU94+'User Input - Correlations'!W94</f>
        <v>0</v>
      </c>
      <c r="X94" s="263">
        <f>DV94+'User Input - Correlations'!X94</f>
        <v>0</v>
      </c>
      <c r="Y94" s="263">
        <f>DW94+'User Input - Correlations'!Y94</f>
        <v>0</v>
      </c>
      <c r="Z94" s="263">
        <f>DX94+'User Input - Correlations'!Z94</f>
        <v>0</v>
      </c>
      <c r="AA94" s="263">
        <f>DY94+'User Input - Correlations'!AA94</f>
        <v>0</v>
      </c>
      <c r="AB94" s="263">
        <f>DZ94+'User Input - Correlations'!AB94</f>
        <v>0</v>
      </c>
      <c r="AC94" s="263">
        <f>EA94+'User Input - Correlations'!AC94</f>
        <v>0</v>
      </c>
      <c r="AD94" s="263">
        <f>EB94+'User Input - Correlations'!AD94</f>
        <v>0</v>
      </c>
      <c r="AE94" s="263">
        <f>EC94+'User Input - Correlations'!AE94</f>
        <v>0</v>
      </c>
      <c r="AF94" s="263">
        <f>ED94+'User Input - Correlations'!AF94</f>
        <v>0</v>
      </c>
      <c r="AG94" s="263">
        <f>EE94+'User Input - Correlations'!AG94</f>
        <v>0</v>
      </c>
      <c r="AH94" s="263">
        <f>EF94+'User Input - Correlations'!AH94</f>
        <v>0</v>
      </c>
      <c r="AI94" s="263">
        <f>EG94+'User Input - Correlations'!AI94</f>
        <v>0</v>
      </c>
      <c r="AJ94" s="263">
        <f>EH94+'User Input - Correlations'!AJ94</f>
        <v>0</v>
      </c>
      <c r="AK94" s="263">
        <f>EI94+'User Input - Correlations'!AK94</f>
        <v>0</v>
      </c>
      <c r="AL94" s="263">
        <f>EJ94+'User Input - Correlations'!AL94</f>
        <v>0</v>
      </c>
      <c r="AM94" s="263">
        <f>EK94+'User Input - Correlations'!AM94</f>
        <v>0</v>
      </c>
      <c r="AN94" s="263">
        <f>EL94+'User Input - Correlations'!AN94</f>
        <v>0</v>
      </c>
      <c r="AO94" s="263">
        <f>EM94+'User Input - Correlations'!AO94</f>
        <v>0</v>
      </c>
      <c r="AP94" s="263">
        <f>EN94+'User Input - Correlations'!AP94</f>
        <v>0</v>
      </c>
      <c r="AQ94" s="263">
        <f>EO94+'User Input - Correlations'!AQ94</f>
        <v>0</v>
      </c>
      <c r="AR94" s="263">
        <f>EP94+'User Input - Correlations'!AR94</f>
        <v>0</v>
      </c>
      <c r="AS94" s="263">
        <f>EQ94+'User Input - Correlations'!AS94</f>
        <v>0</v>
      </c>
      <c r="AT94" s="263">
        <f>ER94+'User Input - Correlations'!AT94</f>
        <v>0</v>
      </c>
      <c r="AU94" s="263">
        <f>ES94+'User Input - Correlations'!AU94</f>
        <v>0</v>
      </c>
      <c r="AV94" s="263">
        <f>ET94+'User Input - Correlations'!AV94</f>
        <v>0</v>
      </c>
      <c r="AW94" s="263">
        <f>EU94+'User Input - Correlations'!AW94</f>
        <v>0</v>
      </c>
      <c r="AX94" s="263">
        <f>EV94+'User Input - Correlations'!AX94</f>
        <v>0</v>
      </c>
      <c r="AY94" s="263">
        <f>EW94+'User Input - Correlations'!AY94</f>
        <v>0</v>
      </c>
      <c r="AZ94" s="263">
        <f>EX94+'User Input - Correlations'!AZ94</f>
        <v>0</v>
      </c>
      <c r="BA94" s="263">
        <f>EY94+'User Input - Correlations'!BA94</f>
        <v>0</v>
      </c>
      <c r="BB94" s="263">
        <f>EZ94+'User Input - Correlations'!BB94</f>
        <v>0</v>
      </c>
      <c r="BC94" s="263">
        <f>FA94+'User Input - Correlations'!BC94</f>
        <v>0</v>
      </c>
      <c r="BD94" s="263">
        <f>FB94+'User Input - Correlations'!BD94</f>
        <v>0</v>
      </c>
      <c r="BE94" s="263">
        <f>FC94+'User Input - Correlations'!BE94</f>
        <v>0</v>
      </c>
      <c r="BF94" s="263">
        <f>FD94+'User Input - Correlations'!BF94</f>
        <v>0</v>
      </c>
      <c r="BG94" s="263">
        <f>FE94+'User Input - Correlations'!BG94</f>
        <v>0</v>
      </c>
      <c r="BH94" s="263">
        <f>FF94+'User Input - Correlations'!BH94</f>
        <v>0</v>
      </c>
      <c r="BI94" s="263">
        <f>FG94+'User Input - Correlations'!BI94</f>
        <v>0</v>
      </c>
      <c r="BJ94" s="263">
        <f>FH94+'User Input - Correlations'!BJ94</f>
        <v>0</v>
      </c>
      <c r="BK94" s="263">
        <f>FI94+'User Input - Correlations'!BK94</f>
        <v>0</v>
      </c>
      <c r="BL94" s="263">
        <f>FJ94+'User Input - Correlations'!BL94</f>
        <v>0</v>
      </c>
      <c r="BM94" s="263">
        <f>FK94+'User Input - Correlations'!BM94</f>
        <v>0</v>
      </c>
      <c r="BN94" s="263">
        <f>FL94+'User Input - Correlations'!BN94</f>
        <v>0</v>
      </c>
      <c r="BO94" s="263">
        <f>FM94+'User Input - Correlations'!BO94</f>
        <v>0</v>
      </c>
      <c r="BP94" s="263">
        <f>FN94+'User Input - Correlations'!BP94</f>
        <v>0</v>
      </c>
      <c r="BQ94" s="263">
        <f>FO94+'User Input - Correlations'!BQ94</f>
        <v>0</v>
      </c>
      <c r="BR94" s="263">
        <f>FP94+'User Input - Correlations'!BR94</f>
        <v>0</v>
      </c>
      <c r="BS94" s="263">
        <f>FQ94+'User Input - Correlations'!BS94</f>
        <v>0</v>
      </c>
      <c r="BT94" s="263">
        <f>FR94+'User Input - Correlations'!BT94</f>
        <v>0</v>
      </c>
      <c r="BU94" s="263">
        <f>FS94+'User Input - Correlations'!BU94</f>
        <v>0</v>
      </c>
      <c r="BV94" s="263">
        <f>FT94+'User Input - Correlations'!BV94</f>
        <v>0</v>
      </c>
      <c r="BW94" s="263">
        <f>FU94+'User Input - Correlations'!BW94</f>
        <v>0</v>
      </c>
      <c r="BX94" s="263">
        <f>FV94+'User Input - Correlations'!BX94</f>
        <v>0</v>
      </c>
      <c r="BY94" s="263">
        <f>FW94+'User Input - Correlations'!BY94</f>
        <v>0</v>
      </c>
      <c r="BZ94" s="263">
        <f>FX94+'User Input - Correlations'!BZ94</f>
        <v>0</v>
      </c>
      <c r="CA94" s="263">
        <f>FY94+'User Input - Correlations'!CA94</f>
        <v>0</v>
      </c>
      <c r="CB94" s="263">
        <f>FZ94+'User Input - Correlations'!CB94</f>
        <v>0</v>
      </c>
      <c r="CC94" s="263">
        <f>GA94+'User Input - Correlations'!CC94</f>
        <v>0</v>
      </c>
      <c r="CD94" s="263">
        <f>GB94+'User Input - Correlations'!CD94</f>
        <v>0</v>
      </c>
      <c r="CE94" s="263">
        <f>GC94+'User Input - Correlations'!CE94</f>
        <v>0</v>
      </c>
      <c r="CF94" s="263">
        <f>GD94+'User Input - Correlations'!CF94</f>
        <v>0</v>
      </c>
      <c r="CG94" s="263">
        <f>GE94+'User Input - Correlations'!CG94</f>
        <v>0</v>
      </c>
      <c r="CH94" s="263">
        <v>1</v>
      </c>
      <c r="CI94" s="263">
        <f>GG94+'User Input - Correlations'!CI94</f>
        <v>0</v>
      </c>
      <c r="CJ94" s="263">
        <f>GH94+'User Input - Correlations'!CJ94</f>
        <v>0</v>
      </c>
      <c r="CK94" s="263">
        <f>GI94+'User Input - Correlations'!CK94</f>
        <v>0</v>
      </c>
      <c r="CL94" s="263">
        <f>GJ94+'User Input - Correlations'!CL94</f>
        <v>0</v>
      </c>
      <c r="CM94" s="263">
        <f>GK94+'User Input - Correlations'!CM94</f>
        <v>0</v>
      </c>
      <c r="CN94" s="263">
        <f>GL94+'User Input - Correlations'!CN94</f>
        <v>0</v>
      </c>
      <c r="CO94" s="263">
        <f>GM94+'User Input - Correlations'!CO94</f>
        <v>0</v>
      </c>
      <c r="CP94" s="264">
        <f>GN94+'User Input - Correlations'!CP94</f>
        <v>0</v>
      </c>
      <c r="CQ94" s="281">
        <f ca="1">MDETERM(OFFSET($C$11,0,0,ROWS($CQ$11:$CQ94),ROWS($CQ$11:$CQ94)))</f>
        <v>1</v>
      </c>
      <c r="DA94" s="263">
        <v>0</v>
      </c>
      <c r="DB94" s="263">
        <v>0</v>
      </c>
      <c r="DC94" s="263">
        <v>0</v>
      </c>
      <c r="DD94" s="263">
        <v>0</v>
      </c>
      <c r="DE94" s="263">
        <v>0</v>
      </c>
      <c r="DF94" s="263">
        <v>0</v>
      </c>
      <c r="DG94" s="263">
        <v>0</v>
      </c>
      <c r="DH94" s="263">
        <v>0</v>
      </c>
      <c r="DI94" s="263">
        <v>0</v>
      </c>
      <c r="DJ94" s="263">
        <v>0</v>
      </c>
      <c r="DK94" s="263">
        <v>0</v>
      </c>
      <c r="DL94" s="263">
        <v>0</v>
      </c>
      <c r="DM94" s="263">
        <v>0</v>
      </c>
      <c r="DN94" s="263">
        <v>0</v>
      </c>
      <c r="DO94" s="263">
        <v>0</v>
      </c>
      <c r="DP94" s="263">
        <v>0</v>
      </c>
      <c r="DQ94" s="263">
        <v>0</v>
      </c>
      <c r="DR94" s="263">
        <v>0</v>
      </c>
      <c r="DS94" s="263">
        <v>0</v>
      </c>
      <c r="DT94" s="263">
        <v>0</v>
      </c>
      <c r="DU94" s="263">
        <v>0</v>
      </c>
      <c r="DV94" s="263">
        <v>0</v>
      </c>
      <c r="DW94" s="263">
        <v>0</v>
      </c>
      <c r="DX94" s="263">
        <v>0</v>
      </c>
      <c r="DY94" s="263">
        <v>0</v>
      </c>
      <c r="DZ94" s="263">
        <v>0</v>
      </c>
      <c r="EA94" s="263">
        <v>0</v>
      </c>
      <c r="EB94" s="263">
        <v>0</v>
      </c>
      <c r="EC94" s="263">
        <v>0</v>
      </c>
      <c r="ED94" s="263">
        <v>0</v>
      </c>
      <c r="EE94" s="263">
        <v>0</v>
      </c>
      <c r="EF94" s="263">
        <v>0</v>
      </c>
      <c r="EG94" s="263">
        <v>0</v>
      </c>
      <c r="EH94" s="263">
        <v>0</v>
      </c>
      <c r="EI94" s="263">
        <v>0</v>
      </c>
      <c r="EJ94" s="263">
        <v>0</v>
      </c>
      <c r="EK94" s="263">
        <v>0</v>
      </c>
      <c r="EL94" s="263">
        <v>0</v>
      </c>
      <c r="EM94" s="263">
        <v>0</v>
      </c>
      <c r="EN94" s="263">
        <v>0</v>
      </c>
      <c r="EO94" s="263">
        <v>0</v>
      </c>
      <c r="EP94" s="263">
        <v>0</v>
      </c>
      <c r="EQ94" s="263">
        <v>0</v>
      </c>
      <c r="ER94" s="263">
        <v>0</v>
      </c>
      <c r="ES94" s="263">
        <v>0</v>
      </c>
      <c r="ET94" s="263">
        <v>0</v>
      </c>
      <c r="EU94" s="263">
        <v>0</v>
      </c>
      <c r="EV94" s="263">
        <v>0</v>
      </c>
      <c r="EW94" s="263">
        <v>0</v>
      </c>
      <c r="EX94" s="263">
        <v>0</v>
      </c>
      <c r="EY94" s="263">
        <v>0</v>
      </c>
      <c r="EZ94" s="263">
        <v>0</v>
      </c>
      <c r="FA94" s="263">
        <v>0</v>
      </c>
      <c r="FB94" s="263">
        <v>0</v>
      </c>
      <c r="FC94" s="263">
        <v>0</v>
      </c>
      <c r="FD94" s="263">
        <v>0</v>
      </c>
      <c r="FE94" s="263">
        <v>0</v>
      </c>
      <c r="FF94" s="263">
        <v>0</v>
      </c>
      <c r="FG94" s="263">
        <v>0</v>
      </c>
      <c r="FH94" s="263">
        <v>0</v>
      </c>
      <c r="FI94" s="263">
        <v>0</v>
      </c>
      <c r="FJ94" s="263">
        <v>0</v>
      </c>
      <c r="FK94" s="263">
        <v>0</v>
      </c>
      <c r="FL94" s="263">
        <v>0</v>
      </c>
      <c r="FM94" s="263">
        <v>0</v>
      </c>
      <c r="FN94" s="263">
        <v>0</v>
      </c>
      <c r="FO94" s="263">
        <v>0</v>
      </c>
      <c r="FP94" s="263">
        <v>0</v>
      </c>
      <c r="FQ94" s="263">
        <v>0</v>
      </c>
      <c r="FR94" s="263">
        <v>0</v>
      </c>
      <c r="FS94" s="263">
        <v>0</v>
      </c>
      <c r="FT94" s="263">
        <v>0</v>
      </c>
      <c r="FU94" s="263">
        <v>0</v>
      </c>
      <c r="FV94" s="263">
        <v>0</v>
      </c>
      <c r="FW94" s="263">
        <v>0</v>
      </c>
      <c r="FX94" s="263">
        <v>0</v>
      </c>
      <c r="FY94" s="263">
        <v>0</v>
      </c>
      <c r="FZ94" s="263">
        <v>0</v>
      </c>
      <c r="GA94" s="263">
        <v>0</v>
      </c>
      <c r="GB94" s="263">
        <v>0</v>
      </c>
      <c r="GC94" s="263">
        <v>0</v>
      </c>
      <c r="GD94" s="263">
        <v>0</v>
      </c>
      <c r="GE94" s="263">
        <v>0</v>
      </c>
      <c r="GF94" s="263">
        <v>1</v>
      </c>
      <c r="GG94" s="263">
        <v>0</v>
      </c>
      <c r="GH94" s="263">
        <v>0</v>
      </c>
      <c r="GI94" s="263">
        <v>0</v>
      </c>
      <c r="GJ94" s="263">
        <v>0</v>
      </c>
      <c r="GK94" s="263">
        <v>0</v>
      </c>
      <c r="GL94" s="263">
        <v>0</v>
      </c>
      <c r="GM94" s="263">
        <v>0</v>
      </c>
      <c r="GN94" s="263">
        <v>0</v>
      </c>
    </row>
    <row r="95" ht="12.75" customHeight="1">
      <c r="A95" s="287" t="s">
        <v>194</v>
      </c>
      <c r="B95" s="287" t="s">
        <v>83</v>
      </c>
      <c r="C95" s="263">
        <f>DA95+'User Input - Correlations'!C95</f>
        <v>0</v>
      </c>
      <c r="D95" s="263">
        <f>DB95+'User Input - Correlations'!D95</f>
        <v>0</v>
      </c>
      <c r="E95" s="263">
        <f>DC95+'User Input - Correlations'!E95</f>
        <v>0</v>
      </c>
      <c r="F95" s="263">
        <f>DD95+'User Input - Correlations'!F95</f>
        <v>0</v>
      </c>
      <c r="G95" s="263">
        <f>DE95+'User Input - Correlations'!G95</f>
        <v>0</v>
      </c>
      <c r="H95" s="263">
        <f>DF95+'User Input - Correlations'!H95</f>
        <v>0</v>
      </c>
      <c r="I95" s="263">
        <f>DG95+'User Input - Correlations'!I95</f>
        <v>0</v>
      </c>
      <c r="J95" s="263">
        <f>DH95+'User Input - Correlations'!J95</f>
        <v>0</v>
      </c>
      <c r="K95" s="263">
        <f>DI95+'User Input - Correlations'!K95</f>
        <v>0</v>
      </c>
      <c r="L95" s="263">
        <f>DJ95+'User Input - Correlations'!L95</f>
        <v>0</v>
      </c>
      <c r="M95" s="263">
        <f>DK95+'User Input - Correlations'!M95</f>
        <v>0</v>
      </c>
      <c r="N95" s="263">
        <f>DL95+'User Input - Correlations'!N95</f>
        <v>0</v>
      </c>
      <c r="O95" s="263">
        <f>DM95+'User Input - Correlations'!O95</f>
        <v>0</v>
      </c>
      <c r="P95" s="263">
        <f>DN95+'User Input - Correlations'!P95</f>
        <v>0</v>
      </c>
      <c r="Q95" s="263">
        <f>DO95+'User Input - Correlations'!Q95</f>
        <v>0</v>
      </c>
      <c r="R95" s="263">
        <f>DP95+'User Input - Correlations'!R95</f>
        <v>0</v>
      </c>
      <c r="S95" s="263">
        <f>DQ95+'User Input - Correlations'!S95</f>
        <v>0</v>
      </c>
      <c r="T95" s="263">
        <f>DR95+'User Input - Correlations'!T95</f>
        <v>0</v>
      </c>
      <c r="U95" s="263">
        <f>DS95+'User Input - Correlations'!U95</f>
        <v>0</v>
      </c>
      <c r="V95" s="263">
        <f>DT95+'User Input - Correlations'!V95</f>
        <v>0</v>
      </c>
      <c r="W95" s="263">
        <f>DU95+'User Input - Correlations'!W95</f>
        <v>0</v>
      </c>
      <c r="X95" s="263">
        <f>DV95+'User Input - Correlations'!X95</f>
        <v>0</v>
      </c>
      <c r="Y95" s="263">
        <f>DW95+'User Input - Correlations'!Y95</f>
        <v>0</v>
      </c>
      <c r="Z95" s="263">
        <f>DX95+'User Input - Correlations'!Z95</f>
        <v>0</v>
      </c>
      <c r="AA95" s="263">
        <f>DY95+'User Input - Correlations'!AA95</f>
        <v>0</v>
      </c>
      <c r="AB95" s="263">
        <f>DZ95+'User Input - Correlations'!AB95</f>
        <v>0</v>
      </c>
      <c r="AC95" s="263">
        <f>EA95+'User Input - Correlations'!AC95</f>
        <v>0</v>
      </c>
      <c r="AD95" s="263">
        <f>EB95+'User Input - Correlations'!AD95</f>
        <v>0</v>
      </c>
      <c r="AE95" s="263">
        <f>EC95+'User Input - Correlations'!AE95</f>
        <v>0</v>
      </c>
      <c r="AF95" s="263">
        <f>ED95+'User Input - Correlations'!AF95</f>
        <v>0</v>
      </c>
      <c r="AG95" s="263">
        <f>EE95+'User Input - Correlations'!AG95</f>
        <v>0</v>
      </c>
      <c r="AH95" s="263">
        <f>EF95+'User Input - Correlations'!AH95</f>
        <v>0</v>
      </c>
      <c r="AI95" s="263">
        <f>EG95+'User Input - Correlations'!AI95</f>
        <v>0</v>
      </c>
      <c r="AJ95" s="263">
        <f>EH95+'User Input - Correlations'!AJ95</f>
        <v>0</v>
      </c>
      <c r="AK95" s="263">
        <f>EI95+'User Input - Correlations'!AK95</f>
        <v>0</v>
      </c>
      <c r="AL95" s="263">
        <f>EJ95+'User Input - Correlations'!AL95</f>
        <v>0</v>
      </c>
      <c r="AM95" s="263">
        <f>EK95+'User Input - Correlations'!AM95</f>
        <v>0</v>
      </c>
      <c r="AN95" s="263">
        <f>EL95+'User Input - Correlations'!AN95</f>
        <v>0</v>
      </c>
      <c r="AO95" s="263">
        <f>EM95+'User Input - Correlations'!AO95</f>
        <v>0</v>
      </c>
      <c r="AP95" s="263">
        <f>EN95+'User Input - Correlations'!AP95</f>
        <v>0</v>
      </c>
      <c r="AQ95" s="263">
        <f>EO95+'User Input - Correlations'!AQ95</f>
        <v>0</v>
      </c>
      <c r="AR95" s="263">
        <f>EP95+'User Input - Correlations'!AR95</f>
        <v>0</v>
      </c>
      <c r="AS95" s="263">
        <f>EQ95+'User Input - Correlations'!AS95</f>
        <v>0</v>
      </c>
      <c r="AT95" s="263">
        <f>ER95+'User Input - Correlations'!AT95</f>
        <v>0</v>
      </c>
      <c r="AU95" s="263">
        <f>ES95+'User Input - Correlations'!AU95</f>
        <v>0</v>
      </c>
      <c r="AV95" s="263">
        <f>ET95+'User Input - Correlations'!AV95</f>
        <v>0</v>
      </c>
      <c r="AW95" s="263">
        <f>EU95+'User Input - Correlations'!AW95</f>
        <v>0</v>
      </c>
      <c r="AX95" s="263">
        <f>EV95+'User Input - Correlations'!AX95</f>
        <v>0</v>
      </c>
      <c r="AY95" s="263">
        <f>EW95+'User Input - Correlations'!AY95</f>
        <v>0</v>
      </c>
      <c r="AZ95" s="263">
        <f>EX95+'User Input - Correlations'!AZ95</f>
        <v>0</v>
      </c>
      <c r="BA95" s="263">
        <f>EY95+'User Input - Correlations'!BA95</f>
        <v>0</v>
      </c>
      <c r="BB95" s="263">
        <f>EZ95+'User Input - Correlations'!BB95</f>
        <v>0</v>
      </c>
      <c r="BC95" s="263">
        <f>FA95+'User Input - Correlations'!BC95</f>
        <v>0</v>
      </c>
      <c r="BD95" s="263">
        <f>FB95+'User Input - Correlations'!BD95</f>
        <v>0</v>
      </c>
      <c r="BE95" s="263">
        <f>FC95+'User Input - Correlations'!BE95</f>
        <v>0</v>
      </c>
      <c r="BF95" s="263">
        <f>FD95+'User Input - Correlations'!BF95</f>
        <v>0</v>
      </c>
      <c r="BG95" s="263">
        <f>FE95+'User Input - Correlations'!BG95</f>
        <v>0</v>
      </c>
      <c r="BH95" s="263">
        <f>FF95+'User Input - Correlations'!BH95</f>
        <v>0</v>
      </c>
      <c r="BI95" s="263">
        <f>FG95+'User Input - Correlations'!BI95</f>
        <v>0</v>
      </c>
      <c r="BJ95" s="263">
        <f>FH95+'User Input - Correlations'!BJ95</f>
        <v>0</v>
      </c>
      <c r="BK95" s="263">
        <f>FI95+'User Input - Correlations'!BK95</f>
        <v>0</v>
      </c>
      <c r="BL95" s="263">
        <f>FJ95+'User Input - Correlations'!BL95</f>
        <v>0</v>
      </c>
      <c r="BM95" s="263">
        <f>FK95+'User Input - Correlations'!BM95</f>
        <v>0</v>
      </c>
      <c r="BN95" s="263">
        <f>FL95+'User Input - Correlations'!BN95</f>
        <v>0</v>
      </c>
      <c r="BO95" s="263">
        <f>FM95+'User Input - Correlations'!BO95</f>
        <v>0</v>
      </c>
      <c r="BP95" s="263">
        <f>FN95+'User Input - Correlations'!BP95</f>
        <v>0</v>
      </c>
      <c r="BQ95" s="263">
        <f>FO95+'User Input - Correlations'!BQ95</f>
        <v>0</v>
      </c>
      <c r="BR95" s="263">
        <f>FP95+'User Input - Correlations'!BR95</f>
        <v>0</v>
      </c>
      <c r="BS95" s="263">
        <f>FQ95+'User Input - Correlations'!BS95</f>
        <v>0</v>
      </c>
      <c r="BT95" s="263">
        <f>FR95+'User Input - Correlations'!BT95</f>
        <v>0</v>
      </c>
      <c r="BU95" s="263">
        <f>FS95+'User Input - Correlations'!BU95</f>
        <v>0</v>
      </c>
      <c r="BV95" s="263">
        <f>FT95+'User Input - Correlations'!BV95</f>
        <v>0</v>
      </c>
      <c r="BW95" s="263">
        <f>FU95+'User Input - Correlations'!BW95</f>
        <v>0</v>
      </c>
      <c r="BX95" s="263">
        <f>FV95+'User Input - Correlations'!BX95</f>
        <v>0</v>
      </c>
      <c r="BY95" s="263">
        <f>FW95+'User Input - Correlations'!BY95</f>
        <v>0</v>
      </c>
      <c r="BZ95" s="263">
        <f>FX95+'User Input - Correlations'!BZ95</f>
        <v>0</v>
      </c>
      <c r="CA95" s="263">
        <f>FY95+'User Input - Correlations'!CA95</f>
        <v>0</v>
      </c>
      <c r="CB95" s="263">
        <f>FZ95+'User Input - Correlations'!CB95</f>
        <v>0</v>
      </c>
      <c r="CC95" s="263">
        <f>GA95+'User Input - Correlations'!CC95</f>
        <v>0</v>
      </c>
      <c r="CD95" s="263">
        <f>GB95+'User Input - Correlations'!CD95</f>
        <v>0</v>
      </c>
      <c r="CE95" s="263">
        <f>GC95+'User Input - Correlations'!CE95</f>
        <v>0</v>
      </c>
      <c r="CF95" s="263">
        <f>GD95+'User Input - Correlations'!CF95</f>
        <v>0</v>
      </c>
      <c r="CG95" s="263">
        <f>GE95+'User Input - Correlations'!CG95</f>
        <v>0</v>
      </c>
      <c r="CH95" s="263">
        <f>GF95+'User Input - Correlations'!CH95</f>
        <v>0</v>
      </c>
      <c r="CI95" s="263">
        <v>1</v>
      </c>
      <c r="CJ95" s="263">
        <f>GH95+'User Input - Correlations'!CJ95</f>
        <v>0</v>
      </c>
      <c r="CK95" s="263">
        <f>GI95+'User Input - Correlations'!CK95</f>
        <v>0</v>
      </c>
      <c r="CL95" s="263">
        <f>GJ95+'User Input - Correlations'!CL95</f>
        <v>0</v>
      </c>
      <c r="CM95" s="263">
        <f>GK95+'User Input - Correlations'!CM95</f>
        <v>0</v>
      </c>
      <c r="CN95" s="263">
        <f>GL95+'User Input - Correlations'!CN95</f>
        <v>0</v>
      </c>
      <c r="CO95" s="263">
        <f>GM95+'User Input - Correlations'!CO95</f>
        <v>0</v>
      </c>
      <c r="CP95" s="264">
        <f>GN95+'User Input - Correlations'!CP95</f>
        <v>0</v>
      </c>
      <c r="CQ95" s="281">
        <f ca="1">MDETERM(OFFSET($C$11,0,0,ROWS($CQ$11:$CQ95),ROWS($CQ$11:$CQ95)))</f>
        <v>1</v>
      </c>
      <c r="DA95" s="263">
        <v>0</v>
      </c>
      <c r="DB95" s="263">
        <v>0</v>
      </c>
      <c r="DC95" s="263">
        <v>0</v>
      </c>
      <c r="DD95" s="263">
        <v>0</v>
      </c>
      <c r="DE95" s="263">
        <v>0</v>
      </c>
      <c r="DF95" s="263">
        <v>0</v>
      </c>
      <c r="DG95" s="263">
        <v>0</v>
      </c>
      <c r="DH95" s="263">
        <v>0</v>
      </c>
      <c r="DI95" s="263">
        <v>0</v>
      </c>
      <c r="DJ95" s="263">
        <v>0</v>
      </c>
      <c r="DK95" s="263">
        <v>0</v>
      </c>
      <c r="DL95" s="263">
        <v>0</v>
      </c>
      <c r="DM95" s="263">
        <v>0</v>
      </c>
      <c r="DN95" s="263">
        <v>0</v>
      </c>
      <c r="DO95" s="263">
        <v>0</v>
      </c>
      <c r="DP95" s="263">
        <v>0</v>
      </c>
      <c r="DQ95" s="263">
        <v>0</v>
      </c>
      <c r="DR95" s="263">
        <v>0</v>
      </c>
      <c r="DS95" s="263">
        <v>0</v>
      </c>
      <c r="DT95" s="263">
        <v>0</v>
      </c>
      <c r="DU95" s="263">
        <v>0</v>
      </c>
      <c r="DV95" s="263">
        <v>0</v>
      </c>
      <c r="DW95" s="263">
        <v>0</v>
      </c>
      <c r="DX95" s="263">
        <v>0</v>
      </c>
      <c r="DY95" s="263">
        <v>0</v>
      </c>
      <c r="DZ95" s="263">
        <v>0</v>
      </c>
      <c r="EA95" s="263">
        <v>0</v>
      </c>
      <c r="EB95" s="263">
        <v>0</v>
      </c>
      <c r="EC95" s="263">
        <v>0</v>
      </c>
      <c r="ED95" s="263">
        <v>0</v>
      </c>
      <c r="EE95" s="263">
        <v>0</v>
      </c>
      <c r="EF95" s="263">
        <v>0</v>
      </c>
      <c r="EG95" s="263">
        <v>0</v>
      </c>
      <c r="EH95" s="263">
        <v>0</v>
      </c>
      <c r="EI95" s="263">
        <v>0</v>
      </c>
      <c r="EJ95" s="263">
        <v>0</v>
      </c>
      <c r="EK95" s="263">
        <v>0</v>
      </c>
      <c r="EL95" s="263">
        <v>0</v>
      </c>
      <c r="EM95" s="263">
        <v>0</v>
      </c>
      <c r="EN95" s="263">
        <v>0</v>
      </c>
      <c r="EO95" s="263">
        <v>0</v>
      </c>
      <c r="EP95" s="263">
        <v>0</v>
      </c>
      <c r="EQ95" s="263">
        <v>0</v>
      </c>
      <c r="ER95" s="263">
        <v>0</v>
      </c>
      <c r="ES95" s="263">
        <v>0</v>
      </c>
      <c r="ET95" s="263">
        <v>0</v>
      </c>
      <c r="EU95" s="263">
        <v>0</v>
      </c>
      <c r="EV95" s="263">
        <v>0</v>
      </c>
      <c r="EW95" s="263">
        <v>0</v>
      </c>
      <c r="EX95" s="263">
        <v>0</v>
      </c>
      <c r="EY95" s="263">
        <v>0</v>
      </c>
      <c r="EZ95" s="263">
        <v>0</v>
      </c>
      <c r="FA95" s="263">
        <v>0</v>
      </c>
      <c r="FB95" s="263">
        <v>0</v>
      </c>
      <c r="FC95" s="263">
        <v>0</v>
      </c>
      <c r="FD95" s="263">
        <v>0</v>
      </c>
      <c r="FE95" s="263">
        <v>0</v>
      </c>
      <c r="FF95" s="263">
        <v>0</v>
      </c>
      <c r="FG95" s="263">
        <v>0</v>
      </c>
      <c r="FH95" s="263">
        <v>0</v>
      </c>
      <c r="FI95" s="263">
        <v>0</v>
      </c>
      <c r="FJ95" s="263">
        <v>0</v>
      </c>
      <c r="FK95" s="263">
        <v>0</v>
      </c>
      <c r="FL95" s="263">
        <v>0</v>
      </c>
      <c r="FM95" s="263">
        <v>0</v>
      </c>
      <c r="FN95" s="263">
        <v>0</v>
      </c>
      <c r="FO95" s="263">
        <v>0</v>
      </c>
      <c r="FP95" s="263">
        <v>0</v>
      </c>
      <c r="FQ95" s="263">
        <v>0</v>
      </c>
      <c r="FR95" s="263">
        <v>0</v>
      </c>
      <c r="FS95" s="263">
        <v>0</v>
      </c>
      <c r="FT95" s="263">
        <v>0</v>
      </c>
      <c r="FU95" s="263">
        <v>0</v>
      </c>
      <c r="FV95" s="263">
        <v>0</v>
      </c>
      <c r="FW95" s="263">
        <v>0</v>
      </c>
      <c r="FX95" s="263">
        <v>0</v>
      </c>
      <c r="FY95" s="263">
        <v>0</v>
      </c>
      <c r="FZ95" s="263">
        <v>0</v>
      </c>
      <c r="GA95" s="263">
        <v>0</v>
      </c>
      <c r="GB95" s="263">
        <v>0</v>
      </c>
      <c r="GC95" s="263">
        <v>0</v>
      </c>
      <c r="GD95" s="263">
        <v>0</v>
      </c>
      <c r="GE95" s="263">
        <v>0</v>
      </c>
      <c r="GF95" s="263">
        <v>0</v>
      </c>
      <c r="GG95" s="263">
        <v>1</v>
      </c>
      <c r="GH95" s="263">
        <v>0</v>
      </c>
      <c r="GI95" s="263">
        <v>0</v>
      </c>
      <c r="GJ95" s="263">
        <v>0</v>
      </c>
      <c r="GK95" s="263">
        <v>0</v>
      </c>
      <c r="GL95" s="263">
        <v>0</v>
      </c>
      <c r="GM95" s="263">
        <v>0</v>
      </c>
      <c r="GN95" s="263">
        <v>0</v>
      </c>
    </row>
    <row r="96" ht="12.75" customHeight="1">
      <c r="A96" s="287" t="s">
        <v>84</v>
      </c>
      <c r="B96" s="287" t="s">
        <v>83</v>
      </c>
      <c r="C96" s="263">
        <f>DA96+'User Input - Correlations'!C96</f>
        <v>0</v>
      </c>
      <c r="D96" s="263">
        <f>DB96+'User Input - Correlations'!D96</f>
        <v>0</v>
      </c>
      <c r="E96" s="263">
        <f>DC96+'User Input - Correlations'!E96</f>
        <v>0</v>
      </c>
      <c r="F96" s="263">
        <f>DD96+'User Input - Correlations'!F96</f>
        <v>0</v>
      </c>
      <c r="G96" s="263">
        <f>DE96+'User Input - Correlations'!G96</f>
        <v>0</v>
      </c>
      <c r="H96" s="263">
        <f>DF96+'User Input - Correlations'!H96</f>
        <v>0</v>
      </c>
      <c r="I96" s="263">
        <f>DG96+'User Input - Correlations'!I96</f>
        <v>0</v>
      </c>
      <c r="J96" s="263">
        <f>DH96+'User Input - Correlations'!J96</f>
        <v>0</v>
      </c>
      <c r="K96" s="263">
        <f>DI96+'User Input - Correlations'!K96</f>
        <v>0</v>
      </c>
      <c r="L96" s="263">
        <f>DJ96+'User Input - Correlations'!L96</f>
        <v>0</v>
      </c>
      <c r="M96" s="263">
        <f>DK96+'User Input - Correlations'!M96</f>
        <v>0</v>
      </c>
      <c r="N96" s="263">
        <f>DL96+'User Input - Correlations'!N96</f>
        <v>0</v>
      </c>
      <c r="O96" s="263">
        <f>DM96+'User Input - Correlations'!O96</f>
        <v>0</v>
      </c>
      <c r="P96" s="263">
        <f>DN96+'User Input - Correlations'!P96</f>
        <v>0</v>
      </c>
      <c r="Q96" s="263">
        <f>DO96+'User Input - Correlations'!Q96</f>
        <v>0</v>
      </c>
      <c r="R96" s="263">
        <f>DP96+'User Input - Correlations'!R96</f>
        <v>0</v>
      </c>
      <c r="S96" s="263">
        <f>DQ96+'User Input - Correlations'!S96</f>
        <v>0</v>
      </c>
      <c r="T96" s="263">
        <f>DR96+'User Input - Correlations'!T96</f>
        <v>0</v>
      </c>
      <c r="U96" s="263">
        <f>DS96+'User Input - Correlations'!U96</f>
        <v>0</v>
      </c>
      <c r="V96" s="263">
        <f>DT96+'User Input - Correlations'!V96</f>
        <v>0</v>
      </c>
      <c r="W96" s="263">
        <f>DU96+'User Input - Correlations'!W96</f>
        <v>0</v>
      </c>
      <c r="X96" s="263">
        <f>DV96+'User Input - Correlations'!X96</f>
        <v>0</v>
      </c>
      <c r="Y96" s="263">
        <f>DW96+'User Input - Correlations'!Y96</f>
        <v>0</v>
      </c>
      <c r="Z96" s="263">
        <f>DX96+'User Input - Correlations'!Z96</f>
        <v>0</v>
      </c>
      <c r="AA96" s="263">
        <f>DY96+'User Input - Correlations'!AA96</f>
        <v>0</v>
      </c>
      <c r="AB96" s="263">
        <f>DZ96+'User Input - Correlations'!AB96</f>
        <v>0</v>
      </c>
      <c r="AC96" s="263">
        <f>EA96+'User Input - Correlations'!AC96</f>
        <v>0</v>
      </c>
      <c r="AD96" s="263">
        <f>EB96+'User Input - Correlations'!AD96</f>
        <v>0</v>
      </c>
      <c r="AE96" s="263">
        <f>EC96+'User Input - Correlations'!AE96</f>
        <v>0</v>
      </c>
      <c r="AF96" s="263">
        <f>ED96+'User Input - Correlations'!AF96</f>
        <v>0</v>
      </c>
      <c r="AG96" s="263">
        <f>EE96+'User Input - Correlations'!AG96</f>
        <v>0</v>
      </c>
      <c r="AH96" s="263">
        <f>EF96+'User Input - Correlations'!AH96</f>
        <v>0</v>
      </c>
      <c r="AI96" s="263">
        <f>EG96+'User Input - Correlations'!AI96</f>
        <v>0</v>
      </c>
      <c r="AJ96" s="263">
        <f>EH96+'User Input - Correlations'!AJ96</f>
        <v>0</v>
      </c>
      <c r="AK96" s="263">
        <f>EI96+'User Input - Correlations'!AK96</f>
        <v>0</v>
      </c>
      <c r="AL96" s="263">
        <f>EJ96+'User Input - Correlations'!AL96</f>
        <v>0</v>
      </c>
      <c r="AM96" s="263">
        <f>EK96+'User Input - Correlations'!AM96</f>
        <v>0</v>
      </c>
      <c r="AN96" s="263">
        <f>EL96+'User Input - Correlations'!AN96</f>
        <v>0</v>
      </c>
      <c r="AO96" s="263">
        <f>EM96+'User Input - Correlations'!AO96</f>
        <v>0</v>
      </c>
      <c r="AP96" s="263">
        <f>EN96+'User Input - Correlations'!AP96</f>
        <v>0</v>
      </c>
      <c r="AQ96" s="263">
        <f>EO96+'User Input - Correlations'!AQ96</f>
        <v>0</v>
      </c>
      <c r="AR96" s="263">
        <f>EP96+'User Input - Correlations'!AR96</f>
        <v>0</v>
      </c>
      <c r="AS96" s="263">
        <f>EQ96+'User Input - Correlations'!AS96</f>
        <v>0</v>
      </c>
      <c r="AT96" s="263">
        <f>ER96+'User Input - Correlations'!AT96</f>
        <v>0</v>
      </c>
      <c r="AU96" s="263">
        <f>ES96+'User Input - Correlations'!AU96</f>
        <v>0</v>
      </c>
      <c r="AV96" s="263">
        <f>ET96+'User Input - Correlations'!AV96</f>
        <v>0</v>
      </c>
      <c r="AW96" s="263">
        <f>EU96+'User Input - Correlations'!AW96</f>
        <v>0</v>
      </c>
      <c r="AX96" s="263">
        <f>EV96+'User Input - Correlations'!AX96</f>
        <v>0</v>
      </c>
      <c r="AY96" s="263">
        <f>EW96+'User Input - Correlations'!AY96</f>
        <v>0</v>
      </c>
      <c r="AZ96" s="263">
        <f>EX96+'User Input - Correlations'!AZ96</f>
        <v>0</v>
      </c>
      <c r="BA96" s="263">
        <f>EY96+'User Input - Correlations'!BA96</f>
        <v>0</v>
      </c>
      <c r="BB96" s="263">
        <f>EZ96+'User Input - Correlations'!BB96</f>
        <v>0</v>
      </c>
      <c r="BC96" s="263">
        <f>FA96+'User Input - Correlations'!BC96</f>
        <v>0</v>
      </c>
      <c r="BD96" s="263">
        <f>FB96+'User Input - Correlations'!BD96</f>
        <v>0</v>
      </c>
      <c r="BE96" s="263">
        <f>FC96+'User Input - Correlations'!BE96</f>
        <v>0</v>
      </c>
      <c r="BF96" s="263">
        <f>FD96+'User Input - Correlations'!BF96</f>
        <v>0</v>
      </c>
      <c r="BG96" s="263">
        <f>FE96+'User Input - Correlations'!BG96</f>
        <v>0</v>
      </c>
      <c r="BH96" s="263">
        <f>FF96+'User Input - Correlations'!BH96</f>
        <v>0</v>
      </c>
      <c r="BI96" s="263">
        <f>FG96+'User Input - Correlations'!BI96</f>
        <v>0</v>
      </c>
      <c r="BJ96" s="263">
        <f>FH96+'User Input - Correlations'!BJ96</f>
        <v>0</v>
      </c>
      <c r="BK96" s="263">
        <f>FI96+'User Input - Correlations'!BK96</f>
        <v>0</v>
      </c>
      <c r="BL96" s="263">
        <f>FJ96+'User Input - Correlations'!BL96</f>
        <v>0</v>
      </c>
      <c r="BM96" s="263">
        <f>FK96+'User Input - Correlations'!BM96</f>
        <v>0</v>
      </c>
      <c r="BN96" s="263">
        <f>FL96+'User Input - Correlations'!BN96</f>
        <v>0</v>
      </c>
      <c r="BO96" s="263">
        <f>FM96+'User Input - Correlations'!BO96</f>
        <v>0</v>
      </c>
      <c r="BP96" s="263">
        <f>FN96+'User Input - Correlations'!BP96</f>
        <v>0</v>
      </c>
      <c r="BQ96" s="263">
        <f>FO96+'User Input - Correlations'!BQ96</f>
        <v>0</v>
      </c>
      <c r="BR96" s="263">
        <f>FP96+'User Input - Correlations'!BR96</f>
        <v>0</v>
      </c>
      <c r="BS96" s="263">
        <f>FQ96+'User Input - Correlations'!BS96</f>
        <v>0</v>
      </c>
      <c r="BT96" s="263">
        <f>FR96+'User Input - Correlations'!BT96</f>
        <v>0</v>
      </c>
      <c r="BU96" s="263">
        <f>FS96+'User Input - Correlations'!BU96</f>
        <v>0</v>
      </c>
      <c r="BV96" s="263">
        <f>FT96+'User Input - Correlations'!BV96</f>
        <v>0</v>
      </c>
      <c r="BW96" s="263">
        <f>FU96+'User Input - Correlations'!BW96</f>
        <v>0</v>
      </c>
      <c r="BX96" s="263">
        <f>FV96+'User Input - Correlations'!BX96</f>
        <v>0</v>
      </c>
      <c r="BY96" s="263">
        <f>FW96+'User Input - Correlations'!BY96</f>
        <v>0</v>
      </c>
      <c r="BZ96" s="263">
        <f>FX96+'User Input - Correlations'!BZ96</f>
        <v>0</v>
      </c>
      <c r="CA96" s="263">
        <f>FY96+'User Input - Correlations'!CA96</f>
        <v>0</v>
      </c>
      <c r="CB96" s="263">
        <f>FZ96+'User Input - Correlations'!CB96</f>
        <v>0</v>
      </c>
      <c r="CC96" s="263">
        <f>GA96+'User Input - Correlations'!CC96</f>
        <v>0</v>
      </c>
      <c r="CD96" s="263">
        <f>GB96+'User Input - Correlations'!CD96</f>
        <v>0</v>
      </c>
      <c r="CE96" s="263">
        <f>GC96+'User Input - Correlations'!CE96</f>
        <v>0</v>
      </c>
      <c r="CF96" s="263">
        <f>GD96+'User Input - Correlations'!CF96</f>
        <v>0</v>
      </c>
      <c r="CG96" s="263">
        <f>GE96+'User Input - Correlations'!CG96</f>
        <v>0</v>
      </c>
      <c r="CH96" s="263">
        <f>GF96+'User Input - Correlations'!CH96</f>
        <v>0</v>
      </c>
      <c r="CI96" s="263">
        <f>GG96+'User Input - Correlations'!CI96</f>
        <v>0</v>
      </c>
      <c r="CJ96" s="263">
        <v>1</v>
      </c>
      <c r="CK96" s="263">
        <f>GI96+'User Input - Correlations'!CK96</f>
        <v>0</v>
      </c>
      <c r="CL96" s="263">
        <f>GJ96+'User Input - Correlations'!CL96</f>
        <v>0</v>
      </c>
      <c r="CM96" s="263">
        <f>GK96+'User Input - Correlations'!CM96</f>
        <v>0</v>
      </c>
      <c r="CN96" s="263">
        <f>GL96+'User Input - Correlations'!CN96</f>
        <v>0</v>
      </c>
      <c r="CO96" s="263">
        <f>GM96+'User Input - Correlations'!CO96</f>
        <v>0</v>
      </c>
      <c r="CP96" s="264">
        <f>GN96+'User Input - Correlations'!CP96</f>
        <v>0</v>
      </c>
      <c r="CQ96" s="281">
        <f ca="1">MDETERM(OFFSET($C$11,0,0,ROWS($CQ$11:$CQ96),ROWS($CQ$11:$CQ96)))</f>
        <v>1</v>
      </c>
      <c r="DA96" s="263">
        <v>0</v>
      </c>
      <c r="DB96" s="263">
        <v>0</v>
      </c>
      <c r="DC96" s="263">
        <v>0</v>
      </c>
      <c r="DD96" s="263">
        <v>0</v>
      </c>
      <c r="DE96" s="263">
        <v>0</v>
      </c>
      <c r="DF96" s="263">
        <v>0</v>
      </c>
      <c r="DG96" s="263">
        <v>0</v>
      </c>
      <c r="DH96" s="263">
        <v>0</v>
      </c>
      <c r="DI96" s="263">
        <v>0</v>
      </c>
      <c r="DJ96" s="263">
        <v>0</v>
      </c>
      <c r="DK96" s="263">
        <v>0</v>
      </c>
      <c r="DL96" s="263">
        <v>0</v>
      </c>
      <c r="DM96" s="263">
        <v>0</v>
      </c>
      <c r="DN96" s="263">
        <v>0</v>
      </c>
      <c r="DO96" s="263">
        <v>0</v>
      </c>
      <c r="DP96" s="263">
        <v>0</v>
      </c>
      <c r="DQ96" s="263">
        <v>0</v>
      </c>
      <c r="DR96" s="263">
        <v>0</v>
      </c>
      <c r="DS96" s="263">
        <v>0</v>
      </c>
      <c r="DT96" s="263">
        <v>0</v>
      </c>
      <c r="DU96" s="263">
        <v>0</v>
      </c>
      <c r="DV96" s="263">
        <v>0</v>
      </c>
      <c r="DW96" s="263">
        <v>0</v>
      </c>
      <c r="DX96" s="263">
        <v>0</v>
      </c>
      <c r="DY96" s="263">
        <v>0</v>
      </c>
      <c r="DZ96" s="263">
        <v>0</v>
      </c>
      <c r="EA96" s="263">
        <v>0</v>
      </c>
      <c r="EB96" s="263">
        <v>0</v>
      </c>
      <c r="EC96" s="263">
        <v>0</v>
      </c>
      <c r="ED96" s="263">
        <v>0</v>
      </c>
      <c r="EE96" s="263">
        <v>0</v>
      </c>
      <c r="EF96" s="263">
        <v>0</v>
      </c>
      <c r="EG96" s="263">
        <v>0</v>
      </c>
      <c r="EH96" s="263">
        <v>0</v>
      </c>
      <c r="EI96" s="263">
        <v>0</v>
      </c>
      <c r="EJ96" s="263">
        <v>0</v>
      </c>
      <c r="EK96" s="263">
        <v>0</v>
      </c>
      <c r="EL96" s="263">
        <v>0</v>
      </c>
      <c r="EM96" s="263">
        <v>0</v>
      </c>
      <c r="EN96" s="263">
        <v>0</v>
      </c>
      <c r="EO96" s="263">
        <v>0</v>
      </c>
      <c r="EP96" s="263">
        <v>0</v>
      </c>
      <c r="EQ96" s="263">
        <v>0</v>
      </c>
      <c r="ER96" s="263">
        <v>0</v>
      </c>
      <c r="ES96" s="263">
        <v>0</v>
      </c>
      <c r="ET96" s="263">
        <v>0</v>
      </c>
      <c r="EU96" s="263">
        <v>0</v>
      </c>
      <c r="EV96" s="263">
        <v>0</v>
      </c>
      <c r="EW96" s="263">
        <v>0</v>
      </c>
      <c r="EX96" s="263">
        <v>0</v>
      </c>
      <c r="EY96" s="263">
        <v>0</v>
      </c>
      <c r="EZ96" s="263">
        <v>0</v>
      </c>
      <c r="FA96" s="263">
        <v>0</v>
      </c>
      <c r="FB96" s="263">
        <v>0</v>
      </c>
      <c r="FC96" s="263">
        <v>0</v>
      </c>
      <c r="FD96" s="263">
        <v>0</v>
      </c>
      <c r="FE96" s="263">
        <v>0</v>
      </c>
      <c r="FF96" s="263">
        <v>0</v>
      </c>
      <c r="FG96" s="263">
        <v>0</v>
      </c>
      <c r="FH96" s="263">
        <v>0</v>
      </c>
      <c r="FI96" s="263">
        <v>0</v>
      </c>
      <c r="FJ96" s="263">
        <v>0</v>
      </c>
      <c r="FK96" s="263">
        <v>0</v>
      </c>
      <c r="FL96" s="263">
        <v>0</v>
      </c>
      <c r="FM96" s="263">
        <v>0</v>
      </c>
      <c r="FN96" s="263">
        <v>0</v>
      </c>
      <c r="FO96" s="263">
        <v>0</v>
      </c>
      <c r="FP96" s="263">
        <v>0</v>
      </c>
      <c r="FQ96" s="263">
        <v>0</v>
      </c>
      <c r="FR96" s="263">
        <v>0</v>
      </c>
      <c r="FS96" s="263">
        <v>0</v>
      </c>
      <c r="FT96" s="263">
        <v>0</v>
      </c>
      <c r="FU96" s="263">
        <v>0</v>
      </c>
      <c r="FV96" s="263">
        <v>0</v>
      </c>
      <c r="FW96" s="263">
        <v>0</v>
      </c>
      <c r="FX96" s="263">
        <v>0</v>
      </c>
      <c r="FY96" s="263">
        <v>0</v>
      </c>
      <c r="FZ96" s="263">
        <v>0</v>
      </c>
      <c r="GA96" s="263">
        <v>0</v>
      </c>
      <c r="GB96" s="263">
        <v>0</v>
      </c>
      <c r="GC96" s="263">
        <v>0</v>
      </c>
      <c r="GD96" s="263">
        <v>0</v>
      </c>
      <c r="GE96" s="263">
        <v>0</v>
      </c>
      <c r="GF96" s="263">
        <v>0</v>
      </c>
      <c r="GG96" s="263">
        <v>0</v>
      </c>
      <c r="GH96" s="263">
        <v>1</v>
      </c>
      <c r="GI96" s="263">
        <v>0</v>
      </c>
      <c r="GJ96" s="263">
        <v>0</v>
      </c>
      <c r="GK96" s="263">
        <v>0</v>
      </c>
      <c r="GL96" s="263">
        <v>0</v>
      </c>
      <c r="GM96" s="263">
        <v>0</v>
      </c>
      <c r="GN96" s="263">
        <v>0</v>
      </c>
    </row>
    <row r="97" ht="12.75" customHeight="1">
      <c r="A97" s="288" t="s">
        <v>115</v>
      </c>
      <c r="B97" s="288" t="s">
        <v>98</v>
      </c>
      <c r="C97" s="263">
        <f>DA97+'User Input - Correlations'!C97</f>
        <v>0</v>
      </c>
      <c r="D97" s="263">
        <f>DB97+'User Input - Correlations'!D97</f>
        <v>0</v>
      </c>
      <c r="E97" s="263">
        <f>DC97+'User Input - Correlations'!E97</f>
        <v>0</v>
      </c>
      <c r="F97" s="263">
        <f>DD97+'User Input - Correlations'!F97</f>
        <v>0</v>
      </c>
      <c r="G97" s="263">
        <f>DE97+'User Input - Correlations'!G97</f>
        <v>0</v>
      </c>
      <c r="H97" s="263">
        <f>DF97+'User Input - Correlations'!H97</f>
        <v>0</v>
      </c>
      <c r="I97" s="263">
        <f>DG97+'User Input - Correlations'!I97</f>
        <v>0</v>
      </c>
      <c r="J97" s="263">
        <f>DH97+'User Input - Correlations'!J97</f>
        <v>0</v>
      </c>
      <c r="K97" s="263">
        <f>DI97+'User Input - Correlations'!K97</f>
        <v>0</v>
      </c>
      <c r="L97" s="263">
        <f>DJ97+'User Input - Correlations'!L97</f>
        <v>0</v>
      </c>
      <c r="M97" s="263">
        <f>DK97+'User Input - Correlations'!M97</f>
        <v>0</v>
      </c>
      <c r="N97" s="263">
        <f>DL97+'User Input - Correlations'!N97</f>
        <v>0</v>
      </c>
      <c r="O97" s="263">
        <f>DM97+'User Input - Correlations'!O97</f>
        <v>0</v>
      </c>
      <c r="P97" s="263">
        <f>DN97+'User Input - Correlations'!P97</f>
        <v>0</v>
      </c>
      <c r="Q97" s="263">
        <f>DO97+'User Input - Correlations'!Q97</f>
        <v>0</v>
      </c>
      <c r="R97" s="263">
        <f>DP97+'User Input - Correlations'!R97</f>
        <v>0</v>
      </c>
      <c r="S97" s="263">
        <f>DQ97+'User Input - Correlations'!S97</f>
        <v>0</v>
      </c>
      <c r="T97" s="263">
        <f>DR97+'User Input - Correlations'!T97</f>
        <v>0</v>
      </c>
      <c r="U97" s="263">
        <f>DS97+'User Input - Correlations'!U97</f>
        <v>0</v>
      </c>
      <c r="V97" s="263">
        <f>DT97+'User Input - Correlations'!V97</f>
        <v>0</v>
      </c>
      <c r="W97" s="263">
        <f>DU97+'User Input - Correlations'!W97</f>
        <v>0</v>
      </c>
      <c r="X97" s="263">
        <f>DV97+'User Input - Correlations'!X97</f>
        <v>0</v>
      </c>
      <c r="Y97" s="263">
        <f>DW97+'User Input - Correlations'!Y97</f>
        <v>0</v>
      </c>
      <c r="Z97" s="263">
        <f>DX97+'User Input - Correlations'!Z97</f>
        <v>0</v>
      </c>
      <c r="AA97" s="263">
        <f>DY97+'User Input - Correlations'!AA97</f>
        <v>0</v>
      </c>
      <c r="AB97" s="263">
        <f>DZ97+'User Input - Correlations'!AB97</f>
        <v>0</v>
      </c>
      <c r="AC97" s="263">
        <f>EA97+'User Input - Correlations'!AC97</f>
        <v>0</v>
      </c>
      <c r="AD97" s="263">
        <f>EB97+'User Input - Correlations'!AD97</f>
        <v>0</v>
      </c>
      <c r="AE97" s="263">
        <f>EC97+'User Input - Correlations'!AE97</f>
        <v>0</v>
      </c>
      <c r="AF97" s="263">
        <f>ED97+'User Input - Correlations'!AF97</f>
        <v>0</v>
      </c>
      <c r="AG97" s="263">
        <f>EE97+'User Input - Correlations'!AG97</f>
        <v>0</v>
      </c>
      <c r="AH97" s="263">
        <f>EF97+'User Input - Correlations'!AH97</f>
        <v>0</v>
      </c>
      <c r="AI97" s="263">
        <f>EG97+'User Input - Correlations'!AI97</f>
        <v>0</v>
      </c>
      <c r="AJ97" s="263">
        <f>EH97+'User Input - Correlations'!AJ97</f>
        <v>0</v>
      </c>
      <c r="AK97" s="263">
        <f>EI97+'User Input - Correlations'!AK97</f>
        <v>0</v>
      </c>
      <c r="AL97" s="263">
        <f>EJ97+'User Input - Correlations'!AL97</f>
        <v>0</v>
      </c>
      <c r="AM97" s="263">
        <f>EK97+'User Input - Correlations'!AM97</f>
        <v>0</v>
      </c>
      <c r="AN97" s="263">
        <f>EL97+'User Input - Correlations'!AN97</f>
        <v>0</v>
      </c>
      <c r="AO97" s="263">
        <f>EM97+'User Input - Correlations'!AO97</f>
        <v>0</v>
      </c>
      <c r="AP97" s="263">
        <f>EN97+'User Input - Correlations'!AP97</f>
        <v>0</v>
      </c>
      <c r="AQ97" s="263">
        <f>EO97+'User Input - Correlations'!AQ97</f>
        <v>0</v>
      </c>
      <c r="AR97" s="263">
        <f>EP97+'User Input - Correlations'!AR97</f>
        <v>0</v>
      </c>
      <c r="AS97" s="263">
        <f>EQ97+'User Input - Correlations'!AS97</f>
        <v>0</v>
      </c>
      <c r="AT97" s="263">
        <f>ER97+'User Input - Correlations'!AT97</f>
        <v>0</v>
      </c>
      <c r="AU97" s="263">
        <f>ES97+'User Input - Correlations'!AU97</f>
        <v>0</v>
      </c>
      <c r="AV97" s="263">
        <f>ET97+'User Input - Correlations'!AV97</f>
        <v>0</v>
      </c>
      <c r="AW97" s="263">
        <f>EU97+'User Input - Correlations'!AW97</f>
        <v>0</v>
      </c>
      <c r="AX97" s="263">
        <f>EV97+'User Input - Correlations'!AX97</f>
        <v>0</v>
      </c>
      <c r="AY97" s="263">
        <f>EW97+'User Input - Correlations'!AY97</f>
        <v>0</v>
      </c>
      <c r="AZ97" s="263">
        <f>EX97+'User Input - Correlations'!AZ97</f>
        <v>0</v>
      </c>
      <c r="BA97" s="263">
        <f>EY97+'User Input - Correlations'!BA97</f>
        <v>0</v>
      </c>
      <c r="BB97" s="263">
        <f>EZ97+'User Input - Correlations'!BB97</f>
        <v>0</v>
      </c>
      <c r="BC97" s="263">
        <f>FA97+'User Input - Correlations'!BC97</f>
        <v>0</v>
      </c>
      <c r="BD97" s="263">
        <f>FB97+'User Input - Correlations'!BD97</f>
        <v>0</v>
      </c>
      <c r="BE97" s="263">
        <f>FC97+'User Input - Correlations'!BE97</f>
        <v>0</v>
      </c>
      <c r="BF97" s="263">
        <f>FD97+'User Input - Correlations'!BF97</f>
        <v>0</v>
      </c>
      <c r="BG97" s="263">
        <f>FE97+'User Input - Correlations'!BG97</f>
        <v>0</v>
      </c>
      <c r="BH97" s="263">
        <f>FF97+'User Input - Correlations'!BH97</f>
        <v>0</v>
      </c>
      <c r="BI97" s="263">
        <f>FG97+'User Input - Correlations'!BI97</f>
        <v>0</v>
      </c>
      <c r="BJ97" s="263">
        <f>FH97+'User Input - Correlations'!BJ97</f>
        <v>0</v>
      </c>
      <c r="BK97" s="263">
        <f>FI97+'User Input - Correlations'!BK97</f>
        <v>0</v>
      </c>
      <c r="BL97" s="263">
        <f>FJ97+'User Input - Correlations'!BL97</f>
        <v>0</v>
      </c>
      <c r="BM97" s="263">
        <f>FK97+'User Input - Correlations'!BM97</f>
        <v>0</v>
      </c>
      <c r="BN97" s="263">
        <f>FL97+'User Input - Correlations'!BN97</f>
        <v>0</v>
      </c>
      <c r="BO97" s="263">
        <f>FM97+'User Input - Correlations'!BO97</f>
        <v>0</v>
      </c>
      <c r="BP97" s="263">
        <f>FN97+'User Input - Correlations'!BP97</f>
        <v>0</v>
      </c>
      <c r="BQ97" s="263">
        <f>FO97+'User Input - Correlations'!BQ97</f>
        <v>0</v>
      </c>
      <c r="BR97" s="263">
        <f>FP97+'User Input - Correlations'!BR97</f>
        <v>0</v>
      </c>
      <c r="BS97" s="263">
        <f>FQ97+'User Input - Correlations'!BS97</f>
        <v>0</v>
      </c>
      <c r="BT97" s="263">
        <f>FR97+'User Input - Correlations'!BT97</f>
        <v>0</v>
      </c>
      <c r="BU97" s="263">
        <f>FS97+'User Input - Correlations'!BU97</f>
        <v>0</v>
      </c>
      <c r="BV97" s="263">
        <f>FT97+'User Input - Correlations'!BV97</f>
        <v>0</v>
      </c>
      <c r="BW97" s="263">
        <f>FU97+'User Input - Correlations'!BW97</f>
        <v>0</v>
      </c>
      <c r="BX97" s="263">
        <f>FV97+'User Input - Correlations'!BX97</f>
        <v>0</v>
      </c>
      <c r="BY97" s="263">
        <f>FW97+'User Input - Correlations'!BY97</f>
        <v>0</v>
      </c>
      <c r="BZ97" s="263">
        <f>FX97+'User Input - Correlations'!BZ97</f>
        <v>0</v>
      </c>
      <c r="CA97" s="263">
        <f>FY97+'User Input - Correlations'!CA97</f>
        <v>0</v>
      </c>
      <c r="CB97" s="263">
        <f>FZ97+'User Input - Correlations'!CB97</f>
        <v>0</v>
      </c>
      <c r="CC97" s="263">
        <f>GA97+'User Input - Correlations'!CC97</f>
        <v>0</v>
      </c>
      <c r="CD97" s="263">
        <f>GB97+'User Input - Correlations'!CD97</f>
        <v>0</v>
      </c>
      <c r="CE97" s="263">
        <f>GC97+'User Input - Correlations'!CE97</f>
        <v>0</v>
      </c>
      <c r="CF97" s="263">
        <f>GD97+'User Input - Correlations'!CF97</f>
        <v>0</v>
      </c>
      <c r="CG97" s="263">
        <f>GE97+'User Input - Correlations'!CG97</f>
        <v>0</v>
      </c>
      <c r="CH97" s="263">
        <f>GF97+'User Input - Correlations'!CH97</f>
        <v>0</v>
      </c>
      <c r="CI97" s="263">
        <f>GG97+'User Input - Correlations'!CI97</f>
        <v>0</v>
      </c>
      <c r="CJ97" s="263">
        <f>GH97+'User Input - Correlations'!CJ97</f>
        <v>0</v>
      </c>
      <c r="CK97" s="263">
        <v>1</v>
      </c>
      <c r="CL97" s="263">
        <f>GJ97+'User Input - Correlations'!CL97</f>
        <v>0</v>
      </c>
      <c r="CM97" s="263">
        <f>GK97+'User Input - Correlations'!CM97</f>
        <v>0</v>
      </c>
      <c r="CN97" s="263">
        <f>GL97+'User Input - Correlations'!CN97</f>
        <v>0</v>
      </c>
      <c r="CO97" s="263">
        <f>GM97+'User Input - Correlations'!CO97</f>
        <v>0</v>
      </c>
      <c r="CP97" s="264">
        <f>GN97+'User Input - Correlations'!CP97</f>
        <v>0</v>
      </c>
      <c r="CQ97" s="281">
        <f ca="1">MDETERM(OFFSET($C$11,0,0,ROWS($CQ$11:$CQ97),ROWS($CQ$11:$CQ97)))</f>
        <v>1</v>
      </c>
      <c r="DA97" s="263">
        <v>0</v>
      </c>
      <c r="DB97" s="263">
        <v>0</v>
      </c>
      <c r="DC97" s="263">
        <v>0</v>
      </c>
      <c r="DD97" s="263">
        <v>0</v>
      </c>
      <c r="DE97" s="263">
        <v>0</v>
      </c>
      <c r="DF97" s="263">
        <v>0</v>
      </c>
      <c r="DG97" s="263">
        <v>0</v>
      </c>
      <c r="DH97" s="263">
        <v>0</v>
      </c>
      <c r="DI97" s="263">
        <v>0</v>
      </c>
      <c r="DJ97" s="263">
        <v>0</v>
      </c>
      <c r="DK97" s="263">
        <v>0</v>
      </c>
      <c r="DL97" s="263">
        <v>0</v>
      </c>
      <c r="DM97" s="263">
        <v>0</v>
      </c>
      <c r="DN97" s="263">
        <v>0</v>
      </c>
      <c r="DO97" s="263">
        <v>0</v>
      </c>
      <c r="DP97" s="263">
        <v>0</v>
      </c>
      <c r="DQ97" s="263">
        <v>0</v>
      </c>
      <c r="DR97" s="263">
        <v>0</v>
      </c>
      <c r="DS97" s="263">
        <v>0</v>
      </c>
      <c r="DT97" s="263">
        <v>0</v>
      </c>
      <c r="DU97" s="263">
        <v>0</v>
      </c>
      <c r="DV97" s="263">
        <v>0</v>
      </c>
      <c r="DW97" s="263">
        <v>0</v>
      </c>
      <c r="DX97" s="263">
        <v>0</v>
      </c>
      <c r="DY97" s="263">
        <v>0</v>
      </c>
      <c r="DZ97" s="263">
        <v>0</v>
      </c>
      <c r="EA97" s="263">
        <v>0</v>
      </c>
      <c r="EB97" s="263">
        <v>0</v>
      </c>
      <c r="EC97" s="263">
        <v>0</v>
      </c>
      <c r="ED97" s="263">
        <v>0</v>
      </c>
      <c r="EE97" s="263">
        <v>0</v>
      </c>
      <c r="EF97" s="263">
        <v>0</v>
      </c>
      <c r="EG97" s="263">
        <v>0</v>
      </c>
      <c r="EH97" s="263">
        <v>0</v>
      </c>
      <c r="EI97" s="263">
        <v>0</v>
      </c>
      <c r="EJ97" s="263">
        <v>0</v>
      </c>
      <c r="EK97" s="263">
        <v>0</v>
      </c>
      <c r="EL97" s="263">
        <v>0</v>
      </c>
      <c r="EM97" s="263">
        <v>0</v>
      </c>
      <c r="EN97" s="263">
        <v>0</v>
      </c>
      <c r="EO97" s="263">
        <v>0</v>
      </c>
      <c r="EP97" s="263">
        <v>0</v>
      </c>
      <c r="EQ97" s="263">
        <v>0</v>
      </c>
      <c r="ER97" s="263">
        <v>0</v>
      </c>
      <c r="ES97" s="263">
        <v>0</v>
      </c>
      <c r="ET97" s="263">
        <v>0</v>
      </c>
      <c r="EU97" s="263">
        <v>0</v>
      </c>
      <c r="EV97" s="263">
        <v>0</v>
      </c>
      <c r="EW97" s="263">
        <v>0</v>
      </c>
      <c r="EX97" s="263">
        <v>0</v>
      </c>
      <c r="EY97" s="263">
        <v>0</v>
      </c>
      <c r="EZ97" s="263">
        <v>0</v>
      </c>
      <c r="FA97" s="263">
        <v>0</v>
      </c>
      <c r="FB97" s="263">
        <v>0</v>
      </c>
      <c r="FC97" s="263">
        <v>0</v>
      </c>
      <c r="FD97" s="263">
        <v>0</v>
      </c>
      <c r="FE97" s="263">
        <v>0</v>
      </c>
      <c r="FF97" s="263">
        <v>0</v>
      </c>
      <c r="FG97" s="263">
        <v>0</v>
      </c>
      <c r="FH97" s="263">
        <v>0</v>
      </c>
      <c r="FI97" s="263">
        <v>0</v>
      </c>
      <c r="FJ97" s="263">
        <v>0</v>
      </c>
      <c r="FK97" s="263">
        <v>0</v>
      </c>
      <c r="FL97" s="263">
        <v>0</v>
      </c>
      <c r="FM97" s="263">
        <v>0</v>
      </c>
      <c r="FN97" s="263">
        <v>0</v>
      </c>
      <c r="FO97" s="263">
        <v>0</v>
      </c>
      <c r="FP97" s="263">
        <v>0</v>
      </c>
      <c r="FQ97" s="263">
        <v>0</v>
      </c>
      <c r="FR97" s="263">
        <v>0</v>
      </c>
      <c r="FS97" s="263">
        <v>0</v>
      </c>
      <c r="FT97" s="263">
        <v>0</v>
      </c>
      <c r="FU97" s="263">
        <v>0</v>
      </c>
      <c r="FV97" s="263">
        <v>0</v>
      </c>
      <c r="FW97" s="263">
        <v>0</v>
      </c>
      <c r="FX97" s="263">
        <v>0</v>
      </c>
      <c r="FY97" s="263">
        <v>0</v>
      </c>
      <c r="FZ97" s="263">
        <v>0</v>
      </c>
      <c r="GA97" s="263">
        <v>0</v>
      </c>
      <c r="GB97" s="263">
        <v>0</v>
      </c>
      <c r="GC97" s="263">
        <v>0</v>
      </c>
      <c r="GD97" s="263">
        <v>0</v>
      </c>
      <c r="GE97" s="263">
        <v>0</v>
      </c>
      <c r="GF97" s="263">
        <v>0</v>
      </c>
      <c r="GG97" s="263">
        <v>0</v>
      </c>
      <c r="GH97" s="263">
        <v>0</v>
      </c>
      <c r="GI97" s="263">
        <v>1</v>
      </c>
      <c r="GJ97" s="263">
        <v>0</v>
      </c>
      <c r="GK97" s="263">
        <v>0</v>
      </c>
      <c r="GL97" s="263">
        <v>0</v>
      </c>
      <c r="GM97" s="263">
        <v>0</v>
      </c>
      <c r="GN97" s="263">
        <v>0</v>
      </c>
    </row>
    <row r="98" ht="12.75" customHeight="1">
      <c r="A98" s="288" t="s">
        <v>115</v>
      </c>
      <c r="B98" s="288" t="s">
        <v>111</v>
      </c>
      <c r="C98" s="263">
        <f>DA98+'User Input - Correlations'!C98</f>
        <v>0</v>
      </c>
      <c r="D98" s="263">
        <f>DB98+'User Input - Correlations'!D98</f>
        <v>0</v>
      </c>
      <c r="E98" s="263">
        <f>DC98+'User Input - Correlations'!E98</f>
        <v>0</v>
      </c>
      <c r="F98" s="263">
        <f>DD98+'User Input - Correlations'!F98</f>
        <v>0</v>
      </c>
      <c r="G98" s="263">
        <f>DE98+'User Input - Correlations'!G98</f>
        <v>0</v>
      </c>
      <c r="H98" s="263">
        <f>DF98+'User Input - Correlations'!H98</f>
        <v>0</v>
      </c>
      <c r="I98" s="263">
        <f>DG98+'User Input - Correlations'!I98</f>
        <v>0</v>
      </c>
      <c r="J98" s="263">
        <f>DH98+'User Input - Correlations'!J98</f>
        <v>0</v>
      </c>
      <c r="K98" s="263">
        <f>DI98+'User Input - Correlations'!K98</f>
        <v>0</v>
      </c>
      <c r="L98" s="263">
        <f>DJ98+'User Input - Correlations'!L98</f>
        <v>0</v>
      </c>
      <c r="M98" s="263">
        <f>DK98+'User Input - Correlations'!M98</f>
        <v>0</v>
      </c>
      <c r="N98" s="263">
        <f>DL98+'User Input - Correlations'!N98</f>
        <v>0</v>
      </c>
      <c r="O98" s="263">
        <f>DM98+'User Input - Correlations'!O98</f>
        <v>0</v>
      </c>
      <c r="P98" s="263">
        <f>DN98+'User Input - Correlations'!P98</f>
        <v>0</v>
      </c>
      <c r="Q98" s="263">
        <f>DO98+'User Input - Correlations'!Q98</f>
        <v>0</v>
      </c>
      <c r="R98" s="263">
        <f>DP98+'User Input - Correlations'!R98</f>
        <v>0</v>
      </c>
      <c r="S98" s="263">
        <f>DQ98+'User Input - Correlations'!S98</f>
        <v>0</v>
      </c>
      <c r="T98" s="263">
        <f>DR98+'User Input - Correlations'!T98</f>
        <v>0</v>
      </c>
      <c r="U98" s="263">
        <f>DS98+'User Input - Correlations'!U98</f>
        <v>0</v>
      </c>
      <c r="V98" s="263">
        <f>DT98+'User Input - Correlations'!V98</f>
        <v>0</v>
      </c>
      <c r="W98" s="263">
        <f>DU98+'User Input - Correlations'!W98</f>
        <v>0</v>
      </c>
      <c r="X98" s="263">
        <f>DV98+'User Input - Correlations'!X98</f>
        <v>0</v>
      </c>
      <c r="Y98" s="263">
        <f>DW98+'User Input - Correlations'!Y98</f>
        <v>0</v>
      </c>
      <c r="Z98" s="263">
        <f>DX98+'User Input - Correlations'!Z98</f>
        <v>0</v>
      </c>
      <c r="AA98" s="263">
        <f>DY98+'User Input - Correlations'!AA98</f>
        <v>0</v>
      </c>
      <c r="AB98" s="263">
        <f>DZ98+'User Input - Correlations'!AB98</f>
        <v>0</v>
      </c>
      <c r="AC98" s="263">
        <f>EA98+'User Input - Correlations'!AC98</f>
        <v>0</v>
      </c>
      <c r="AD98" s="263">
        <f>EB98+'User Input - Correlations'!AD98</f>
        <v>0</v>
      </c>
      <c r="AE98" s="263">
        <f>EC98+'User Input - Correlations'!AE98</f>
        <v>0</v>
      </c>
      <c r="AF98" s="263">
        <f>ED98+'User Input - Correlations'!AF98</f>
        <v>0</v>
      </c>
      <c r="AG98" s="263">
        <f>EE98+'User Input - Correlations'!AG98</f>
        <v>0</v>
      </c>
      <c r="AH98" s="263">
        <f>EF98+'User Input - Correlations'!AH98</f>
        <v>0</v>
      </c>
      <c r="AI98" s="263">
        <f>EG98+'User Input - Correlations'!AI98</f>
        <v>0</v>
      </c>
      <c r="AJ98" s="263">
        <f>EH98+'User Input - Correlations'!AJ98</f>
        <v>0</v>
      </c>
      <c r="AK98" s="263">
        <f>EI98+'User Input - Correlations'!AK98</f>
        <v>0</v>
      </c>
      <c r="AL98" s="263">
        <f>EJ98+'User Input - Correlations'!AL98</f>
        <v>0</v>
      </c>
      <c r="AM98" s="263">
        <f>EK98+'User Input - Correlations'!AM98</f>
        <v>0</v>
      </c>
      <c r="AN98" s="263">
        <f>EL98+'User Input - Correlations'!AN98</f>
        <v>0</v>
      </c>
      <c r="AO98" s="263">
        <f>EM98+'User Input - Correlations'!AO98</f>
        <v>0</v>
      </c>
      <c r="AP98" s="263">
        <f>EN98+'User Input - Correlations'!AP98</f>
        <v>0</v>
      </c>
      <c r="AQ98" s="263">
        <f>EO98+'User Input - Correlations'!AQ98</f>
        <v>0</v>
      </c>
      <c r="AR98" s="263">
        <f>EP98+'User Input - Correlations'!AR98</f>
        <v>0</v>
      </c>
      <c r="AS98" s="263">
        <f>EQ98+'User Input - Correlations'!AS98</f>
        <v>0</v>
      </c>
      <c r="AT98" s="263">
        <f>ER98+'User Input - Correlations'!AT98</f>
        <v>0</v>
      </c>
      <c r="AU98" s="263">
        <f>ES98+'User Input - Correlations'!AU98</f>
        <v>0</v>
      </c>
      <c r="AV98" s="263">
        <f>ET98+'User Input - Correlations'!AV98</f>
        <v>0</v>
      </c>
      <c r="AW98" s="263">
        <f>EU98+'User Input - Correlations'!AW98</f>
        <v>0</v>
      </c>
      <c r="AX98" s="263">
        <f>EV98+'User Input - Correlations'!AX98</f>
        <v>0</v>
      </c>
      <c r="AY98" s="263">
        <f>EW98+'User Input - Correlations'!AY98</f>
        <v>0</v>
      </c>
      <c r="AZ98" s="263">
        <f>EX98+'User Input - Correlations'!AZ98</f>
        <v>0</v>
      </c>
      <c r="BA98" s="263">
        <f>EY98+'User Input - Correlations'!BA98</f>
        <v>0</v>
      </c>
      <c r="BB98" s="263">
        <f>EZ98+'User Input - Correlations'!BB98</f>
        <v>0</v>
      </c>
      <c r="BC98" s="263">
        <f>FA98+'User Input - Correlations'!BC98</f>
        <v>0</v>
      </c>
      <c r="BD98" s="263">
        <f>FB98+'User Input - Correlations'!BD98</f>
        <v>0</v>
      </c>
      <c r="BE98" s="263">
        <f>FC98+'User Input - Correlations'!BE98</f>
        <v>0</v>
      </c>
      <c r="BF98" s="263">
        <f>FD98+'User Input - Correlations'!BF98</f>
        <v>0</v>
      </c>
      <c r="BG98" s="263">
        <f>FE98+'User Input - Correlations'!BG98</f>
        <v>0</v>
      </c>
      <c r="BH98" s="263">
        <f>FF98+'User Input - Correlations'!BH98</f>
        <v>0</v>
      </c>
      <c r="BI98" s="263">
        <f>FG98+'User Input - Correlations'!BI98</f>
        <v>0</v>
      </c>
      <c r="BJ98" s="263">
        <f>FH98+'User Input - Correlations'!BJ98</f>
        <v>0</v>
      </c>
      <c r="BK98" s="263">
        <f>FI98+'User Input - Correlations'!BK98</f>
        <v>0</v>
      </c>
      <c r="BL98" s="263">
        <f>FJ98+'User Input - Correlations'!BL98</f>
        <v>0</v>
      </c>
      <c r="BM98" s="263">
        <f>FK98+'User Input - Correlations'!BM98</f>
        <v>0</v>
      </c>
      <c r="BN98" s="263">
        <f>FL98+'User Input - Correlations'!BN98</f>
        <v>0</v>
      </c>
      <c r="BO98" s="263">
        <f>FM98+'User Input - Correlations'!BO98</f>
        <v>0</v>
      </c>
      <c r="BP98" s="263">
        <f>FN98+'User Input - Correlations'!BP98</f>
        <v>0</v>
      </c>
      <c r="BQ98" s="263">
        <f>FO98+'User Input - Correlations'!BQ98</f>
        <v>0</v>
      </c>
      <c r="BR98" s="263">
        <f>FP98+'User Input - Correlations'!BR98</f>
        <v>0</v>
      </c>
      <c r="BS98" s="263">
        <f>FQ98+'User Input - Correlations'!BS98</f>
        <v>0</v>
      </c>
      <c r="BT98" s="263">
        <f>FR98+'User Input - Correlations'!BT98</f>
        <v>0</v>
      </c>
      <c r="BU98" s="263">
        <f>FS98+'User Input - Correlations'!BU98</f>
        <v>0</v>
      </c>
      <c r="BV98" s="263">
        <f>FT98+'User Input - Correlations'!BV98</f>
        <v>0</v>
      </c>
      <c r="BW98" s="263">
        <f>FU98+'User Input - Correlations'!BW98</f>
        <v>0</v>
      </c>
      <c r="BX98" s="263">
        <f>FV98+'User Input - Correlations'!BX98</f>
        <v>0</v>
      </c>
      <c r="BY98" s="263">
        <f>FW98+'User Input - Correlations'!BY98</f>
        <v>0</v>
      </c>
      <c r="BZ98" s="263">
        <f>FX98+'User Input - Correlations'!BZ98</f>
        <v>0</v>
      </c>
      <c r="CA98" s="263">
        <f>FY98+'User Input - Correlations'!CA98</f>
        <v>0</v>
      </c>
      <c r="CB98" s="263">
        <f>FZ98+'User Input - Correlations'!CB98</f>
        <v>0</v>
      </c>
      <c r="CC98" s="263">
        <f>GA98+'User Input - Correlations'!CC98</f>
        <v>0</v>
      </c>
      <c r="CD98" s="263">
        <f>GB98+'User Input - Correlations'!CD98</f>
        <v>0</v>
      </c>
      <c r="CE98" s="263">
        <f>GC98+'User Input - Correlations'!CE98</f>
        <v>0</v>
      </c>
      <c r="CF98" s="263">
        <f>GD98+'User Input - Correlations'!CF98</f>
        <v>0</v>
      </c>
      <c r="CG98" s="263">
        <f>GE98+'User Input - Correlations'!CG98</f>
        <v>0</v>
      </c>
      <c r="CH98" s="263">
        <f>GF98+'User Input - Correlations'!CH98</f>
        <v>0</v>
      </c>
      <c r="CI98" s="263">
        <f>GG98+'User Input - Correlations'!CI98</f>
        <v>0</v>
      </c>
      <c r="CJ98" s="263">
        <f>GH98+'User Input - Correlations'!CJ98</f>
        <v>0</v>
      </c>
      <c r="CK98" s="263">
        <f>GI98+'User Input - Correlations'!CK98</f>
        <v>0</v>
      </c>
      <c r="CL98" s="263">
        <v>1</v>
      </c>
      <c r="CM98" s="263">
        <f>GK98+'User Input - Correlations'!CM98</f>
        <v>0</v>
      </c>
      <c r="CN98" s="263">
        <f>GL98+'User Input - Correlations'!CN98</f>
        <v>0</v>
      </c>
      <c r="CO98" s="263">
        <f>GM98+'User Input - Correlations'!CO98</f>
        <v>0</v>
      </c>
      <c r="CP98" s="264">
        <f>GN98+'User Input - Correlations'!CP98</f>
        <v>0</v>
      </c>
      <c r="CQ98" s="281">
        <f ca="1">MDETERM(OFFSET($C$11,0,0,ROWS($CQ$11:$CQ98),ROWS($CQ$11:$CQ98)))</f>
        <v>1</v>
      </c>
      <c r="DA98" s="263">
        <v>0</v>
      </c>
      <c r="DB98" s="263">
        <v>0</v>
      </c>
      <c r="DC98" s="263">
        <v>0</v>
      </c>
      <c r="DD98" s="263">
        <v>0</v>
      </c>
      <c r="DE98" s="263">
        <v>0</v>
      </c>
      <c r="DF98" s="263">
        <v>0</v>
      </c>
      <c r="DG98" s="263">
        <v>0</v>
      </c>
      <c r="DH98" s="263">
        <v>0</v>
      </c>
      <c r="DI98" s="263">
        <v>0</v>
      </c>
      <c r="DJ98" s="263">
        <v>0</v>
      </c>
      <c r="DK98" s="263">
        <v>0</v>
      </c>
      <c r="DL98" s="263">
        <v>0</v>
      </c>
      <c r="DM98" s="263">
        <v>0</v>
      </c>
      <c r="DN98" s="263">
        <v>0</v>
      </c>
      <c r="DO98" s="263">
        <v>0</v>
      </c>
      <c r="DP98" s="263">
        <v>0</v>
      </c>
      <c r="DQ98" s="263">
        <v>0</v>
      </c>
      <c r="DR98" s="263">
        <v>0</v>
      </c>
      <c r="DS98" s="263">
        <v>0</v>
      </c>
      <c r="DT98" s="263">
        <v>0</v>
      </c>
      <c r="DU98" s="263">
        <v>0</v>
      </c>
      <c r="DV98" s="263">
        <v>0</v>
      </c>
      <c r="DW98" s="263">
        <v>0</v>
      </c>
      <c r="DX98" s="263">
        <v>0</v>
      </c>
      <c r="DY98" s="263">
        <v>0</v>
      </c>
      <c r="DZ98" s="263">
        <v>0</v>
      </c>
      <c r="EA98" s="263">
        <v>0</v>
      </c>
      <c r="EB98" s="263">
        <v>0</v>
      </c>
      <c r="EC98" s="263">
        <v>0</v>
      </c>
      <c r="ED98" s="263">
        <v>0</v>
      </c>
      <c r="EE98" s="263">
        <v>0</v>
      </c>
      <c r="EF98" s="263">
        <v>0</v>
      </c>
      <c r="EG98" s="263">
        <v>0</v>
      </c>
      <c r="EH98" s="263">
        <v>0</v>
      </c>
      <c r="EI98" s="263">
        <v>0</v>
      </c>
      <c r="EJ98" s="263">
        <v>0</v>
      </c>
      <c r="EK98" s="263">
        <v>0</v>
      </c>
      <c r="EL98" s="263">
        <v>0</v>
      </c>
      <c r="EM98" s="263">
        <v>0</v>
      </c>
      <c r="EN98" s="263">
        <v>0</v>
      </c>
      <c r="EO98" s="263">
        <v>0</v>
      </c>
      <c r="EP98" s="263">
        <v>0</v>
      </c>
      <c r="EQ98" s="263">
        <v>0</v>
      </c>
      <c r="ER98" s="263">
        <v>0</v>
      </c>
      <c r="ES98" s="263">
        <v>0</v>
      </c>
      <c r="ET98" s="263">
        <v>0</v>
      </c>
      <c r="EU98" s="263">
        <v>0</v>
      </c>
      <c r="EV98" s="263">
        <v>0</v>
      </c>
      <c r="EW98" s="263">
        <v>0</v>
      </c>
      <c r="EX98" s="263">
        <v>0</v>
      </c>
      <c r="EY98" s="263">
        <v>0</v>
      </c>
      <c r="EZ98" s="263">
        <v>0</v>
      </c>
      <c r="FA98" s="263">
        <v>0</v>
      </c>
      <c r="FB98" s="263">
        <v>0</v>
      </c>
      <c r="FC98" s="263">
        <v>0</v>
      </c>
      <c r="FD98" s="263">
        <v>0</v>
      </c>
      <c r="FE98" s="263">
        <v>0</v>
      </c>
      <c r="FF98" s="263">
        <v>0</v>
      </c>
      <c r="FG98" s="263">
        <v>0</v>
      </c>
      <c r="FH98" s="263">
        <v>0</v>
      </c>
      <c r="FI98" s="263">
        <v>0</v>
      </c>
      <c r="FJ98" s="263">
        <v>0</v>
      </c>
      <c r="FK98" s="263">
        <v>0</v>
      </c>
      <c r="FL98" s="263">
        <v>0</v>
      </c>
      <c r="FM98" s="263">
        <v>0</v>
      </c>
      <c r="FN98" s="263">
        <v>0</v>
      </c>
      <c r="FO98" s="263">
        <v>0</v>
      </c>
      <c r="FP98" s="263">
        <v>0</v>
      </c>
      <c r="FQ98" s="263">
        <v>0</v>
      </c>
      <c r="FR98" s="263">
        <v>0</v>
      </c>
      <c r="FS98" s="263">
        <v>0</v>
      </c>
      <c r="FT98" s="263">
        <v>0</v>
      </c>
      <c r="FU98" s="263">
        <v>0</v>
      </c>
      <c r="FV98" s="263">
        <v>0</v>
      </c>
      <c r="FW98" s="263">
        <v>0</v>
      </c>
      <c r="FX98" s="263">
        <v>0</v>
      </c>
      <c r="FY98" s="263">
        <v>0</v>
      </c>
      <c r="FZ98" s="263">
        <v>0</v>
      </c>
      <c r="GA98" s="263">
        <v>0</v>
      </c>
      <c r="GB98" s="263">
        <v>0</v>
      </c>
      <c r="GC98" s="263">
        <v>0</v>
      </c>
      <c r="GD98" s="263">
        <v>0</v>
      </c>
      <c r="GE98" s="263">
        <v>0</v>
      </c>
      <c r="GF98" s="263">
        <v>0</v>
      </c>
      <c r="GG98" s="263">
        <v>0</v>
      </c>
      <c r="GH98" s="263">
        <v>0</v>
      </c>
      <c r="GI98" s="263">
        <v>0</v>
      </c>
      <c r="GJ98" s="263">
        <v>1</v>
      </c>
      <c r="GK98" s="263">
        <v>0</v>
      </c>
      <c r="GL98" s="263">
        <v>0</v>
      </c>
      <c r="GM98" s="263">
        <v>0</v>
      </c>
      <c r="GN98" s="263">
        <v>0</v>
      </c>
    </row>
    <row r="99" ht="12.75" customHeight="1">
      <c r="A99" s="288" t="s">
        <v>115</v>
      </c>
      <c r="B99" s="288" t="s">
        <v>104</v>
      </c>
      <c r="C99" s="263">
        <f>DA99+'User Input - Correlations'!C99</f>
        <v>0</v>
      </c>
      <c r="D99" s="263">
        <f>DB99+'User Input - Correlations'!D99</f>
        <v>0</v>
      </c>
      <c r="E99" s="263">
        <f>DC99+'User Input - Correlations'!E99</f>
        <v>0</v>
      </c>
      <c r="F99" s="263">
        <f>DD99+'User Input - Correlations'!F99</f>
        <v>0</v>
      </c>
      <c r="G99" s="263">
        <f>DE99+'User Input - Correlations'!G99</f>
        <v>0</v>
      </c>
      <c r="H99" s="263">
        <f>DF99+'User Input - Correlations'!H99</f>
        <v>0</v>
      </c>
      <c r="I99" s="263">
        <f>DG99+'User Input - Correlations'!I99</f>
        <v>0</v>
      </c>
      <c r="J99" s="263">
        <f>DH99+'User Input - Correlations'!J99</f>
        <v>0</v>
      </c>
      <c r="K99" s="263">
        <f>DI99+'User Input - Correlations'!K99</f>
        <v>0</v>
      </c>
      <c r="L99" s="263">
        <f>DJ99+'User Input - Correlations'!L99</f>
        <v>0</v>
      </c>
      <c r="M99" s="263">
        <f>DK99+'User Input - Correlations'!M99</f>
        <v>0</v>
      </c>
      <c r="N99" s="263">
        <f>DL99+'User Input - Correlations'!N99</f>
        <v>0</v>
      </c>
      <c r="O99" s="263">
        <f>DM99+'User Input - Correlations'!O99</f>
        <v>0</v>
      </c>
      <c r="P99" s="263">
        <f>DN99+'User Input - Correlations'!P99</f>
        <v>0</v>
      </c>
      <c r="Q99" s="263">
        <f>DO99+'User Input - Correlations'!Q99</f>
        <v>0</v>
      </c>
      <c r="R99" s="263">
        <f>DP99+'User Input - Correlations'!R99</f>
        <v>0</v>
      </c>
      <c r="S99" s="263">
        <f>DQ99+'User Input - Correlations'!S99</f>
        <v>0</v>
      </c>
      <c r="T99" s="263">
        <f>DR99+'User Input - Correlations'!T99</f>
        <v>0</v>
      </c>
      <c r="U99" s="263">
        <f>DS99+'User Input - Correlations'!U99</f>
        <v>0</v>
      </c>
      <c r="V99" s="263">
        <f>DT99+'User Input - Correlations'!V99</f>
        <v>0</v>
      </c>
      <c r="W99" s="263">
        <f>DU99+'User Input - Correlations'!W99</f>
        <v>0</v>
      </c>
      <c r="X99" s="263">
        <f>DV99+'User Input - Correlations'!X99</f>
        <v>0</v>
      </c>
      <c r="Y99" s="263">
        <f>DW99+'User Input - Correlations'!Y99</f>
        <v>0</v>
      </c>
      <c r="Z99" s="263">
        <f>DX99+'User Input - Correlations'!Z99</f>
        <v>0</v>
      </c>
      <c r="AA99" s="263">
        <f>DY99+'User Input - Correlations'!AA99</f>
        <v>0</v>
      </c>
      <c r="AB99" s="263">
        <f>DZ99+'User Input - Correlations'!AB99</f>
        <v>0</v>
      </c>
      <c r="AC99" s="263">
        <f>EA99+'User Input - Correlations'!AC99</f>
        <v>0</v>
      </c>
      <c r="AD99" s="263">
        <f>EB99+'User Input - Correlations'!AD99</f>
        <v>0</v>
      </c>
      <c r="AE99" s="263">
        <f>EC99+'User Input - Correlations'!AE99</f>
        <v>0</v>
      </c>
      <c r="AF99" s="263">
        <f>ED99+'User Input - Correlations'!AF99</f>
        <v>0</v>
      </c>
      <c r="AG99" s="263">
        <f>EE99+'User Input - Correlations'!AG99</f>
        <v>0</v>
      </c>
      <c r="AH99" s="263">
        <f>EF99+'User Input - Correlations'!AH99</f>
        <v>0</v>
      </c>
      <c r="AI99" s="263">
        <f>EG99+'User Input - Correlations'!AI99</f>
        <v>0</v>
      </c>
      <c r="AJ99" s="263">
        <f>EH99+'User Input - Correlations'!AJ99</f>
        <v>0</v>
      </c>
      <c r="AK99" s="263">
        <f>EI99+'User Input - Correlations'!AK99</f>
        <v>0</v>
      </c>
      <c r="AL99" s="263">
        <f>EJ99+'User Input - Correlations'!AL99</f>
        <v>0</v>
      </c>
      <c r="AM99" s="263">
        <f>EK99+'User Input - Correlations'!AM99</f>
        <v>0</v>
      </c>
      <c r="AN99" s="263">
        <f>EL99+'User Input - Correlations'!AN99</f>
        <v>0</v>
      </c>
      <c r="AO99" s="263">
        <f>EM99+'User Input - Correlations'!AO99</f>
        <v>0</v>
      </c>
      <c r="AP99" s="263">
        <f>EN99+'User Input - Correlations'!AP99</f>
        <v>0</v>
      </c>
      <c r="AQ99" s="263">
        <f>EO99+'User Input - Correlations'!AQ99</f>
        <v>0</v>
      </c>
      <c r="AR99" s="263">
        <f>EP99+'User Input - Correlations'!AR99</f>
        <v>0</v>
      </c>
      <c r="AS99" s="263">
        <f>EQ99+'User Input - Correlations'!AS99</f>
        <v>0</v>
      </c>
      <c r="AT99" s="263">
        <f>ER99+'User Input - Correlations'!AT99</f>
        <v>0</v>
      </c>
      <c r="AU99" s="263">
        <f>ES99+'User Input - Correlations'!AU99</f>
        <v>0</v>
      </c>
      <c r="AV99" s="263">
        <f>ET99+'User Input - Correlations'!AV99</f>
        <v>0</v>
      </c>
      <c r="AW99" s="263">
        <f>EU99+'User Input - Correlations'!AW99</f>
        <v>0</v>
      </c>
      <c r="AX99" s="263">
        <f>EV99+'User Input - Correlations'!AX99</f>
        <v>0</v>
      </c>
      <c r="AY99" s="263">
        <f>EW99+'User Input - Correlations'!AY99</f>
        <v>0</v>
      </c>
      <c r="AZ99" s="263">
        <f>EX99+'User Input - Correlations'!AZ99</f>
        <v>0</v>
      </c>
      <c r="BA99" s="263">
        <f>EY99+'User Input - Correlations'!BA99</f>
        <v>0</v>
      </c>
      <c r="BB99" s="263">
        <f>EZ99+'User Input - Correlations'!BB99</f>
        <v>0</v>
      </c>
      <c r="BC99" s="263">
        <f>FA99+'User Input - Correlations'!BC99</f>
        <v>0</v>
      </c>
      <c r="BD99" s="263">
        <f>FB99+'User Input - Correlations'!BD99</f>
        <v>0</v>
      </c>
      <c r="BE99" s="263">
        <f>FC99+'User Input - Correlations'!BE99</f>
        <v>0</v>
      </c>
      <c r="BF99" s="263">
        <f>FD99+'User Input - Correlations'!BF99</f>
        <v>0</v>
      </c>
      <c r="BG99" s="263">
        <f>FE99+'User Input - Correlations'!BG99</f>
        <v>0</v>
      </c>
      <c r="BH99" s="263">
        <f>FF99+'User Input - Correlations'!BH99</f>
        <v>0</v>
      </c>
      <c r="BI99" s="263">
        <f>FG99+'User Input - Correlations'!BI99</f>
        <v>0</v>
      </c>
      <c r="BJ99" s="263">
        <f>FH99+'User Input - Correlations'!BJ99</f>
        <v>0</v>
      </c>
      <c r="BK99" s="263">
        <f>FI99+'User Input - Correlations'!BK99</f>
        <v>0</v>
      </c>
      <c r="BL99" s="263">
        <f>FJ99+'User Input - Correlations'!BL99</f>
        <v>0</v>
      </c>
      <c r="BM99" s="263">
        <f>FK99+'User Input - Correlations'!BM99</f>
        <v>0</v>
      </c>
      <c r="BN99" s="263">
        <f>FL99+'User Input - Correlations'!BN99</f>
        <v>0</v>
      </c>
      <c r="BO99" s="263">
        <f>FM99+'User Input - Correlations'!BO99</f>
        <v>0</v>
      </c>
      <c r="BP99" s="263">
        <f>FN99+'User Input - Correlations'!BP99</f>
        <v>0</v>
      </c>
      <c r="BQ99" s="263">
        <f>FO99+'User Input - Correlations'!BQ99</f>
        <v>0</v>
      </c>
      <c r="BR99" s="263">
        <f>FP99+'User Input - Correlations'!BR99</f>
        <v>0</v>
      </c>
      <c r="BS99" s="263">
        <f>FQ99+'User Input - Correlations'!BS99</f>
        <v>0</v>
      </c>
      <c r="BT99" s="263">
        <f>FR99+'User Input - Correlations'!BT99</f>
        <v>0</v>
      </c>
      <c r="BU99" s="263">
        <f>FS99+'User Input - Correlations'!BU99</f>
        <v>0</v>
      </c>
      <c r="BV99" s="263">
        <f>FT99+'User Input - Correlations'!BV99</f>
        <v>0</v>
      </c>
      <c r="BW99" s="263">
        <f>FU99+'User Input - Correlations'!BW99</f>
        <v>0</v>
      </c>
      <c r="BX99" s="263">
        <f>FV99+'User Input - Correlations'!BX99</f>
        <v>0</v>
      </c>
      <c r="BY99" s="263">
        <f>FW99+'User Input - Correlations'!BY99</f>
        <v>0</v>
      </c>
      <c r="BZ99" s="263">
        <f>FX99+'User Input - Correlations'!BZ99</f>
        <v>0</v>
      </c>
      <c r="CA99" s="263">
        <f>FY99+'User Input - Correlations'!CA99</f>
        <v>0</v>
      </c>
      <c r="CB99" s="263">
        <f>FZ99+'User Input - Correlations'!CB99</f>
        <v>0</v>
      </c>
      <c r="CC99" s="263">
        <f>GA99+'User Input - Correlations'!CC99</f>
        <v>0</v>
      </c>
      <c r="CD99" s="263">
        <f>GB99+'User Input - Correlations'!CD99</f>
        <v>0</v>
      </c>
      <c r="CE99" s="263">
        <f>GC99+'User Input - Correlations'!CE99</f>
        <v>0</v>
      </c>
      <c r="CF99" s="263">
        <f>GD99+'User Input - Correlations'!CF99</f>
        <v>0</v>
      </c>
      <c r="CG99" s="263">
        <f>GE99+'User Input - Correlations'!CG99</f>
        <v>0</v>
      </c>
      <c r="CH99" s="263">
        <f>GF99+'User Input - Correlations'!CH99</f>
        <v>0</v>
      </c>
      <c r="CI99" s="263">
        <f>GG99+'User Input - Correlations'!CI99</f>
        <v>0</v>
      </c>
      <c r="CJ99" s="263">
        <f>GH99+'User Input - Correlations'!CJ99</f>
        <v>0</v>
      </c>
      <c r="CK99" s="263">
        <f>GI99+'User Input - Correlations'!CK99</f>
        <v>0</v>
      </c>
      <c r="CL99" s="263">
        <f>GJ99+'User Input - Correlations'!CL99</f>
        <v>0</v>
      </c>
      <c r="CM99" s="263">
        <v>1</v>
      </c>
      <c r="CN99" s="263">
        <f>GL99+'User Input - Correlations'!CN99</f>
        <v>0</v>
      </c>
      <c r="CO99" s="263">
        <f>GM99+'User Input - Correlations'!CO99</f>
        <v>0</v>
      </c>
      <c r="CP99" s="264">
        <f>GN99+'User Input - Correlations'!CP99</f>
        <v>0</v>
      </c>
      <c r="CQ99" s="281">
        <f ca="1">MDETERM(OFFSET($C$11,0,0,ROWS($CQ$11:$CQ99),ROWS($CQ$11:$CQ99)))</f>
        <v>1</v>
      </c>
      <c r="DA99" s="263">
        <v>0</v>
      </c>
      <c r="DB99" s="263">
        <v>0</v>
      </c>
      <c r="DC99" s="263">
        <v>0</v>
      </c>
      <c r="DD99" s="263">
        <v>0</v>
      </c>
      <c r="DE99" s="263">
        <v>0</v>
      </c>
      <c r="DF99" s="263">
        <v>0</v>
      </c>
      <c r="DG99" s="263">
        <v>0</v>
      </c>
      <c r="DH99" s="263">
        <v>0</v>
      </c>
      <c r="DI99" s="263">
        <v>0</v>
      </c>
      <c r="DJ99" s="263">
        <v>0</v>
      </c>
      <c r="DK99" s="263">
        <v>0</v>
      </c>
      <c r="DL99" s="263">
        <v>0</v>
      </c>
      <c r="DM99" s="263">
        <v>0</v>
      </c>
      <c r="DN99" s="263">
        <v>0</v>
      </c>
      <c r="DO99" s="263">
        <v>0</v>
      </c>
      <c r="DP99" s="263">
        <v>0</v>
      </c>
      <c r="DQ99" s="263">
        <v>0</v>
      </c>
      <c r="DR99" s="263">
        <v>0</v>
      </c>
      <c r="DS99" s="263">
        <v>0</v>
      </c>
      <c r="DT99" s="263">
        <v>0</v>
      </c>
      <c r="DU99" s="263">
        <v>0</v>
      </c>
      <c r="DV99" s="263">
        <v>0</v>
      </c>
      <c r="DW99" s="263">
        <v>0</v>
      </c>
      <c r="DX99" s="263">
        <v>0</v>
      </c>
      <c r="DY99" s="263">
        <v>0</v>
      </c>
      <c r="DZ99" s="263">
        <v>0</v>
      </c>
      <c r="EA99" s="263">
        <v>0</v>
      </c>
      <c r="EB99" s="263">
        <v>0</v>
      </c>
      <c r="EC99" s="263">
        <v>0</v>
      </c>
      <c r="ED99" s="263">
        <v>0</v>
      </c>
      <c r="EE99" s="263">
        <v>0</v>
      </c>
      <c r="EF99" s="263">
        <v>0</v>
      </c>
      <c r="EG99" s="263">
        <v>0</v>
      </c>
      <c r="EH99" s="263">
        <v>0</v>
      </c>
      <c r="EI99" s="263">
        <v>0</v>
      </c>
      <c r="EJ99" s="263">
        <v>0</v>
      </c>
      <c r="EK99" s="263">
        <v>0</v>
      </c>
      <c r="EL99" s="263">
        <v>0</v>
      </c>
      <c r="EM99" s="263">
        <v>0</v>
      </c>
      <c r="EN99" s="263">
        <v>0</v>
      </c>
      <c r="EO99" s="263">
        <v>0</v>
      </c>
      <c r="EP99" s="263">
        <v>0</v>
      </c>
      <c r="EQ99" s="263">
        <v>0</v>
      </c>
      <c r="ER99" s="263">
        <v>0</v>
      </c>
      <c r="ES99" s="263">
        <v>0</v>
      </c>
      <c r="ET99" s="263">
        <v>0</v>
      </c>
      <c r="EU99" s="263">
        <v>0</v>
      </c>
      <c r="EV99" s="263">
        <v>0</v>
      </c>
      <c r="EW99" s="263">
        <v>0</v>
      </c>
      <c r="EX99" s="263">
        <v>0</v>
      </c>
      <c r="EY99" s="263">
        <v>0</v>
      </c>
      <c r="EZ99" s="263">
        <v>0</v>
      </c>
      <c r="FA99" s="263">
        <v>0</v>
      </c>
      <c r="FB99" s="263">
        <v>0</v>
      </c>
      <c r="FC99" s="263">
        <v>0</v>
      </c>
      <c r="FD99" s="263">
        <v>0</v>
      </c>
      <c r="FE99" s="263">
        <v>0</v>
      </c>
      <c r="FF99" s="263">
        <v>0</v>
      </c>
      <c r="FG99" s="263">
        <v>0</v>
      </c>
      <c r="FH99" s="263">
        <v>0</v>
      </c>
      <c r="FI99" s="263">
        <v>0</v>
      </c>
      <c r="FJ99" s="263">
        <v>0</v>
      </c>
      <c r="FK99" s="263">
        <v>0</v>
      </c>
      <c r="FL99" s="263">
        <v>0</v>
      </c>
      <c r="FM99" s="263">
        <v>0</v>
      </c>
      <c r="FN99" s="263">
        <v>0</v>
      </c>
      <c r="FO99" s="263">
        <v>0</v>
      </c>
      <c r="FP99" s="263">
        <v>0</v>
      </c>
      <c r="FQ99" s="263">
        <v>0</v>
      </c>
      <c r="FR99" s="263">
        <v>0</v>
      </c>
      <c r="FS99" s="263">
        <v>0</v>
      </c>
      <c r="FT99" s="263">
        <v>0</v>
      </c>
      <c r="FU99" s="263">
        <v>0</v>
      </c>
      <c r="FV99" s="263">
        <v>0</v>
      </c>
      <c r="FW99" s="263">
        <v>0</v>
      </c>
      <c r="FX99" s="263">
        <v>0</v>
      </c>
      <c r="FY99" s="263">
        <v>0</v>
      </c>
      <c r="FZ99" s="263">
        <v>0</v>
      </c>
      <c r="GA99" s="263">
        <v>0</v>
      </c>
      <c r="GB99" s="263">
        <v>0</v>
      </c>
      <c r="GC99" s="263">
        <v>0</v>
      </c>
      <c r="GD99" s="263">
        <v>0</v>
      </c>
      <c r="GE99" s="263">
        <v>0</v>
      </c>
      <c r="GF99" s="263">
        <v>0</v>
      </c>
      <c r="GG99" s="263">
        <v>0</v>
      </c>
      <c r="GH99" s="263">
        <v>0</v>
      </c>
      <c r="GI99" s="263">
        <v>0</v>
      </c>
      <c r="GJ99" s="263">
        <v>0</v>
      </c>
      <c r="GK99" s="263">
        <v>1</v>
      </c>
      <c r="GL99" s="263">
        <v>0</v>
      </c>
      <c r="GM99" s="263">
        <v>0</v>
      </c>
      <c r="GN99" s="263">
        <v>0</v>
      </c>
    </row>
    <row r="100" ht="12.75" customHeight="1">
      <c r="A100" s="288" t="s">
        <v>115</v>
      </c>
      <c r="B100" s="288" t="s">
        <v>112</v>
      </c>
      <c r="C100" s="263">
        <f>DA100+'User Input - Correlations'!C100</f>
        <v>0</v>
      </c>
      <c r="D100" s="263">
        <f>DB100+'User Input - Correlations'!D100</f>
        <v>0</v>
      </c>
      <c r="E100" s="263">
        <f>DC100+'User Input - Correlations'!E100</f>
        <v>0</v>
      </c>
      <c r="F100" s="263">
        <f>DD100+'User Input - Correlations'!F100</f>
        <v>0</v>
      </c>
      <c r="G100" s="263">
        <f>DE100+'User Input - Correlations'!G100</f>
        <v>0</v>
      </c>
      <c r="H100" s="263">
        <f>DF100+'User Input - Correlations'!H100</f>
        <v>0</v>
      </c>
      <c r="I100" s="263">
        <f>DG100+'User Input - Correlations'!I100</f>
        <v>0</v>
      </c>
      <c r="J100" s="263">
        <f>DH100+'User Input - Correlations'!J100</f>
        <v>0</v>
      </c>
      <c r="K100" s="263">
        <f>DI100+'User Input - Correlations'!K100</f>
        <v>0</v>
      </c>
      <c r="L100" s="263">
        <f>DJ100+'User Input - Correlations'!L100</f>
        <v>0</v>
      </c>
      <c r="M100" s="263">
        <f>DK100+'User Input - Correlations'!M100</f>
        <v>0</v>
      </c>
      <c r="N100" s="263">
        <f>DL100+'User Input - Correlations'!N100</f>
        <v>0</v>
      </c>
      <c r="O100" s="263">
        <f>DM100+'User Input - Correlations'!O100</f>
        <v>0</v>
      </c>
      <c r="P100" s="263">
        <f>DN100+'User Input - Correlations'!P100</f>
        <v>0</v>
      </c>
      <c r="Q100" s="263">
        <f>DO100+'User Input - Correlations'!Q100</f>
        <v>0</v>
      </c>
      <c r="R100" s="263">
        <f>DP100+'User Input - Correlations'!R100</f>
        <v>0</v>
      </c>
      <c r="S100" s="263">
        <f>DQ100+'User Input - Correlations'!S100</f>
        <v>0</v>
      </c>
      <c r="T100" s="263">
        <f>DR100+'User Input - Correlations'!T100</f>
        <v>0</v>
      </c>
      <c r="U100" s="263">
        <f>DS100+'User Input - Correlations'!U100</f>
        <v>0</v>
      </c>
      <c r="V100" s="263">
        <f>DT100+'User Input - Correlations'!V100</f>
        <v>0</v>
      </c>
      <c r="W100" s="263">
        <f>DU100+'User Input - Correlations'!W100</f>
        <v>0</v>
      </c>
      <c r="X100" s="263">
        <f>DV100+'User Input - Correlations'!X100</f>
        <v>0</v>
      </c>
      <c r="Y100" s="263">
        <f>DW100+'User Input - Correlations'!Y100</f>
        <v>0</v>
      </c>
      <c r="Z100" s="263">
        <f>DX100+'User Input - Correlations'!Z100</f>
        <v>0</v>
      </c>
      <c r="AA100" s="263">
        <f>DY100+'User Input - Correlations'!AA100</f>
        <v>0</v>
      </c>
      <c r="AB100" s="263">
        <f>DZ100+'User Input - Correlations'!AB100</f>
        <v>0</v>
      </c>
      <c r="AC100" s="263">
        <f>EA100+'User Input - Correlations'!AC100</f>
        <v>0</v>
      </c>
      <c r="AD100" s="263">
        <f>EB100+'User Input - Correlations'!AD100</f>
        <v>0</v>
      </c>
      <c r="AE100" s="263">
        <f>EC100+'User Input - Correlations'!AE100</f>
        <v>0</v>
      </c>
      <c r="AF100" s="263">
        <f>ED100+'User Input - Correlations'!AF100</f>
        <v>0</v>
      </c>
      <c r="AG100" s="263">
        <f>EE100+'User Input - Correlations'!AG100</f>
        <v>0</v>
      </c>
      <c r="AH100" s="263">
        <f>EF100+'User Input - Correlations'!AH100</f>
        <v>0</v>
      </c>
      <c r="AI100" s="263">
        <f>EG100+'User Input - Correlations'!AI100</f>
        <v>0</v>
      </c>
      <c r="AJ100" s="263">
        <f>EH100+'User Input - Correlations'!AJ100</f>
        <v>0</v>
      </c>
      <c r="AK100" s="263">
        <f>EI100+'User Input - Correlations'!AK100</f>
        <v>0</v>
      </c>
      <c r="AL100" s="263">
        <f>EJ100+'User Input - Correlations'!AL100</f>
        <v>0</v>
      </c>
      <c r="AM100" s="263">
        <f>EK100+'User Input - Correlations'!AM100</f>
        <v>0</v>
      </c>
      <c r="AN100" s="263">
        <f>EL100+'User Input - Correlations'!AN100</f>
        <v>0</v>
      </c>
      <c r="AO100" s="263">
        <f>EM100+'User Input - Correlations'!AO100</f>
        <v>0</v>
      </c>
      <c r="AP100" s="263">
        <f>EN100+'User Input - Correlations'!AP100</f>
        <v>0</v>
      </c>
      <c r="AQ100" s="263">
        <f>EO100+'User Input - Correlations'!AQ100</f>
        <v>0</v>
      </c>
      <c r="AR100" s="263">
        <f>EP100+'User Input - Correlations'!AR100</f>
        <v>0</v>
      </c>
      <c r="AS100" s="263">
        <f>EQ100+'User Input - Correlations'!AS100</f>
        <v>0</v>
      </c>
      <c r="AT100" s="263">
        <f>ER100+'User Input - Correlations'!AT100</f>
        <v>0</v>
      </c>
      <c r="AU100" s="263">
        <f>ES100+'User Input - Correlations'!AU100</f>
        <v>0</v>
      </c>
      <c r="AV100" s="263">
        <f>ET100+'User Input - Correlations'!AV100</f>
        <v>0</v>
      </c>
      <c r="AW100" s="263">
        <f>EU100+'User Input - Correlations'!AW100</f>
        <v>0</v>
      </c>
      <c r="AX100" s="263">
        <f>EV100+'User Input - Correlations'!AX100</f>
        <v>0</v>
      </c>
      <c r="AY100" s="263">
        <f>EW100+'User Input - Correlations'!AY100</f>
        <v>0</v>
      </c>
      <c r="AZ100" s="263">
        <f>EX100+'User Input - Correlations'!AZ100</f>
        <v>0</v>
      </c>
      <c r="BA100" s="263">
        <f>EY100+'User Input - Correlations'!BA100</f>
        <v>0</v>
      </c>
      <c r="BB100" s="263">
        <f>EZ100+'User Input - Correlations'!BB100</f>
        <v>0</v>
      </c>
      <c r="BC100" s="263">
        <f>FA100+'User Input - Correlations'!BC100</f>
        <v>0</v>
      </c>
      <c r="BD100" s="263">
        <f>FB100+'User Input - Correlations'!BD100</f>
        <v>0</v>
      </c>
      <c r="BE100" s="263">
        <f>FC100+'User Input - Correlations'!BE100</f>
        <v>0</v>
      </c>
      <c r="BF100" s="263">
        <f>FD100+'User Input - Correlations'!BF100</f>
        <v>0</v>
      </c>
      <c r="BG100" s="263">
        <f>FE100+'User Input - Correlations'!BG100</f>
        <v>0</v>
      </c>
      <c r="BH100" s="263">
        <f>FF100+'User Input - Correlations'!BH100</f>
        <v>0</v>
      </c>
      <c r="BI100" s="263">
        <f>FG100+'User Input - Correlations'!BI100</f>
        <v>0</v>
      </c>
      <c r="BJ100" s="263">
        <f>FH100+'User Input - Correlations'!BJ100</f>
        <v>0</v>
      </c>
      <c r="BK100" s="263">
        <f>FI100+'User Input - Correlations'!BK100</f>
        <v>0</v>
      </c>
      <c r="BL100" s="263">
        <f>FJ100+'User Input - Correlations'!BL100</f>
        <v>0</v>
      </c>
      <c r="BM100" s="263">
        <f>FK100+'User Input - Correlations'!BM100</f>
        <v>0</v>
      </c>
      <c r="BN100" s="263">
        <f>FL100+'User Input - Correlations'!BN100</f>
        <v>0</v>
      </c>
      <c r="BO100" s="263">
        <f>FM100+'User Input - Correlations'!BO100</f>
        <v>0</v>
      </c>
      <c r="BP100" s="263">
        <f>FN100+'User Input - Correlations'!BP100</f>
        <v>0</v>
      </c>
      <c r="BQ100" s="263">
        <f>FO100+'User Input - Correlations'!BQ100</f>
        <v>0</v>
      </c>
      <c r="BR100" s="263">
        <f>FP100+'User Input - Correlations'!BR100</f>
        <v>0</v>
      </c>
      <c r="BS100" s="263">
        <f>FQ100+'User Input - Correlations'!BS100</f>
        <v>0</v>
      </c>
      <c r="BT100" s="263">
        <f>FR100+'User Input - Correlations'!BT100</f>
        <v>0</v>
      </c>
      <c r="BU100" s="263">
        <f>FS100+'User Input - Correlations'!BU100</f>
        <v>0</v>
      </c>
      <c r="BV100" s="263">
        <f>FT100+'User Input - Correlations'!BV100</f>
        <v>0</v>
      </c>
      <c r="BW100" s="263">
        <f>FU100+'User Input - Correlations'!BW100</f>
        <v>0</v>
      </c>
      <c r="BX100" s="263">
        <f>FV100+'User Input - Correlations'!BX100</f>
        <v>0</v>
      </c>
      <c r="BY100" s="263">
        <f>FW100+'User Input - Correlations'!BY100</f>
        <v>0</v>
      </c>
      <c r="BZ100" s="263">
        <f>FX100+'User Input - Correlations'!BZ100</f>
        <v>0</v>
      </c>
      <c r="CA100" s="263">
        <f>FY100+'User Input - Correlations'!CA100</f>
        <v>0</v>
      </c>
      <c r="CB100" s="263">
        <f>FZ100+'User Input - Correlations'!CB100</f>
        <v>0</v>
      </c>
      <c r="CC100" s="263">
        <f>GA100+'User Input - Correlations'!CC100</f>
        <v>0</v>
      </c>
      <c r="CD100" s="263">
        <f>GB100+'User Input - Correlations'!CD100</f>
        <v>0</v>
      </c>
      <c r="CE100" s="263">
        <f>GC100+'User Input - Correlations'!CE100</f>
        <v>0</v>
      </c>
      <c r="CF100" s="263">
        <f>GD100+'User Input - Correlations'!CF100</f>
        <v>0</v>
      </c>
      <c r="CG100" s="263">
        <f>GE100+'User Input - Correlations'!CG100</f>
        <v>0</v>
      </c>
      <c r="CH100" s="263">
        <f>GF100+'User Input - Correlations'!CH100</f>
        <v>0</v>
      </c>
      <c r="CI100" s="263">
        <f>GG100+'User Input - Correlations'!CI100</f>
        <v>0</v>
      </c>
      <c r="CJ100" s="263">
        <f>GH100+'User Input - Correlations'!CJ100</f>
        <v>0</v>
      </c>
      <c r="CK100" s="263">
        <f>GI100+'User Input - Correlations'!CK100</f>
        <v>0</v>
      </c>
      <c r="CL100" s="263">
        <f>GJ100+'User Input - Correlations'!CL100</f>
        <v>0</v>
      </c>
      <c r="CM100" s="263">
        <f>GK100+'User Input - Correlations'!CM100</f>
        <v>0</v>
      </c>
      <c r="CN100" s="263">
        <v>1</v>
      </c>
      <c r="CO100" s="263">
        <f>GM100+'User Input - Correlations'!CO100</f>
        <v>0</v>
      </c>
      <c r="CP100" s="264">
        <f>GN100+'User Input - Correlations'!CP100</f>
        <v>0</v>
      </c>
      <c r="CQ100" s="281">
        <f ca="1">MDETERM(OFFSET($C$11,0,0,ROWS($CQ$11:$CQ100),ROWS($CQ$11:$CQ100)))</f>
        <v>1</v>
      </c>
      <c r="DA100" s="263">
        <v>0</v>
      </c>
      <c r="DB100" s="263">
        <v>0</v>
      </c>
      <c r="DC100" s="263">
        <v>0</v>
      </c>
      <c r="DD100" s="263">
        <v>0</v>
      </c>
      <c r="DE100" s="263">
        <v>0</v>
      </c>
      <c r="DF100" s="263">
        <v>0</v>
      </c>
      <c r="DG100" s="263">
        <v>0</v>
      </c>
      <c r="DH100" s="263">
        <v>0</v>
      </c>
      <c r="DI100" s="263">
        <v>0</v>
      </c>
      <c r="DJ100" s="263">
        <v>0</v>
      </c>
      <c r="DK100" s="263">
        <v>0</v>
      </c>
      <c r="DL100" s="263">
        <v>0</v>
      </c>
      <c r="DM100" s="263">
        <v>0</v>
      </c>
      <c r="DN100" s="263">
        <v>0</v>
      </c>
      <c r="DO100" s="263">
        <v>0</v>
      </c>
      <c r="DP100" s="263">
        <v>0</v>
      </c>
      <c r="DQ100" s="263">
        <v>0</v>
      </c>
      <c r="DR100" s="263">
        <v>0</v>
      </c>
      <c r="DS100" s="263">
        <v>0</v>
      </c>
      <c r="DT100" s="263">
        <v>0</v>
      </c>
      <c r="DU100" s="263">
        <v>0</v>
      </c>
      <c r="DV100" s="263">
        <v>0</v>
      </c>
      <c r="DW100" s="263">
        <v>0</v>
      </c>
      <c r="DX100" s="263">
        <v>0</v>
      </c>
      <c r="DY100" s="263">
        <v>0</v>
      </c>
      <c r="DZ100" s="263">
        <v>0</v>
      </c>
      <c r="EA100" s="263">
        <v>0</v>
      </c>
      <c r="EB100" s="263">
        <v>0</v>
      </c>
      <c r="EC100" s="263">
        <v>0</v>
      </c>
      <c r="ED100" s="263">
        <v>0</v>
      </c>
      <c r="EE100" s="263">
        <v>0</v>
      </c>
      <c r="EF100" s="263">
        <v>0</v>
      </c>
      <c r="EG100" s="263">
        <v>0</v>
      </c>
      <c r="EH100" s="263">
        <v>0</v>
      </c>
      <c r="EI100" s="263">
        <v>0</v>
      </c>
      <c r="EJ100" s="263">
        <v>0</v>
      </c>
      <c r="EK100" s="263">
        <v>0</v>
      </c>
      <c r="EL100" s="263">
        <v>0</v>
      </c>
      <c r="EM100" s="263">
        <v>0</v>
      </c>
      <c r="EN100" s="263">
        <v>0</v>
      </c>
      <c r="EO100" s="263">
        <v>0</v>
      </c>
      <c r="EP100" s="263">
        <v>0</v>
      </c>
      <c r="EQ100" s="263">
        <v>0</v>
      </c>
      <c r="ER100" s="263">
        <v>0</v>
      </c>
      <c r="ES100" s="263">
        <v>0</v>
      </c>
      <c r="ET100" s="263">
        <v>0</v>
      </c>
      <c r="EU100" s="263">
        <v>0</v>
      </c>
      <c r="EV100" s="263">
        <v>0</v>
      </c>
      <c r="EW100" s="263">
        <v>0</v>
      </c>
      <c r="EX100" s="263">
        <v>0</v>
      </c>
      <c r="EY100" s="263">
        <v>0</v>
      </c>
      <c r="EZ100" s="263">
        <v>0</v>
      </c>
      <c r="FA100" s="263">
        <v>0</v>
      </c>
      <c r="FB100" s="263">
        <v>0</v>
      </c>
      <c r="FC100" s="263">
        <v>0</v>
      </c>
      <c r="FD100" s="263">
        <v>0</v>
      </c>
      <c r="FE100" s="263">
        <v>0</v>
      </c>
      <c r="FF100" s="263">
        <v>0</v>
      </c>
      <c r="FG100" s="263">
        <v>0</v>
      </c>
      <c r="FH100" s="263">
        <v>0</v>
      </c>
      <c r="FI100" s="263">
        <v>0</v>
      </c>
      <c r="FJ100" s="263">
        <v>0</v>
      </c>
      <c r="FK100" s="263">
        <v>0</v>
      </c>
      <c r="FL100" s="263">
        <v>0</v>
      </c>
      <c r="FM100" s="263">
        <v>0</v>
      </c>
      <c r="FN100" s="263">
        <v>0</v>
      </c>
      <c r="FO100" s="263">
        <v>0</v>
      </c>
      <c r="FP100" s="263">
        <v>0</v>
      </c>
      <c r="FQ100" s="263">
        <v>0</v>
      </c>
      <c r="FR100" s="263">
        <v>0</v>
      </c>
      <c r="FS100" s="263">
        <v>0</v>
      </c>
      <c r="FT100" s="263">
        <v>0</v>
      </c>
      <c r="FU100" s="263">
        <v>0</v>
      </c>
      <c r="FV100" s="263">
        <v>0</v>
      </c>
      <c r="FW100" s="263">
        <v>0</v>
      </c>
      <c r="FX100" s="263">
        <v>0</v>
      </c>
      <c r="FY100" s="263">
        <v>0</v>
      </c>
      <c r="FZ100" s="263">
        <v>0</v>
      </c>
      <c r="GA100" s="263">
        <v>0</v>
      </c>
      <c r="GB100" s="263">
        <v>0</v>
      </c>
      <c r="GC100" s="263">
        <v>0</v>
      </c>
      <c r="GD100" s="263">
        <v>0</v>
      </c>
      <c r="GE100" s="263">
        <v>0</v>
      </c>
      <c r="GF100" s="263">
        <v>0</v>
      </c>
      <c r="GG100" s="263">
        <v>0</v>
      </c>
      <c r="GH100" s="263">
        <v>0</v>
      </c>
      <c r="GI100" s="263">
        <v>0</v>
      </c>
      <c r="GJ100" s="263">
        <v>0</v>
      </c>
      <c r="GK100" s="263">
        <v>0</v>
      </c>
      <c r="GL100" s="263">
        <v>1</v>
      </c>
      <c r="GM100" s="263">
        <v>0</v>
      </c>
      <c r="GN100" s="263">
        <v>0</v>
      </c>
    </row>
    <row r="101" ht="12.75" customHeight="1">
      <c r="A101" s="288" t="s">
        <v>115</v>
      </c>
      <c r="B101" s="288" t="s">
        <v>113</v>
      </c>
      <c r="C101" s="263">
        <f>DA101+'User Input - Correlations'!C101</f>
        <v>0</v>
      </c>
      <c r="D101" s="263">
        <f>DB101+'User Input - Correlations'!D101</f>
        <v>0</v>
      </c>
      <c r="E101" s="263">
        <f>DC101+'User Input - Correlations'!E101</f>
        <v>0</v>
      </c>
      <c r="F101" s="263">
        <f>DD101+'User Input - Correlations'!F101</f>
        <v>0</v>
      </c>
      <c r="G101" s="263">
        <f>DE101+'User Input - Correlations'!G101</f>
        <v>0</v>
      </c>
      <c r="H101" s="263">
        <f>DF101+'User Input - Correlations'!H101</f>
        <v>0</v>
      </c>
      <c r="I101" s="263">
        <f>DG101+'User Input - Correlations'!I101</f>
        <v>0</v>
      </c>
      <c r="J101" s="263">
        <f>DH101+'User Input - Correlations'!J101</f>
        <v>0</v>
      </c>
      <c r="K101" s="263">
        <f>DI101+'User Input - Correlations'!K101</f>
        <v>0</v>
      </c>
      <c r="L101" s="263">
        <f>DJ101+'User Input - Correlations'!L101</f>
        <v>0</v>
      </c>
      <c r="M101" s="263">
        <f>DK101+'User Input - Correlations'!M101</f>
        <v>0</v>
      </c>
      <c r="N101" s="263">
        <f>DL101+'User Input - Correlations'!N101</f>
        <v>0</v>
      </c>
      <c r="O101" s="263">
        <f>DM101+'User Input - Correlations'!O101</f>
        <v>0</v>
      </c>
      <c r="P101" s="263">
        <f>DN101+'User Input - Correlations'!P101</f>
        <v>0</v>
      </c>
      <c r="Q101" s="263">
        <f>DO101+'User Input - Correlations'!Q101</f>
        <v>0</v>
      </c>
      <c r="R101" s="263">
        <f>DP101+'User Input - Correlations'!R101</f>
        <v>0</v>
      </c>
      <c r="S101" s="263">
        <f>DQ101+'User Input - Correlations'!S101</f>
        <v>0</v>
      </c>
      <c r="T101" s="263">
        <f>DR101+'User Input - Correlations'!T101</f>
        <v>0</v>
      </c>
      <c r="U101" s="263">
        <f>DS101+'User Input - Correlations'!U101</f>
        <v>0</v>
      </c>
      <c r="V101" s="263">
        <f>DT101+'User Input - Correlations'!V101</f>
        <v>0</v>
      </c>
      <c r="W101" s="263">
        <f>DU101+'User Input - Correlations'!W101</f>
        <v>0</v>
      </c>
      <c r="X101" s="263">
        <f>DV101+'User Input - Correlations'!X101</f>
        <v>0</v>
      </c>
      <c r="Y101" s="263">
        <f>DW101+'User Input - Correlations'!Y101</f>
        <v>0</v>
      </c>
      <c r="Z101" s="263">
        <f>DX101+'User Input - Correlations'!Z101</f>
        <v>0</v>
      </c>
      <c r="AA101" s="263">
        <f>DY101+'User Input - Correlations'!AA101</f>
        <v>0</v>
      </c>
      <c r="AB101" s="263">
        <f>DZ101+'User Input - Correlations'!AB101</f>
        <v>0</v>
      </c>
      <c r="AC101" s="263">
        <f>EA101+'User Input - Correlations'!AC101</f>
        <v>0</v>
      </c>
      <c r="AD101" s="263">
        <f>EB101+'User Input - Correlations'!AD101</f>
        <v>0</v>
      </c>
      <c r="AE101" s="263">
        <f>EC101+'User Input - Correlations'!AE101</f>
        <v>0</v>
      </c>
      <c r="AF101" s="263">
        <f>ED101+'User Input - Correlations'!AF101</f>
        <v>0</v>
      </c>
      <c r="AG101" s="263">
        <f>EE101+'User Input - Correlations'!AG101</f>
        <v>0</v>
      </c>
      <c r="AH101" s="263">
        <f>EF101+'User Input - Correlations'!AH101</f>
        <v>0</v>
      </c>
      <c r="AI101" s="263">
        <f>EG101+'User Input - Correlations'!AI101</f>
        <v>0</v>
      </c>
      <c r="AJ101" s="263">
        <f>EH101+'User Input - Correlations'!AJ101</f>
        <v>0</v>
      </c>
      <c r="AK101" s="263">
        <f>EI101+'User Input - Correlations'!AK101</f>
        <v>0</v>
      </c>
      <c r="AL101" s="263">
        <f>EJ101+'User Input - Correlations'!AL101</f>
        <v>0</v>
      </c>
      <c r="AM101" s="263">
        <f>EK101+'User Input - Correlations'!AM101</f>
        <v>0</v>
      </c>
      <c r="AN101" s="263">
        <f>EL101+'User Input - Correlations'!AN101</f>
        <v>0</v>
      </c>
      <c r="AO101" s="263">
        <f>EM101+'User Input - Correlations'!AO101</f>
        <v>0</v>
      </c>
      <c r="AP101" s="263">
        <f>EN101+'User Input - Correlations'!AP101</f>
        <v>0</v>
      </c>
      <c r="AQ101" s="263">
        <f>EO101+'User Input - Correlations'!AQ101</f>
        <v>0</v>
      </c>
      <c r="AR101" s="263">
        <f>EP101+'User Input - Correlations'!AR101</f>
        <v>0</v>
      </c>
      <c r="AS101" s="263">
        <f>EQ101+'User Input - Correlations'!AS101</f>
        <v>0</v>
      </c>
      <c r="AT101" s="263">
        <f>ER101+'User Input - Correlations'!AT101</f>
        <v>0</v>
      </c>
      <c r="AU101" s="263">
        <f>ES101+'User Input - Correlations'!AU101</f>
        <v>0</v>
      </c>
      <c r="AV101" s="263">
        <f>ET101+'User Input - Correlations'!AV101</f>
        <v>0</v>
      </c>
      <c r="AW101" s="263">
        <f>EU101+'User Input - Correlations'!AW101</f>
        <v>0</v>
      </c>
      <c r="AX101" s="263">
        <f>EV101+'User Input - Correlations'!AX101</f>
        <v>0</v>
      </c>
      <c r="AY101" s="263">
        <f>EW101+'User Input - Correlations'!AY101</f>
        <v>0</v>
      </c>
      <c r="AZ101" s="263">
        <f>EX101+'User Input - Correlations'!AZ101</f>
        <v>0</v>
      </c>
      <c r="BA101" s="263">
        <f>EY101+'User Input - Correlations'!BA101</f>
        <v>0</v>
      </c>
      <c r="BB101" s="263">
        <f>EZ101+'User Input - Correlations'!BB101</f>
        <v>0</v>
      </c>
      <c r="BC101" s="263">
        <f>FA101+'User Input - Correlations'!BC101</f>
        <v>0</v>
      </c>
      <c r="BD101" s="263">
        <f>FB101+'User Input - Correlations'!BD101</f>
        <v>0</v>
      </c>
      <c r="BE101" s="263">
        <f>FC101+'User Input - Correlations'!BE101</f>
        <v>0</v>
      </c>
      <c r="BF101" s="263">
        <f>FD101+'User Input - Correlations'!BF101</f>
        <v>0</v>
      </c>
      <c r="BG101" s="263">
        <f>FE101+'User Input - Correlations'!BG101</f>
        <v>0</v>
      </c>
      <c r="BH101" s="263">
        <f>FF101+'User Input - Correlations'!BH101</f>
        <v>0</v>
      </c>
      <c r="BI101" s="263">
        <f>FG101+'User Input - Correlations'!BI101</f>
        <v>0</v>
      </c>
      <c r="BJ101" s="263">
        <f>FH101+'User Input - Correlations'!BJ101</f>
        <v>0</v>
      </c>
      <c r="BK101" s="263">
        <f>FI101+'User Input - Correlations'!BK101</f>
        <v>0</v>
      </c>
      <c r="BL101" s="263">
        <f>FJ101+'User Input - Correlations'!BL101</f>
        <v>0</v>
      </c>
      <c r="BM101" s="263">
        <f>FK101+'User Input - Correlations'!BM101</f>
        <v>0</v>
      </c>
      <c r="BN101" s="263">
        <f>FL101+'User Input - Correlations'!BN101</f>
        <v>0</v>
      </c>
      <c r="BO101" s="263">
        <f>FM101+'User Input - Correlations'!BO101</f>
        <v>0</v>
      </c>
      <c r="BP101" s="263">
        <f>FN101+'User Input - Correlations'!BP101</f>
        <v>0</v>
      </c>
      <c r="BQ101" s="263">
        <f>FO101+'User Input - Correlations'!BQ101</f>
        <v>0</v>
      </c>
      <c r="BR101" s="263">
        <f>FP101+'User Input - Correlations'!BR101</f>
        <v>0</v>
      </c>
      <c r="BS101" s="263">
        <f>FQ101+'User Input - Correlations'!BS101</f>
        <v>0</v>
      </c>
      <c r="BT101" s="263">
        <f>FR101+'User Input - Correlations'!BT101</f>
        <v>0</v>
      </c>
      <c r="BU101" s="263">
        <f>FS101+'User Input - Correlations'!BU101</f>
        <v>0</v>
      </c>
      <c r="BV101" s="263">
        <f>FT101+'User Input - Correlations'!BV101</f>
        <v>0</v>
      </c>
      <c r="BW101" s="263">
        <f>FU101+'User Input - Correlations'!BW101</f>
        <v>0</v>
      </c>
      <c r="BX101" s="263">
        <f>FV101+'User Input - Correlations'!BX101</f>
        <v>0</v>
      </c>
      <c r="BY101" s="263">
        <f>FW101+'User Input - Correlations'!BY101</f>
        <v>0</v>
      </c>
      <c r="BZ101" s="263">
        <f>FX101+'User Input - Correlations'!BZ101</f>
        <v>0</v>
      </c>
      <c r="CA101" s="263">
        <f>FY101+'User Input - Correlations'!CA101</f>
        <v>0</v>
      </c>
      <c r="CB101" s="263">
        <f>FZ101+'User Input - Correlations'!CB101</f>
        <v>0</v>
      </c>
      <c r="CC101" s="263">
        <f>GA101+'User Input - Correlations'!CC101</f>
        <v>0</v>
      </c>
      <c r="CD101" s="263">
        <f>GB101+'User Input - Correlations'!CD101</f>
        <v>0</v>
      </c>
      <c r="CE101" s="263">
        <f>GC101+'User Input - Correlations'!CE101</f>
        <v>0</v>
      </c>
      <c r="CF101" s="263">
        <f>GD101+'User Input - Correlations'!CF101</f>
        <v>0</v>
      </c>
      <c r="CG101" s="263">
        <f>GE101+'User Input - Correlations'!CG101</f>
        <v>0</v>
      </c>
      <c r="CH101" s="263">
        <f>GF101+'User Input - Correlations'!CH101</f>
        <v>0</v>
      </c>
      <c r="CI101" s="263">
        <f>GG101+'User Input - Correlations'!CI101</f>
        <v>0</v>
      </c>
      <c r="CJ101" s="263">
        <f>GH101+'User Input - Correlations'!CJ101</f>
        <v>0</v>
      </c>
      <c r="CK101" s="263">
        <f>GI101+'User Input - Correlations'!CK101</f>
        <v>0</v>
      </c>
      <c r="CL101" s="263">
        <f>GJ101+'User Input - Correlations'!CL101</f>
        <v>0</v>
      </c>
      <c r="CM101" s="263">
        <f>GK101+'User Input - Correlations'!CM101</f>
        <v>0</v>
      </c>
      <c r="CN101" s="263">
        <f>GL101+'User Input - Correlations'!CN101</f>
        <v>0</v>
      </c>
      <c r="CO101" s="263">
        <v>1</v>
      </c>
      <c r="CP101" s="264">
        <f>GN101+'User Input - Correlations'!CP101</f>
        <v>0</v>
      </c>
      <c r="CQ101" s="281">
        <f ca="1">MDETERM(OFFSET($C$11,0,0,ROWS($CQ$11:$CQ101),ROWS($CQ$11:$CQ101)))</f>
        <v>1</v>
      </c>
      <c r="DA101" s="263">
        <v>0</v>
      </c>
      <c r="DB101" s="263">
        <v>0</v>
      </c>
      <c r="DC101" s="263">
        <v>0</v>
      </c>
      <c r="DD101" s="263">
        <v>0</v>
      </c>
      <c r="DE101" s="263">
        <v>0</v>
      </c>
      <c r="DF101" s="263">
        <v>0</v>
      </c>
      <c r="DG101" s="263">
        <v>0</v>
      </c>
      <c r="DH101" s="263">
        <v>0</v>
      </c>
      <c r="DI101" s="263">
        <v>0</v>
      </c>
      <c r="DJ101" s="263">
        <v>0</v>
      </c>
      <c r="DK101" s="263">
        <v>0</v>
      </c>
      <c r="DL101" s="263">
        <v>0</v>
      </c>
      <c r="DM101" s="263">
        <v>0</v>
      </c>
      <c r="DN101" s="263">
        <v>0</v>
      </c>
      <c r="DO101" s="263">
        <v>0</v>
      </c>
      <c r="DP101" s="263">
        <v>0</v>
      </c>
      <c r="DQ101" s="263">
        <v>0</v>
      </c>
      <c r="DR101" s="263">
        <v>0</v>
      </c>
      <c r="DS101" s="263">
        <v>0</v>
      </c>
      <c r="DT101" s="263">
        <v>0</v>
      </c>
      <c r="DU101" s="263">
        <v>0</v>
      </c>
      <c r="DV101" s="263">
        <v>0</v>
      </c>
      <c r="DW101" s="263">
        <v>0</v>
      </c>
      <c r="DX101" s="263">
        <v>0</v>
      </c>
      <c r="DY101" s="263">
        <v>0</v>
      </c>
      <c r="DZ101" s="263">
        <v>0</v>
      </c>
      <c r="EA101" s="263">
        <v>0</v>
      </c>
      <c r="EB101" s="263">
        <v>0</v>
      </c>
      <c r="EC101" s="263">
        <v>0</v>
      </c>
      <c r="ED101" s="263">
        <v>0</v>
      </c>
      <c r="EE101" s="263">
        <v>0</v>
      </c>
      <c r="EF101" s="263">
        <v>0</v>
      </c>
      <c r="EG101" s="263">
        <v>0</v>
      </c>
      <c r="EH101" s="263">
        <v>0</v>
      </c>
      <c r="EI101" s="263">
        <v>0</v>
      </c>
      <c r="EJ101" s="263">
        <v>0</v>
      </c>
      <c r="EK101" s="263">
        <v>0</v>
      </c>
      <c r="EL101" s="263">
        <v>0</v>
      </c>
      <c r="EM101" s="263">
        <v>0</v>
      </c>
      <c r="EN101" s="263">
        <v>0</v>
      </c>
      <c r="EO101" s="263">
        <v>0</v>
      </c>
      <c r="EP101" s="263">
        <v>0</v>
      </c>
      <c r="EQ101" s="263">
        <v>0</v>
      </c>
      <c r="ER101" s="263">
        <v>0</v>
      </c>
      <c r="ES101" s="263">
        <v>0</v>
      </c>
      <c r="ET101" s="263">
        <v>0</v>
      </c>
      <c r="EU101" s="263">
        <v>0</v>
      </c>
      <c r="EV101" s="263">
        <v>0</v>
      </c>
      <c r="EW101" s="263">
        <v>0</v>
      </c>
      <c r="EX101" s="263">
        <v>0</v>
      </c>
      <c r="EY101" s="263">
        <v>0</v>
      </c>
      <c r="EZ101" s="263">
        <v>0</v>
      </c>
      <c r="FA101" s="263">
        <v>0</v>
      </c>
      <c r="FB101" s="263">
        <v>0</v>
      </c>
      <c r="FC101" s="263">
        <v>0</v>
      </c>
      <c r="FD101" s="263">
        <v>0</v>
      </c>
      <c r="FE101" s="263">
        <v>0</v>
      </c>
      <c r="FF101" s="263">
        <v>0</v>
      </c>
      <c r="FG101" s="263">
        <v>0</v>
      </c>
      <c r="FH101" s="263">
        <v>0</v>
      </c>
      <c r="FI101" s="263">
        <v>0</v>
      </c>
      <c r="FJ101" s="263">
        <v>0</v>
      </c>
      <c r="FK101" s="263">
        <v>0</v>
      </c>
      <c r="FL101" s="263">
        <v>0</v>
      </c>
      <c r="FM101" s="263">
        <v>0</v>
      </c>
      <c r="FN101" s="263">
        <v>0</v>
      </c>
      <c r="FO101" s="263">
        <v>0</v>
      </c>
      <c r="FP101" s="263">
        <v>0</v>
      </c>
      <c r="FQ101" s="263">
        <v>0</v>
      </c>
      <c r="FR101" s="263">
        <v>0</v>
      </c>
      <c r="FS101" s="263">
        <v>0</v>
      </c>
      <c r="FT101" s="263">
        <v>0</v>
      </c>
      <c r="FU101" s="263">
        <v>0</v>
      </c>
      <c r="FV101" s="263">
        <v>0</v>
      </c>
      <c r="FW101" s="263">
        <v>0</v>
      </c>
      <c r="FX101" s="263">
        <v>0</v>
      </c>
      <c r="FY101" s="263">
        <v>0</v>
      </c>
      <c r="FZ101" s="263">
        <v>0</v>
      </c>
      <c r="GA101" s="263">
        <v>0</v>
      </c>
      <c r="GB101" s="263">
        <v>0</v>
      </c>
      <c r="GC101" s="263">
        <v>0</v>
      </c>
      <c r="GD101" s="263">
        <v>0</v>
      </c>
      <c r="GE101" s="263">
        <v>0</v>
      </c>
      <c r="GF101" s="263">
        <v>0</v>
      </c>
      <c r="GG101" s="263">
        <v>0</v>
      </c>
      <c r="GH101" s="263">
        <v>0</v>
      </c>
      <c r="GI101" s="263">
        <v>0</v>
      </c>
      <c r="GJ101" s="263">
        <v>0</v>
      </c>
      <c r="GK101" s="263">
        <v>0</v>
      </c>
      <c r="GL101" s="263">
        <v>0</v>
      </c>
      <c r="GM101" s="263">
        <v>1</v>
      </c>
      <c r="GN101" s="263">
        <v>0</v>
      </c>
    </row>
    <row r="102" ht="12.75" customHeight="1">
      <c r="A102" s="288" t="s">
        <v>115</v>
      </c>
      <c r="B102" s="288" t="s">
        <v>114</v>
      </c>
      <c r="C102" s="263">
        <f>DA102+'User Input - Correlations'!C102</f>
        <v>0</v>
      </c>
      <c r="D102" s="263">
        <f>DB102+'User Input - Correlations'!D102</f>
        <v>0</v>
      </c>
      <c r="E102" s="263">
        <f>DC102+'User Input - Correlations'!E102</f>
        <v>0</v>
      </c>
      <c r="F102" s="263">
        <f>DD102+'User Input - Correlations'!F102</f>
        <v>0</v>
      </c>
      <c r="G102" s="263">
        <f>DE102+'User Input - Correlations'!G102</f>
        <v>0</v>
      </c>
      <c r="H102" s="263">
        <f>DF102+'User Input - Correlations'!H102</f>
        <v>0</v>
      </c>
      <c r="I102" s="263">
        <f>DG102+'User Input - Correlations'!I102</f>
        <v>0</v>
      </c>
      <c r="J102" s="263">
        <f>DH102+'User Input - Correlations'!J102</f>
        <v>0</v>
      </c>
      <c r="K102" s="263">
        <f>DI102+'User Input - Correlations'!K102</f>
        <v>0</v>
      </c>
      <c r="L102" s="263">
        <f>DJ102+'User Input - Correlations'!L102</f>
        <v>0</v>
      </c>
      <c r="M102" s="263">
        <f>DK102+'User Input - Correlations'!M102</f>
        <v>0</v>
      </c>
      <c r="N102" s="263">
        <f>DL102+'User Input - Correlations'!N102</f>
        <v>0</v>
      </c>
      <c r="O102" s="263">
        <f>DM102+'User Input - Correlations'!O102</f>
        <v>0</v>
      </c>
      <c r="P102" s="263">
        <f>DN102+'User Input - Correlations'!P102</f>
        <v>0</v>
      </c>
      <c r="Q102" s="263">
        <f>DO102+'User Input - Correlations'!Q102</f>
        <v>0</v>
      </c>
      <c r="R102" s="263">
        <f>DP102+'User Input - Correlations'!R102</f>
        <v>0</v>
      </c>
      <c r="S102" s="263">
        <f>DQ102+'User Input - Correlations'!S102</f>
        <v>0</v>
      </c>
      <c r="T102" s="263">
        <f>DR102+'User Input - Correlations'!T102</f>
        <v>0</v>
      </c>
      <c r="U102" s="263">
        <f>DS102+'User Input - Correlations'!U102</f>
        <v>0</v>
      </c>
      <c r="V102" s="263">
        <f>DT102+'User Input - Correlations'!V102</f>
        <v>0</v>
      </c>
      <c r="W102" s="263">
        <f>DU102+'User Input - Correlations'!W102</f>
        <v>0</v>
      </c>
      <c r="X102" s="263">
        <f>DV102+'User Input - Correlations'!X102</f>
        <v>0</v>
      </c>
      <c r="Y102" s="263">
        <f>DW102+'User Input - Correlations'!Y102</f>
        <v>0</v>
      </c>
      <c r="Z102" s="263">
        <f>DX102+'User Input - Correlations'!Z102</f>
        <v>0</v>
      </c>
      <c r="AA102" s="263">
        <f>DY102+'User Input - Correlations'!AA102</f>
        <v>0</v>
      </c>
      <c r="AB102" s="263">
        <f>DZ102+'User Input - Correlations'!AB102</f>
        <v>0</v>
      </c>
      <c r="AC102" s="263">
        <f>EA102+'User Input - Correlations'!AC102</f>
        <v>0</v>
      </c>
      <c r="AD102" s="263">
        <f>EB102+'User Input - Correlations'!AD102</f>
        <v>0</v>
      </c>
      <c r="AE102" s="263">
        <f>EC102+'User Input - Correlations'!AE102</f>
        <v>0</v>
      </c>
      <c r="AF102" s="263">
        <f>ED102+'User Input - Correlations'!AF102</f>
        <v>0</v>
      </c>
      <c r="AG102" s="263">
        <f>EE102+'User Input - Correlations'!AG102</f>
        <v>0</v>
      </c>
      <c r="AH102" s="263">
        <f>EF102+'User Input - Correlations'!AH102</f>
        <v>0</v>
      </c>
      <c r="AI102" s="263">
        <f>EG102+'User Input - Correlations'!AI102</f>
        <v>0</v>
      </c>
      <c r="AJ102" s="263">
        <f>EH102+'User Input - Correlations'!AJ102</f>
        <v>0</v>
      </c>
      <c r="AK102" s="263">
        <f>EI102+'User Input - Correlations'!AK102</f>
        <v>0</v>
      </c>
      <c r="AL102" s="263">
        <f>EJ102+'User Input - Correlations'!AL102</f>
        <v>0</v>
      </c>
      <c r="AM102" s="263">
        <f>EK102+'User Input - Correlations'!AM102</f>
        <v>0</v>
      </c>
      <c r="AN102" s="263">
        <f>EL102+'User Input - Correlations'!AN102</f>
        <v>0</v>
      </c>
      <c r="AO102" s="263">
        <f>EM102+'User Input - Correlations'!AO102</f>
        <v>0</v>
      </c>
      <c r="AP102" s="263">
        <f>EN102+'User Input - Correlations'!AP102</f>
        <v>0</v>
      </c>
      <c r="AQ102" s="263">
        <f>EO102+'User Input - Correlations'!AQ102</f>
        <v>0</v>
      </c>
      <c r="AR102" s="263">
        <f>EP102+'User Input - Correlations'!AR102</f>
        <v>0</v>
      </c>
      <c r="AS102" s="263">
        <f>EQ102+'User Input - Correlations'!AS102</f>
        <v>0</v>
      </c>
      <c r="AT102" s="263">
        <f>ER102+'User Input - Correlations'!AT102</f>
        <v>0</v>
      </c>
      <c r="AU102" s="263">
        <f>ES102+'User Input - Correlations'!AU102</f>
        <v>0</v>
      </c>
      <c r="AV102" s="263">
        <f>ET102+'User Input - Correlations'!AV102</f>
        <v>0</v>
      </c>
      <c r="AW102" s="263">
        <f>EU102+'User Input - Correlations'!AW102</f>
        <v>0</v>
      </c>
      <c r="AX102" s="263">
        <f>EV102+'User Input - Correlations'!AX102</f>
        <v>0</v>
      </c>
      <c r="AY102" s="263">
        <f>EW102+'User Input - Correlations'!AY102</f>
        <v>0</v>
      </c>
      <c r="AZ102" s="263">
        <f>EX102+'User Input - Correlations'!AZ102</f>
        <v>0</v>
      </c>
      <c r="BA102" s="263">
        <f>EY102+'User Input - Correlations'!BA102</f>
        <v>0</v>
      </c>
      <c r="BB102" s="263">
        <f>EZ102+'User Input - Correlations'!BB102</f>
        <v>0</v>
      </c>
      <c r="BC102" s="263">
        <f>FA102+'User Input - Correlations'!BC102</f>
        <v>0</v>
      </c>
      <c r="BD102" s="263">
        <f>FB102+'User Input - Correlations'!BD102</f>
        <v>0</v>
      </c>
      <c r="BE102" s="263">
        <f>FC102+'User Input - Correlations'!BE102</f>
        <v>0</v>
      </c>
      <c r="BF102" s="263">
        <f>FD102+'User Input - Correlations'!BF102</f>
        <v>0</v>
      </c>
      <c r="BG102" s="263">
        <f>FE102+'User Input - Correlations'!BG102</f>
        <v>0</v>
      </c>
      <c r="BH102" s="263">
        <f>FF102+'User Input - Correlations'!BH102</f>
        <v>0</v>
      </c>
      <c r="BI102" s="263">
        <f>FG102+'User Input - Correlations'!BI102</f>
        <v>0</v>
      </c>
      <c r="BJ102" s="263">
        <f>FH102+'User Input - Correlations'!BJ102</f>
        <v>0</v>
      </c>
      <c r="BK102" s="263">
        <f>FI102+'User Input - Correlations'!BK102</f>
        <v>0</v>
      </c>
      <c r="BL102" s="263">
        <f>FJ102+'User Input - Correlations'!BL102</f>
        <v>0</v>
      </c>
      <c r="BM102" s="263">
        <f>FK102+'User Input - Correlations'!BM102</f>
        <v>0</v>
      </c>
      <c r="BN102" s="263">
        <f>FL102+'User Input - Correlations'!BN102</f>
        <v>0</v>
      </c>
      <c r="BO102" s="263">
        <f>FM102+'User Input - Correlations'!BO102</f>
        <v>0</v>
      </c>
      <c r="BP102" s="263">
        <f>FN102+'User Input - Correlations'!BP102</f>
        <v>0</v>
      </c>
      <c r="BQ102" s="263">
        <f>FO102+'User Input - Correlations'!BQ102</f>
        <v>0</v>
      </c>
      <c r="BR102" s="263">
        <f>FP102+'User Input - Correlations'!BR102</f>
        <v>0</v>
      </c>
      <c r="BS102" s="263">
        <f>FQ102+'User Input - Correlations'!BS102</f>
        <v>0</v>
      </c>
      <c r="BT102" s="263">
        <f>FR102+'User Input - Correlations'!BT102</f>
        <v>0</v>
      </c>
      <c r="BU102" s="263">
        <f>FS102+'User Input - Correlations'!BU102</f>
        <v>0</v>
      </c>
      <c r="BV102" s="263">
        <f>FT102+'User Input - Correlations'!BV102</f>
        <v>0</v>
      </c>
      <c r="BW102" s="263">
        <f>FU102+'User Input - Correlations'!BW102</f>
        <v>0</v>
      </c>
      <c r="BX102" s="263">
        <f>FV102+'User Input - Correlations'!BX102</f>
        <v>0</v>
      </c>
      <c r="BY102" s="263">
        <f>FW102+'User Input - Correlations'!BY102</f>
        <v>0</v>
      </c>
      <c r="BZ102" s="263">
        <f>FX102+'User Input - Correlations'!BZ102</f>
        <v>0</v>
      </c>
      <c r="CA102" s="263">
        <f>FY102+'User Input - Correlations'!CA102</f>
        <v>0</v>
      </c>
      <c r="CB102" s="263">
        <f>FZ102+'User Input - Correlations'!CB102</f>
        <v>0</v>
      </c>
      <c r="CC102" s="263">
        <f>GA102+'User Input - Correlations'!CC102</f>
        <v>0</v>
      </c>
      <c r="CD102" s="263">
        <f>GB102+'User Input - Correlations'!CD102</f>
        <v>0</v>
      </c>
      <c r="CE102" s="263">
        <f>GC102+'User Input - Correlations'!CE102</f>
        <v>0</v>
      </c>
      <c r="CF102" s="263">
        <f>GD102+'User Input - Correlations'!CF102</f>
        <v>0</v>
      </c>
      <c r="CG102" s="263">
        <f>GE102+'User Input - Correlations'!CG102</f>
        <v>0</v>
      </c>
      <c r="CH102" s="263">
        <f>GF102+'User Input - Correlations'!CH102</f>
        <v>0</v>
      </c>
      <c r="CI102" s="263">
        <f>GG102+'User Input - Correlations'!CI102</f>
        <v>0</v>
      </c>
      <c r="CJ102" s="263">
        <f>GH102+'User Input - Correlations'!CJ102</f>
        <v>0</v>
      </c>
      <c r="CK102" s="263">
        <f>GI102+'User Input - Correlations'!CK102</f>
        <v>0</v>
      </c>
      <c r="CL102" s="263">
        <f>GJ102+'User Input - Correlations'!CL102</f>
        <v>0</v>
      </c>
      <c r="CM102" s="263">
        <f>GK102+'User Input - Correlations'!CM102</f>
        <v>0</v>
      </c>
      <c r="CN102" s="263">
        <f>GL102+'User Input - Correlations'!CN102</f>
        <v>0</v>
      </c>
      <c r="CO102" s="263">
        <f>GM102+'User Input - Correlations'!CO102</f>
        <v>0</v>
      </c>
      <c r="CP102" s="264">
        <v>1</v>
      </c>
      <c r="CQ102" s="281">
        <f ca="1">MDETERM(OFFSET($C$11,0,0,ROWS($CQ$11:$CQ102),ROWS($CQ$11:$CQ102)))</f>
        <v>1</v>
      </c>
      <c r="DA102" s="263">
        <v>0</v>
      </c>
      <c r="DB102" s="263">
        <v>0</v>
      </c>
      <c r="DC102" s="263">
        <v>0</v>
      </c>
      <c r="DD102" s="263">
        <v>0</v>
      </c>
      <c r="DE102" s="263">
        <v>0</v>
      </c>
      <c r="DF102" s="263">
        <v>0</v>
      </c>
      <c r="DG102" s="263">
        <v>0</v>
      </c>
      <c r="DH102" s="263">
        <v>0</v>
      </c>
      <c r="DI102" s="263">
        <v>0</v>
      </c>
      <c r="DJ102" s="263">
        <v>0</v>
      </c>
      <c r="DK102" s="263">
        <v>0</v>
      </c>
      <c r="DL102" s="263">
        <v>0</v>
      </c>
      <c r="DM102" s="263">
        <v>0</v>
      </c>
      <c r="DN102" s="263">
        <v>0</v>
      </c>
      <c r="DO102" s="263">
        <v>0</v>
      </c>
      <c r="DP102" s="263">
        <v>0</v>
      </c>
      <c r="DQ102" s="263">
        <v>0</v>
      </c>
      <c r="DR102" s="263">
        <v>0</v>
      </c>
      <c r="DS102" s="263">
        <v>0</v>
      </c>
      <c r="DT102" s="263">
        <v>0</v>
      </c>
      <c r="DU102" s="263">
        <v>0</v>
      </c>
      <c r="DV102" s="263">
        <v>0</v>
      </c>
      <c r="DW102" s="263">
        <v>0</v>
      </c>
      <c r="DX102" s="263">
        <v>0</v>
      </c>
      <c r="DY102" s="263">
        <v>0</v>
      </c>
      <c r="DZ102" s="263">
        <v>0</v>
      </c>
      <c r="EA102" s="263">
        <v>0</v>
      </c>
      <c r="EB102" s="263">
        <v>0</v>
      </c>
      <c r="EC102" s="263">
        <v>0</v>
      </c>
      <c r="ED102" s="263">
        <v>0</v>
      </c>
      <c r="EE102" s="263">
        <v>0</v>
      </c>
      <c r="EF102" s="263">
        <v>0</v>
      </c>
      <c r="EG102" s="263">
        <v>0</v>
      </c>
      <c r="EH102" s="263">
        <v>0</v>
      </c>
      <c r="EI102" s="263">
        <v>0</v>
      </c>
      <c r="EJ102" s="263">
        <v>0</v>
      </c>
      <c r="EK102" s="263">
        <v>0</v>
      </c>
      <c r="EL102" s="263">
        <v>0</v>
      </c>
      <c r="EM102" s="263">
        <v>0</v>
      </c>
      <c r="EN102" s="263">
        <v>0</v>
      </c>
      <c r="EO102" s="263">
        <v>0</v>
      </c>
      <c r="EP102" s="263">
        <v>0</v>
      </c>
      <c r="EQ102" s="263">
        <v>0</v>
      </c>
      <c r="ER102" s="263">
        <v>0</v>
      </c>
      <c r="ES102" s="263">
        <v>0</v>
      </c>
      <c r="ET102" s="263">
        <v>0</v>
      </c>
      <c r="EU102" s="263">
        <v>0</v>
      </c>
      <c r="EV102" s="263">
        <v>0</v>
      </c>
      <c r="EW102" s="263">
        <v>0</v>
      </c>
      <c r="EX102" s="263">
        <v>0</v>
      </c>
      <c r="EY102" s="263">
        <v>0</v>
      </c>
      <c r="EZ102" s="263">
        <v>0</v>
      </c>
      <c r="FA102" s="263">
        <v>0</v>
      </c>
      <c r="FB102" s="263">
        <v>0</v>
      </c>
      <c r="FC102" s="263">
        <v>0</v>
      </c>
      <c r="FD102" s="263">
        <v>0</v>
      </c>
      <c r="FE102" s="263">
        <v>0</v>
      </c>
      <c r="FF102" s="263">
        <v>0</v>
      </c>
      <c r="FG102" s="263">
        <v>0</v>
      </c>
      <c r="FH102" s="263">
        <v>0</v>
      </c>
      <c r="FI102" s="263">
        <v>0</v>
      </c>
      <c r="FJ102" s="263">
        <v>0</v>
      </c>
      <c r="FK102" s="263">
        <v>0</v>
      </c>
      <c r="FL102" s="263">
        <v>0</v>
      </c>
      <c r="FM102" s="263">
        <v>0</v>
      </c>
      <c r="FN102" s="263">
        <v>0</v>
      </c>
      <c r="FO102" s="263">
        <v>0</v>
      </c>
      <c r="FP102" s="263">
        <v>0</v>
      </c>
      <c r="FQ102" s="263">
        <v>0</v>
      </c>
      <c r="FR102" s="263">
        <v>0</v>
      </c>
      <c r="FS102" s="263">
        <v>0</v>
      </c>
      <c r="FT102" s="263">
        <v>0</v>
      </c>
      <c r="FU102" s="263">
        <v>0</v>
      </c>
      <c r="FV102" s="263">
        <v>0</v>
      </c>
      <c r="FW102" s="263">
        <v>0</v>
      </c>
      <c r="FX102" s="263">
        <v>0</v>
      </c>
      <c r="FY102" s="263">
        <v>0</v>
      </c>
      <c r="FZ102" s="263">
        <v>0</v>
      </c>
      <c r="GA102" s="263">
        <v>0</v>
      </c>
      <c r="GB102" s="263">
        <v>0</v>
      </c>
      <c r="GC102" s="263">
        <v>0</v>
      </c>
      <c r="GD102" s="263">
        <v>0</v>
      </c>
      <c r="GE102" s="263">
        <v>0</v>
      </c>
      <c r="GF102" s="263">
        <v>0</v>
      </c>
      <c r="GG102" s="263">
        <v>0</v>
      </c>
      <c r="GH102" s="263">
        <v>0</v>
      </c>
      <c r="GI102" s="263">
        <v>0</v>
      </c>
      <c r="GJ102" s="263">
        <v>0</v>
      </c>
      <c r="GK102" s="263">
        <v>0</v>
      </c>
      <c r="GL102" s="263">
        <v>0</v>
      </c>
      <c r="GM102" s="263">
        <v>0</v>
      </c>
      <c r="GN102" s="263">
        <v>1</v>
      </c>
    </row>
    <row r="103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 s="76"/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AT103" s="76"/>
      <c r="AU103" s="76"/>
      <c r="AV103" s="76"/>
      <c r="AW103" s="76"/>
      <c r="AX103" s="76"/>
      <c r="AY103" s="76"/>
      <c r="AZ103" s="76"/>
      <c r="BA103" s="76"/>
      <c r="BB103" s="76"/>
      <c r="BC103" s="76"/>
      <c r="BD103" s="76"/>
      <c r="BE103" s="76"/>
      <c r="BF103" s="76"/>
      <c r="BG103" s="76"/>
      <c r="BH103" s="76"/>
      <c r="BI103" s="76"/>
      <c r="BJ103" s="76"/>
      <c r="BK103" s="76"/>
      <c r="BL103" s="76"/>
      <c r="BM103" s="76"/>
      <c r="BN103" s="76"/>
      <c r="BO103" s="76"/>
      <c r="BP103" s="76"/>
      <c r="BQ103" s="76"/>
      <c r="BR103" s="76"/>
      <c r="BS103" s="76"/>
      <c r="BT103" s="76"/>
      <c r="BU103" s="76"/>
      <c r="BV103" s="76"/>
      <c r="BW103" s="76"/>
      <c r="BX103" s="76"/>
      <c r="BY103" s="76"/>
      <c r="BZ103" s="76"/>
      <c r="CA103" s="76"/>
      <c r="CB103" s="76"/>
      <c r="CC103" s="76"/>
      <c r="CD103" s="76"/>
      <c r="CE103" s="76"/>
      <c r="CF103" s="76"/>
      <c r="CG103" s="76"/>
      <c r="CH103" s="76"/>
      <c r="CI103" s="76"/>
      <c r="CJ103" s="76"/>
      <c r="CK103" s="76"/>
      <c r="CL103" s="76"/>
      <c r="CM103" s="76"/>
      <c r="CN103" s="76"/>
      <c r="CO103" s="76"/>
      <c r="CP103" s="262"/>
    </row>
    <row r="104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 s="76"/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AT104" s="76"/>
      <c r="AU104" s="76"/>
      <c r="AV104" s="76"/>
      <c r="AW104" s="76"/>
      <c r="AX104" s="76"/>
      <c r="AY104" s="76"/>
      <c r="AZ104" s="76"/>
      <c r="BA104" s="76"/>
      <c r="BB104" s="76"/>
      <c r="BC104" s="76"/>
      <c r="BD104" s="76"/>
      <c r="BE104" s="76"/>
      <c r="BF104" s="76"/>
      <c r="BG104" s="76"/>
      <c r="BH104" s="76"/>
      <c r="BI104" s="76"/>
      <c r="BJ104" s="76"/>
      <c r="BK104" s="76"/>
      <c r="BL104" s="76"/>
      <c r="BM104" s="76"/>
      <c r="BN104" s="76"/>
      <c r="BO104" s="76"/>
      <c r="BP104" s="76"/>
      <c r="BQ104" s="76"/>
      <c r="BR104" s="76"/>
      <c r="BS104" s="76"/>
      <c r="BT104" s="76"/>
      <c r="BU104" s="76"/>
      <c r="BV104" s="76"/>
      <c r="BW104" s="76"/>
      <c r="BX104" s="76"/>
      <c r="BY104" s="76"/>
      <c r="BZ104" s="76"/>
      <c r="CA104" s="76"/>
      <c r="CB104" s="76"/>
      <c r="CC104" s="76"/>
      <c r="CD104" s="76"/>
      <c r="CE104" s="76"/>
      <c r="CF104" s="76"/>
      <c r="CG104" s="76"/>
      <c r="CH104" s="76"/>
      <c r="CI104" s="76"/>
      <c r="CJ104" s="76"/>
      <c r="CK104" s="76"/>
      <c r="CL104" s="76"/>
      <c r="CM104" s="76"/>
      <c r="CN104" s="76"/>
      <c r="CO104" s="76"/>
      <c r="CP104" s="76"/>
    </row>
  </sheetData>
  <mergeCells>
    <mergeCell ref="A1:AE1"/>
    <mergeCell ref="N2:Q2"/>
    <mergeCell ref="CQ9:CQ10"/>
  </mergeCells>
  <conditionalFormatting sqref="B8">
    <cfRule type="cellIs" dxfId="0" priority="1" operator="equal">
      <formula>"Negative"</formula>
    </cfRule>
  </conditionalFormatting>
  <pageMargins left="0.7" right="0.7" top="0.75" bottom="0.75" header="0.3" footer="0.3"/>
  <pageSetup orientation="portrait" r:id="flId1"/>
  <drawing r:id="flId2"/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2"/>
  <dimension ref="A3:N21"/>
  <sheetViews>
    <sheetView topLeftCell="A1" workbookViewId="0"/>
  </sheetViews>
  <sheetFormatPr defaultColWidth="9" defaultRowHeight="14.25"/>
  <cols>
    <col min="1" max="1" width="22.625" bestFit="1" customWidth="1"/>
    <col min="2" max="2" width="34.375" bestFit="1" customWidth="1"/>
    <col min="3" max="3" width="23.75" customWidth="1"/>
    <col min="4" max="4" width="35.625" bestFit="1" customWidth="1"/>
    <col min="5" max="7" width="2.75" customWidth="1"/>
    <col min="8" max="8" width="13.125" bestFit="1" customWidth="1"/>
    <col min="9" max="9" width="10.875" bestFit="1" customWidth="1"/>
    <col min="10" max="12" width="2.75" customWidth="1"/>
    <col min="13" max="13" width="13.875" customWidth="1"/>
    <col min="14" max="14" width="10.625" bestFit="1" customWidth="1"/>
  </cols>
  <sheetData>
    <row r="3">
      <c r="A3" s="106" t="s">
        <v>57</v>
      </c>
    </row>
    <row r="4">
      <c r="A4" s="106" t="s">
        <v>56</v>
      </c>
    </row>
    <row r="5">
      <c r="A5" s="106" t="s">
        <v>58</v>
      </c>
    </row>
    <row r="8">
      <c r="A8" s="107" t="s">
        <v>59</v>
      </c>
      <c r="B8" s="107"/>
      <c r="C8" s="107"/>
      <c r="D8" s="107"/>
      <c r="H8" s="107" t="s">
        <v>64</v>
      </c>
      <c r="I8" s="107"/>
      <c r="M8" s="107" t="s">
        <v>67</v>
      </c>
      <c r="N8" s="107"/>
    </row>
    <row r="9">
      <c r="A9" s="105" t="s">
        <v>60</v>
      </c>
      <c r="B9" s="105" t="s">
        <v>61</v>
      </c>
      <c r="C9" s="105" t="s">
        <v>62</v>
      </c>
      <c r="D9" s="105" t="s">
        <v>63</v>
      </c>
      <c r="H9" s="105" t="s">
        <v>65</v>
      </c>
      <c r="I9" s="105" t="s">
        <v>66</v>
      </c>
      <c r="M9" s="105" t="s">
        <v>68</v>
      </c>
      <c r="N9" s="105" t="s">
        <v>69</v>
      </c>
    </row>
    <row r="10" ht="18.75" customHeight="1">
      <c r="A10" s="214" t="s">
        <v>186</v>
      </c>
      <c r="B10" t="s">
        <v>195</v>
      </c>
      <c r="C10" t="s">
        <v>198</v>
      </c>
      <c r="D10" t="s">
        <v>201</v>
      </c>
      <c r="H10" t="s">
        <v>70</v>
      </c>
      <c r="I10" s="133">
        <v>1234.56</v>
      </c>
    </row>
    <row r="11" ht="15">
      <c r="A11" t="s">
        <v>188</v>
      </c>
      <c r="B11" t="s">
        <v>195</v>
      </c>
      <c r="C11" t="s">
        <v>199</v>
      </c>
      <c r="D11" t="s">
        <v>202</v>
      </c>
      <c r="H11" t="s">
        <v>72</v>
      </c>
      <c r="I11" s="154" t="s">
        <v>71</v>
      </c>
    </row>
    <row r="12" ht="15">
      <c r="A12" t="s">
        <v>187</v>
      </c>
      <c r="B12" t="s">
        <v>195</v>
      </c>
      <c r="C12" t="s">
        <v>200</v>
      </c>
      <c r="D12" t="s">
        <v>202</v>
      </c>
      <c r="H12" t="s">
        <v>81</v>
      </c>
      <c r="I12" s="154" t="s">
        <v>71</v>
      </c>
    </row>
    <row r="13" ht="15">
      <c r="A13" t="s">
        <v>89</v>
      </c>
      <c r="B13" t="s">
        <v>195</v>
      </c>
      <c r="C13" t="s">
        <v>196</v>
      </c>
      <c r="D13" t="s">
        <v>202</v>
      </c>
      <c r="H13" t="s">
        <v>82</v>
      </c>
      <c r="I13" s="133">
        <v>1234.56</v>
      </c>
    </row>
    <row r="14">
      <c r="A14" t="s">
        <v>90</v>
      </c>
      <c r="B14" t="s">
        <v>195</v>
      </c>
      <c r="C14" t="s">
        <v>197</v>
      </c>
      <c r="D14" t="s">
        <v>202</v>
      </c>
      <c r="H14" t="s">
        <v>134</v>
      </c>
      <c r="I14" s="198">
        <v>1234.56</v>
      </c>
    </row>
    <row r="15">
      <c r="A15" t="s">
        <v>99</v>
      </c>
      <c r="B15" t="s">
        <v>100</v>
      </c>
      <c r="C15" t="s">
        <v>101</v>
      </c>
    </row>
    <row r="16">
      <c r="A16" t="s">
        <v>102</v>
      </c>
      <c r="B16" t="s">
        <v>103</v>
      </c>
      <c r="C16" t="s">
        <v>101</v>
      </c>
    </row>
    <row r="17">
      <c r="A17" t="s">
        <v>104</v>
      </c>
      <c r="B17" t="s">
        <v>138</v>
      </c>
      <c r="C17" t="s">
        <v>101</v>
      </c>
    </row>
    <row r="18">
      <c r="A18" t="s">
        <v>105</v>
      </c>
      <c r="B18" t="s">
        <v>146</v>
      </c>
      <c r="C18" t="s">
        <v>101</v>
      </c>
    </row>
    <row r="19">
      <c r="A19" t="s">
        <v>106</v>
      </c>
      <c r="B19" t="s">
        <v>151</v>
      </c>
      <c r="C19" t="s">
        <v>101</v>
      </c>
    </row>
    <row r="20">
      <c r="A20" t="s">
        <v>107</v>
      </c>
      <c r="B20" t="s">
        <v>155</v>
      </c>
      <c r="C20" t="s">
        <v>101</v>
      </c>
    </row>
    <row r="21" ht="15">
      <c r="A21" t="s">
        <v>129</v>
      </c>
      <c r="B21" t="s">
        <v>195</v>
      </c>
      <c r="C21" t="s">
        <v>215</v>
      </c>
      <c r="D21" t="s">
        <v>202</v>
      </c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4</vt:i4>
      </vt:variant>
    </vt:vector>
  </HeadingPairs>
  <TitlesOfParts>
    <vt:vector baseType="lpstr" size="4">
      <vt:lpstr>Base Estimate</vt:lpstr>
      <vt:lpstr>User Input - Ranges</vt:lpstr>
      <vt:lpstr>User Input - Correlations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2022-10-20T20:30:27Z</dcterms:created>
  <dcterms:modified xsi:type="dcterms:W3CDTF">2022-10-20T20:30:27Z</dcterms:modified>
</cp:coreProperties>
</file>