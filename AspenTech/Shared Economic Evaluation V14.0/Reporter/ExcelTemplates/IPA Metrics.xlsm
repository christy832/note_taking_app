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activeTab="1" xWindow="0" yWindow="0" windowWidth="28800" windowHeight="11910"/>
  </bookViews>
  <sheets>
    <sheet name="IPA Detail Cost" sheetId="2" r:id="flId1"/>
    <sheet name="IPA Metrics" sheetId="1" r:id="flId2"/>
  </sheets>
  <definedNames>
    <definedName name="ccceh">'IPA Detail Cost'!$J$62</definedName>
    <definedName name="cccel">'IPA Detail Cost'!$K$62</definedName>
    <definedName name="cccem">'IPA Detail Cost'!$L$62</definedName>
    <definedName name="cccet">'IPA Detail Cost'!$M$62</definedName>
    <definedName name="cccmh">'IPA Detail Cost'!$J$61</definedName>
    <definedName name="cccml">'IPA Detail Cost'!$K$61</definedName>
    <definedName name="cccmm">'IPA Detail Cost'!$L$61</definedName>
    <definedName name="cccmt">'IPA Detail Cost'!$M$61</definedName>
    <definedName name="cctfh">'IPA Detail Cost'!$J$63</definedName>
    <definedName name="cctfl">'IPA Detail Cost'!$K$63</definedName>
    <definedName name="cctfm">'IPA Detail Cost'!$L$63</definedName>
    <definedName name="cctft">'IPA Detail Cost'!$M$63</definedName>
    <definedName name="cctth">'IPA Detail Cost'!$J$64</definedName>
    <definedName name="ccttt">'IPA Detail Cost'!$M$64</definedName>
    <definedName name="coceh">'IPA Detail Cost'!$F$62</definedName>
    <definedName name="cocel">'IPA Detail Cost'!$G$62</definedName>
    <definedName name="cocem">'IPA Detail Cost'!$H$62</definedName>
    <definedName name="cocet">'IPA Detail Cost'!$I$62</definedName>
    <definedName name="cocmh">'IPA Detail Cost'!$F$61</definedName>
    <definedName name="cocml">'IPA Detail Cost'!$G$61</definedName>
    <definedName name="cocmm">'IPA Detail Cost'!$H$61</definedName>
    <definedName name="cocmt">'IPA Detail Cost'!$I$61</definedName>
    <definedName name="cotfh">'IPA Detail Cost'!$F$63</definedName>
    <definedName name="cotfl">'IPA Detail Cost'!$G$63</definedName>
    <definedName name="cotfm">'IPA Detail Cost'!$H$63</definedName>
    <definedName name="cotft">'IPA Detail Cost'!$I$63</definedName>
    <definedName name="cotth">'IPA Detail Cost'!$F$64</definedName>
    <definedName name="cottt">'IPA Detail Cost'!$I$64</definedName>
    <definedName name="ctth">'IPA Detail Cost'!$J$118</definedName>
    <definedName name="dctot">'IPA Detail Cost'!$M$128</definedName>
    <definedName name="ecaph">'IPA Detail Cost'!$J$49</definedName>
    <definedName name="ecapl">'IPA Detail Cost'!$K$49</definedName>
    <definedName name="eccih">'IPA Detail Cost'!$J$47</definedName>
    <definedName name="eccil">'IPA Detail Cost'!$K$47</definedName>
    <definedName name="ecelh">'IPA Detail Cost'!$J$54</definedName>
    <definedName name="ecell">'IPA Detail Cost'!$K$54</definedName>
    <definedName name="ecmeh">'IPA Detail Cost'!$J$51</definedName>
    <definedName name="ecmel">'IPA Detail Cost'!$K$51</definedName>
    <definedName name="ecmih">'IPA Detail Cost'!$J$56</definedName>
    <definedName name="ecmil">'IPA Detail Cost'!$K$56</definedName>
    <definedName name="ecmim">'IPA Detail Cost'!$L$56</definedName>
    <definedName name="ecmit">'IPA Detail Cost'!$M$56</definedName>
    <definedName name="ecpch">'IPA Detail Cost'!$J$53</definedName>
    <definedName name="ecpcl">'IPA Detail Cost'!$K$53</definedName>
    <definedName name="ecpih">'IPA Detail Cost'!$J$50</definedName>
    <definedName name="ecpil">'IPA Detail Cost'!$K$50</definedName>
    <definedName name="ecpmh">'IPA Detail Cost'!$J$52</definedName>
    <definedName name="ecpml">'IPA Detail Cost'!$K$52</definedName>
    <definedName name="ecprh">'IPA Detail Cost'!$J$55</definedName>
    <definedName name="ecprl">'IPA Detail Cost'!$K$55</definedName>
    <definedName name="ecsth">'IPA Detail Cost'!$J$48</definedName>
    <definedName name="ecstl">'IPA Detail Cost'!$K$48</definedName>
    <definedName name="ectth">'IPA Detail Cost'!$J$57</definedName>
    <definedName name="ecttt">'IPA Detail Cost'!$M$57</definedName>
    <definedName name="eoaph">'IPA Detail Cost'!$F$49</definedName>
    <definedName name="eoapl">'IPA Detail Cost'!$G$49</definedName>
    <definedName name="eocih">'IPA Detail Cost'!$F$47</definedName>
    <definedName name="eocil">'IPA Detail Cost'!$G$47</definedName>
    <definedName name="eoelh">'IPA Detail Cost'!$F$54</definedName>
    <definedName name="eoell">'IPA Detail Cost'!$G$54</definedName>
    <definedName name="eomeh">'IPA Detail Cost'!$F$51</definedName>
    <definedName name="eomel">'IPA Detail Cost'!$G$51</definedName>
    <definedName name="eomih">'IPA Detail Cost'!$F$56</definedName>
    <definedName name="eomil">'IPA Detail Cost'!$G$56</definedName>
    <definedName name="eomim">'IPA Detail Cost'!$H$56</definedName>
    <definedName name="eomit">'IPA Detail Cost'!$I$56</definedName>
    <definedName name="eopch">'IPA Detail Cost'!$F$53</definedName>
    <definedName name="eopcl">'IPA Detail Cost'!$G$53</definedName>
    <definedName name="eopih">'IPA Detail Cost'!$F$50</definedName>
    <definedName name="eopil">'IPA Detail Cost'!$G$50</definedName>
    <definedName name="eopmh">'IPA Detail Cost'!$F$52</definedName>
    <definedName name="eopml">'IPA Detail Cost'!$G$52</definedName>
    <definedName name="eoprh">'IPA Detail Cost'!$F$55</definedName>
    <definedName name="eoprl">'IPA Detail Cost'!$G$55</definedName>
    <definedName name="eosth">'IPA Detail Cost'!$F$48</definedName>
    <definedName name="eostl">'IPA Detail Cost'!$G$48</definedName>
    <definedName name="eotth">'IPA Detail Cost'!$F$57</definedName>
    <definedName name="eottt">'IPA Detail Cost'!$I$57</definedName>
    <definedName name="icblh">'IPA Detail Cost'!$J$76</definedName>
    <definedName name="icbll">'IPA Detail Cost'!$K$76</definedName>
    <definedName name="icblm">'IPA Detail Cost'!$L$76</definedName>
    <definedName name="icblt">'IPA Detail Cost'!$M$76</definedName>
    <definedName name="iccoh">'IPA Detail Cost'!$J$74</definedName>
    <definedName name="iccol">'IPA Detail Cost'!$K$74</definedName>
    <definedName name="iccom">'IPA Detail Cost'!$L$74</definedName>
    <definedName name="iccot">'IPA Detail Cost'!$M$74</definedName>
    <definedName name="iccsh">'IPA Detail Cost'!$J$73</definedName>
    <definedName name="iccsl">'IPA Detail Cost'!$K$73</definedName>
    <definedName name="iccsm">'IPA Detail Cost'!$L$73</definedName>
    <definedName name="iccst">'IPA Detail Cost'!$M$73</definedName>
    <definedName name="icefm">'IPA Detail Cost'!$L$79</definedName>
    <definedName name="icelh">'IPA Detail Cost'!$J$77</definedName>
    <definedName name="icell">'IPA Detail Cost'!$K$77</definedName>
    <definedName name="icemm">'IPA Detail Cost'!$L$78</definedName>
    <definedName name="iceom">'IPA Detail Cost'!$L$80</definedName>
    <definedName name="icett">'IPA Detail Cost'!$M$81</definedName>
    <definedName name="iclbm">'IPA Detail Cost'!$L$86</definedName>
    <definedName name="iclem">'IPA Detail Cost'!$L$85</definedName>
    <definedName name="icllh">'IPA Detail Cost'!$J$84</definedName>
    <definedName name="iclll">'IPA Detail Cost'!$K$84</definedName>
    <definedName name="icltt">'IPA Detail Cost'!$M$87</definedName>
    <definedName name="icpah">'IPA Detail Cost'!$J$83</definedName>
    <definedName name="icpal">'IPA Detail Cost'!$K$83</definedName>
    <definedName name="icpam">'IPA Detail Cost'!$L$83</definedName>
    <definedName name="icpat">'IPA Detail Cost'!$M$83</definedName>
    <definedName name="icpbm">'IPA Detail Cost'!$L$90</definedName>
    <definedName name="icpem">'IPA Detail Cost'!$L$89</definedName>
    <definedName name="icpfh">'IPA Detail Cost'!$J$92</definedName>
    <definedName name="icpfl">'IPA Detail Cost'!$K$92</definedName>
    <definedName name="icpfm">'IPA Detail Cost'!$L$92</definedName>
    <definedName name="icpft">'IPA Detail Cost'!$M$92</definedName>
    <definedName name="icpih">'IPA Detail Cost'!$J$82</definedName>
    <definedName name="icpil">'IPA Detail Cost'!$K$82</definedName>
    <definedName name="icpim">'IPA Detail Cost'!$L$82</definedName>
    <definedName name="icpit">'IPA Detail Cost'!$M$82</definedName>
    <definedName name="icplh">'IPA Detail Cost'!$J$88</definedName>
    <definedName name="icpll">'IPA Detail Cost'!$K$88</definedName>
    <definedName name="icplt">'IPA Detail Cost'!$M$91</definedName>
    <definedName name="icsth">'IPA Detail Cost'!$J$75</definedName>
    <definedName name="icstl">'IPA Detail Cost'!$K$75</definedName>
    <definedName name="icstm">'IPA Detail Cost'!$L$75</definedName>
    <definedName name="icstt">'IPA Detail Cost'!$M$75</definedName>
    <definedName name="ictth">'IPA Detail Cost'!$J$93</definedName>
    <definedName name="icttl">'IPA Detail Cost'!$K$93</definedName>
    <definedName name="icttm">'IPA Detail Cost'!$L$93</definedName>
    <definedName name="icttt">'IPA Detail Cost'!$M$93</definedName>
    <definedName name="ioblh">'IPA Detail Cost'!$F$76</definedName>
    <definedName name="iobll">'IPA Detail Cost'!$G$76</definedName>
    <definedName name="ioblm">'IPA Detail Cost'!$H$76</definedName>
    <definedName name="ioblt">'IPA Detail Cost'!$I$76</definedName>
    <definedName name="iocoh">'IPA Detail Cost'!$F$74</definedName>
    <definedName name="iocol">'IPA Detail Cost'!$G$74</definedName>
    <definedName name="iocom">'IPA Detail Cost'!$H$74</definedName>
    <definedName name="iocot">'IPA Detail Cost'!$I$74</definedName>
    <definedName name="iocsh">'IPA Detail Cost'!$F$73</definedName>
    <definedName name="iocsl">'IPA Detail Cost'!$G$73</definedName>
    <definedName name="iocsm">'IPA Detail Cost'!$H$73</definedName>
    <definedName name="iocst">'IPA Detail Cost'!$I$73</definedName>
    <definedName name="ioefm">'IPA Detail Cost'!$H$79</definedName>
    <definedName name="ioelh">'IPA Detail Cost'!$F$77</definedName>
    <definedName name="ioell">'IPA Detail Cost'!$G$77</definedName>
    <definedName name="ioemm">'IPA Detail Cost'!$H$78</definedName>
    <definedName name="ioeom">'IPA Detail Cost'!$H$80</definedName>
    <definedName name="ioett">'IPA Detail Cost'!$I$81</definedName>
    <definedName name="iolbm">'IPA Detail Cost'!$H$86</definedName>
    <definedName name="iolem">'IPA Detail Cost'!$H$85</definedName>
    <definedName name="iollh">'IPA Detail Cost'!$F$84</definedName>
    <definedName name="iolll">'IPA Detail Cost'!$G$84</definedName>
    <definedName name="ioltt">'IPA Detail Cost'!$I$87</definedName>
    <definedName name="iopah">'IPA Detail Cost'!$F$83</definedName>
    <definedName name="iopal">'IPA Detail Cost'!$G$83</definedName>
    <definedName name="iopam">'IPA Detail Cost'!$H$83</definedName>
    <definedName name="iopat">'IPA Detail Cost'!$I$83</definedName>
    <definedName name="iopbm">'IPA Detail Cost'!$H$90</definedName>
    <definedName name="iopem">'IPA Detail Cost'!$H$89</definedName>
    <definedName name="iopfh">'IPA Detail Cost'!$F$92</definedName>
    <definedName name="iopfl">'IPA Detail Cost'!$G$92</definedName>
    <definedName name="iopfm">'IPA Detail Cost'!$H$92</definedName>
    <definedName name="iopft">'IPA Detail Cost'!$I$92</definedName>
    <definedName name="iopih">'IPA Detail Cost'!$F$82</definedName>
    <definedName name="iopil">'IPA Detail Cost'!$G$82</definedName>
    <definedName name="iopim">'IPA Detail Cost'!$H$82</definedName>
    <definedName name="iopit">'IPA Detail Cost'!$I$82</definedName>
    <definedName name="ioplh">'IPA Detail Cost'!$F$88</definedName>
    <definedName name="iopll">'IPA Detail Cost'!$G$88</definedName>
    <definedName name="ioplt">'IPA Detail Cost'!$I$91</definedName>
    <definedName name="iosth">'IPA Detail Cost'!$F$75</definedName>
    <definedName name="iostl">'IPA Detail Cost'!$G$75</definedName>
    <definedName name="iostm">'IPA Detail Cost'!$H$75</definedName>
    <definedName name="iostt">'IPA Detail Cost'!$I$75</definedName>
    <definedName name="iotth">'IPA Detail Cost'!$F$93</definedName>
    <definedName name="iottl">'IPA Detail Cost'!$G$93</definedName>
    <definedName name="iottm">'IPA Detail Cost'!$H$93</definedName>
    <definedName name="iottt">'IPA Detail Cost'!$I$93</definedName>
    <definedName name="mccsh">'IPA Detail Cost'!$J$40</definedName>
    <definedName name="mccsl">'IPA Detail Cost'!$K$40</definedName>
    <definedName name="mcmsh">'IPA Detail Cost'!$J$42</definedName>
    <definedName name="mcmsl">'IPA Detail Cost'!$K$42</definedName>
    <definedName name="mcmst">'IPA Detail Cost'!$M$42</definedName>
    <definedName name="mcpch">'IPA Detail Cost'!$J$41</definedName>
    <definedName name="mcpcl">'IPA Detail Cost'!$K$41</definedName>
    <definedName name="mcpmh">'IPA Detail Cost'!$J$39</definedName>
    <definedName name="mcpml">'IPA Detail Cost'!$K$39</definedName>
    <definedName name="mctth">'IPA Detail Cost'!$J$43</definedName>
    <definedName name="mcttt">'IPA Detail Cost'!$M$43</definedName>
    <definedName name="mocsh">'IPA Detail Cost'!$F$40</definedName>
    <definedName name="mocsl">'IPA Detail Cost'!$G$40</definedName>
    <definedName name="momsh">'IPA Detail Cost'!$F$42</definedName>
    <definedName name="momsl">'IPA Detail Cost'!$G$42</definedName>
    <definedName name="momst">'IPA Detail Cost'!$I$42</definedName>
    <definedName name="mopch">'IPA Detail Cost'!$F$41</definedName>
    <definedName name="mopcl">'IPA Detail Cost'!$G$41</definedName>
    <definedName name="mopmh">'IPA Detail Cost'!$F$39</definedName>
    <definedName name="mopml">'IPA Detail Cost'!$G$39</definedName>
    <definedName name="motth">'IPA Detail Cost'!$F$43</definedName>
    <definedName name="mottt">'IPA Detail Cost'!$I$43</definedName>
    <definedName name="ocblh">'IPA Detail Cost'!$J$99</definedName>
    <definedName name="ocbll">'IPA Detail Cost'!$K$99</definedName>
    <definedName name="ocblm">'IPA Detail Cost'!$L$99</definedName>
    <definedName name="ocblt">'IPA Detail Cost'!$M$99</definedName>
    <definedName name="occoh">'IPA Detail Cost'!$J$97</definedName>
    <definedName name="occol">'IPA Detail Cost'!$K$97</definedName>
    <definedName name="occom">'IPA Detail Cost'!$L$97</definedName>
    <definedName name="occot">'IPA Detail Cost'!$M$97</definedName>
    <definedName name="occsh">'IPA Detail Cost'!$J$96</definedName>
    <definedName name="occsl">'IPA Detail Cost'!$K$96</definedName>
    <definedName name="occsm">'IPA Detail Cost'!$L$96</definedName>
    <definedName name="occst">'IPA Detail Cost'!$M$96</definedName>
    <definedName name="ocefm">'IPA Detail Cost'!$L$102</definedName>
    <definedName name="ocelh">'IPA Detail Cost'!$J$100</definedName>
    <definedName name="ocell">'IPA Detail Cost'!$K$100</definedName>
    <definedName name="ocemm">'IPA Detail Cost'!$L$101</definedName>
    <definedName name="oceom">'IPA Detail Cost'!$L$103</definedName>
    <definedName name="ocett">'IPA Detail Cost'!$M$104</definedName>
    <definedName name="oclbm">'IPA Detail Cost'!$L$109</definedName>
    <definedName name="oclem">'IPA Detail Cost'!$L$108</definedName>
    <definedName name="ocllh">'IPA Detail Cost'!$J$107</definedName>
    <definedName name="oclll">'IPA Detail Cost'!$K$107</definedName>
    <definedName name="ocltt">'IPA Detail Cost'!$M$110</definedName>
    <definedName name="ocpah">'IPA Detail Cost'!$J$106</definedName>
    <definedName name="ocpal">'IPA Detail Cost'!$K$106</definedName>
    <definedName name="ocpam">'IPA Detail Cost'!$L$106</definedName>
    <definedName name="ocpat">'IPA Detail Cost'!$M$106</definedName>
    <definedName name="ocpbm">'IPA Detail Cost'!$L$113</definedName>
    <definedName name="ocpem">'IPA Detail Cost'!$L$112</definedName>
    <definedName name="ocpfh">'IPA Detail Cost'!$J$115</definedName>
    <definedName name="ocpfl">'IPA Detail Cost'!$K$115</definedName>
    <definedName name="ocpfm">'IPA Detail Cost'!$L$115</definedName>
    <definedName name="ocpft">'IPA Detail Cost'!$M$115</definedName>
    <definedName name="ocpih">'IPA Detail Cost'!$J$105</definedName>
    <definedName name="ocpil">'IPA Detail Cost'!$K$105</definedName>
    <definedName name="ocpim">'IPA Detail Cost'!$L$105</definedName>
    <definedName name="ocpit">'IPA Detail Cost'!$M$105</definedName>
    <definedName name="ocplh">'IPA Detail Cost'!$J$111</definedName>
    <definedName name="ocpll">'IPA Detail Cost'!$K$111</definedName>
    <definedName name="ocplt">'IPA Detail Cost'!$M$114</definedName>
    <definedName name="ocsth">'IPA Detail Cost'!$J$98</definedName>
    <definedName name="ocstl">'IPA Detail Cost'!$K$98</definedName>
    <definedName name="ocstm">'IPA Detail Cost'!$L$98</definedName>
    <definedName name="ocstt">'IPA Detail Cost'!$M$98</definedName>
    <definedName name="octth">'IPA Detail Cost'!$J$116</definedName>
    <definedName name="octtl">'IPA Detail Cost'!$K$116</definedName>
    <definedName name="octtm">'IPA Detail Cost'!$L$116</definedName>
    <definedName name="octtt">'IPA Detail Cost'!$M$116</definedName>
    <definedName name="ooblh">'IPA Detail Cost'!$F$99</definedName>
    <definedName name="oobll">'IPA Detail Cost'!$G$99</definedName>
    <definedName name="ooblm">'IPA Detail Cost'!$H$99</definedName>
    <definedName name="ooblt">'IPA Detail Cost'!$I$99</definedName>
    <definedName name="oocoh">'IPA Detail Cost'!$F$97</definedName>
    <definedName name="oocol">'IPA Detail Cost'!$G$97</definedName>
    <definedName name="oocom">'IPA Detail Cost'!$H$97</definedName>
    <definedName name="oocot">'IPA Detail Cost'!$I$97</definedName>
    <definedName name="oocsh">'IPA Detail Cost'!$F$96</definedName>
    <definedName name="oocsl">'IPA Detail Cost'!$G$96</definedName>
    <definedName name="oocsm">'IPA Detail Cost'!$H$96</definedName>
    <definedName name="oocst">'IPA Detail Cost'!$I$96</definedName>
    <definedName name="ooefm">'IPA Detail Cost'!$H$102</definedName>
    <definedName name="ooelh">'IPA Detail Cost'!$F$100</definedName>
    <definedName name="ooell">'IPA Detail Cost'!$G$100</definedName>
    <definedName name="ooemm">'IPA Detail Cost'!$H$101</definedName>
    <definedName name="ooeom">'IPA Detail Cost'!$H$103</definedName>
    <definedName name="ooett">'IPA Detail Cost'!$I$104</definedName>
    <definedName name="oolbm">'IPA Detail Cost'!$H$109</definedName>
    <definedName name="oolem">'IPA Detail Cost'!$H$108</definedName>
    <definedName name="oollh">'IPA Detail Cost'!$F$107</definedName>
    <definedName name="oolll">'IPA Detail Cost'!$G$107</definedName>
    <definedName name="ooltt">'IPA Detail Cost'!$I$110</definedName>
    <definedName name="oopah">'IPA Detail Cost'!$F$106</definedName>
    <definedName name="oopal">'IPA Detail Cost'!$G$106</definedName>
    <definedName name="oopam">'IPA Detail Cost'!$H$106</definedName>
    <definedName name="oopat">'IPA Detail Cost'!$I$106</definedName>
    <definedName name="oopbm">'IPA Detail Cost'!$H$113</definedName>
    <definedName name="oopem">'IPA Detail Cost'!$H$112</definedName>
    <definedName name="oopfh">'IPA Detail Cost'!$F$115</definedName>
    <definedName name="oopfl">'IPA Detail Cost'!$G$115</definedName>
    <definedName name="oopfm">'IPA Detail Cost'!$H$115</definedName>
    <definedName name="oopft">'IPA Detail Cost'!$I$115</definedName>
    <definedName name="oopih">'IPA Detail Cost'!$F$105</definedName>
    <definedName name="oopil">'IPA Detail Cost'!$G$105</definedName>
    <definedName name="oopim">'IPA Detail Cost'!$H$105</definedName>
    <definedName name="oopit">'IPA Detail Cost'!$I$105</definedName>
    <definedName name="ooplh">'IPA Detail Cost'!$F$111</definedName>
    <definedName name="oopll">'IPA Detail Cost'!$G$111</definedName>
    <definedName name="ooplt">'IPA Detail Cost'!$I$114</definedName>
    <definedName name="oosth">'IPA Detail Cost'!$F$98</definedName>
    <definedName name="oostl">'IPA Detail Cost'!$G$98</definedName>
    <definedName name="oostm">'IPA Detail Cost'!$H$98</definedName>
    <definedName name="oostt">'IPA Detail Cost'!$I$98</definedName>
    <definedName name="ootth">'IPA Detail Cost'!$F$116</definedName>
    <definedName name="oottl">'IPA Detail Cost'!$G$116</definedName>
    <definedName name="oottm">'IPA Detail Cost'!$H$116</definedName>
    <definedName name="oottt">'IPA Detail Cost'!$I$116</definedName>
    <definedName name="otth">'IPA Detail Cost'!$F$118</definedName>
    <definedName name="pctexp">'IPA Detail Cost'!$J$13</definedName>
    <definedName name="_xlnm.Print_Area" localSheetId="1">'IPA Metrics'!$A$1:$H$351</definedName>
    <definedName name="qibl">'IPA Detail Cost'!$F$169</definedName>
    <definedName name="qico">'IPA Detail Cost'!$F$167</definedName>
    <definedName name="qielc">'IPA Detail Cost'!$G$159</definedName>
    <definedName name="qiell">'IPA Detail Cost'!$F$174</definedName>
    <definedName name="qiewn">'IPA Detail Cost'!$G$150</definedName>
    <definedName name="qiini">'IPA Detail Cost'!$G$160</definedName>
    <definedName name="qiinn">'IPA Detail Cost'!$G$161</definedName>
    <definedName name="qipa">'IPA Detail Cost'!$F$173</definedName>
    <definedName name="qipil">'IPA Detail Cost'!$F$170</definedName>
    <definedName name="qipiw">'IPA Detail Cost'!$F$171</definedName>
    <definedName name="qist">'IPA Detail Cost'!$F$168</definedName>
    <definedName name="qobl">'IPA Detail Cost'!$G$169</definedName>
    <definedName name="qoco">'IPA Detail Cost'!$G$167</definedName>
    <definedName name="qoelc">'IPA Detail Cost'!$H$159</definedName>
    <definedName name="qoell">'IPA Detail Cost'!$G$174</definedName>
    <definedName name="qoewa">'IPA Detail Cost'!$H$151</definedName>
    <definedName name="qoewn">'IPA Detail Cost'!$H$150</definedName>
    <definedName name="qoini">'IPA Detail Cost'!$H$160</definedName>
    <definedName name="qoinn">'IPA Detail Cost'!$H$161</definedName>
    <definedName name="qopa">'IPA Detail Cost'!$G$173</definedName>
    <definedName name="qopil">'IPA Detail Cost'!$G$170</definedName>
    <definedName name="qopiw">'IPA Detail Cost'!$G$171</definedName>
    <definedName name="qost">'IPA Detail Cost'!$G$168</definedName>
    <definedName name="spec">'IPA Detail Cost'!$M$136</definedName>
    <definedName name="tstp">'IPA Detail Cost'!$M$138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<sst xmlns="http://schemas.openxmlformats.org/spreadsheetml/2006/main" count="331" uniqueCount="303">
  <si>
    <t>Detailed and Unit Cost Metrics</t>
  </si>
  <si>
    <t>IPA Metrics Report</t>
  </si>
  <si>
    <t>Project Title:</t>
  </si>
  <si>
    <t>&lt;#ProjectTitle&gt;</t>
  </si>
  <si>
    <t>Project Name:</t>
  </si>
  <si>
    <t>&lt;#ProjectName&gt;</t>
  </si>
  <si>
    <t>Scenario Name:</t>
  </si>
  <si>
    <t>&lt;#ScenarioName&gt;</t>
  </si>
  <si>
    <t>Project Location:</t>
  </si>
  <si>
    <t>&lt;#ProjectLocation&gt;</t>
  </si>
  <si>
    <t>Currency:</t>
  </si>
  <si>
    <t>&lt;#Currency&gt;</t>
  </si>
  <si>
    <t>Prep. By:</t>
  </si>
  <si>
    <t>&lt;#PreparedBy&gt;</t>
  </si>
  <si>
    <t>Estimate Date:</t>
  </si>
  <si>
    <t>&lt;#EstimateDate&gt;</t>
  </si>
  <si>
    <t>Est. Class:</t>
  </si>
  <si>
    <t>&lt;#EstimateClass&gt;</t>
  </si>
  <si>
    <t>Job No:</t>
  </si>
  <si>
    <t>&lt;#JobNumber&gt;</t>
  </si>
  <si>
    <t xml:space="preserve">Based on the data provided in the Detailed Cost Form by the Project Team the following metrics have been obtained. 
[Run simultaneously with 'IPA Detail Cost' report]</t>
  </si>
  <si>
    <t>Level 1</t>
  </si>
  <si>
    <t>Metric</t>
  </si>
  <si>
    <t>Value</t>
  </si>
  <si>
    <t>Project Management $ / Total Project Costs $</t>
  </si>
  <si>
    <t>Engineering $ / Total Project Costs $</t>
  </si>
  <si>
    <t>Construction Indirect $ / Total Project Costs $</t>
  </si>
  <si>
    <t>Construction Indirect $ / Total Construction Costs $</t>
  </si>
  <si>
    <t>Total Construction $ / Total Project Costs $</t>
  </si>
  <si>
    <t>Startup $ / Total Project Costs $</t>
  </si>
  <si>
    <t>Special $ / Total Project Costs $</t>
  </si>
  <si>
    <t>Project Definition $ / Total Project Costs $</t>
  </si>
  <si>
    <t>Project Definition $ / Total Office Costs $</t>
  </si>
  <si>
    <t>(Proj.Def. + Proj.Mgmt. + Detailed Eng.) $ / Total Project Costs $</t>
  </si>
  <si>
    <t>Construction Management $ / Total Project Costs $</t>
  </si>
  <si>
    <t>Equipment $ / Total Project Costs $</t>
  </si>
  <si>
    <t>Bulk Material $ / Total Project Costs $</t>
  </si>
  <si>
    <t>Construction Labor $ / Total Project Costs $</t>
  </si>
  <si>
    <t>Other Construction Related $ / Total Project Costs $</t>
  </si>
  <si>
    <t>Other Construction Related $ / Construction Labor $</t>
  </si>
  <si>
    <t>Total Field Labor $ / Total Project Costs $</t>
  </si>
  <si>
    <t>Total Field $ / Total Project Costs $</t>
  </si>
  <si>
    <t>Total Project Costs $ / Equipment $</t>
  </si>
  <si>
    <t>Owner Ratio</t>
  </si>
  <si>
    <t>Owner Total $ / Total Project $</t>
  </si>
  <si>
    <t>Owner Office $ / Total Project $</t>
  </si>
  <si>
    <t>Owner Office $ / Total Office $</t>
  </si>
  <si>
    <t>Owner Office $ / Total Office $ + Cons. Management $</t>
  </si>
  <si>
    <t>Owner Cons. Management $ / Total Project $</t>
  </si>
  <si>
    <t>Owner Cons. Management $ / Total Cons. Management $</t>
  </si>
  <si>
    <t>Owner Cons. Management $ / Total Office $ + Cons. Management $</t>
  </si>
  <si>
    <t>Owner Office + Cons. Management $ / Total Project $</t>
  </si>
  <si>
    <t>Owner Office + Cons. Management $ / Total Office + Cons. Management $</t>
  </si>
  <si>
    <t>Owner Construction $ / Total Construction $</t>
  </si>
  <si>
    <t>Owner Field Labor $ / Total field labor $</t>
  </si>
  <si>
    <t>Owner Equipment $ / Total Equipment $</t>
  </si>
  <si>
    <t xml:space="preserve">Owner Bulk Material $ / Total Bulk Material $ </t>
  </si>
  <si>
    <t>Discipline Ratio</t>
  </si>
  <si>
    <t>Project &amp; Engineering Management $ / Total Project Management $</t>
  </si>
  <si>
    <t>Project &amp; Engineering Management $ / Total Project $</t>
  </si>
  <si>
    <t>Cost/Schedule/Estimating/Acct./Clerical $ / Total Project Management $</t>
  </si>
  <si>
    <t>Cost/Schedule/Estimating/Acct./Clerical $ / Total Project $</t>
  </si>
  <si>
    <t>Procurement and Contract Admin. $ / Total Project Management $</t>
  </si>
  <si>
    <t>Procurement and Contract Admin. $ / Total Project $</t>
  </si>
  <si>
    <t>Misc. Service and PM Expenses $ / Total Project Management $</t>
  </si>
  <si>
    <t>Misc. Service and PM Expenses $ / Total Project $</t>
  </si>
  <si>
    <t>Civil+Structural+Architectural Engr. &amp; Des. $ / Total Engineering $</t>
  </si>
  <si>
    <t>Civil+Structural+Architectural Engr. &amp; Des. $ / Total Project $</t>
  </si>
  <si>
    <t>Piping Engineering &amp; Design $ / Total Engineering $</t>
  </si>
  <si>
    <t>Piping Engineering &amp; Design $ / Total Project $</t>
  </si>
  <si>
    <t>Mechanical Engineering &amp; Design $ / Total Engineering $</t>
  </si>
  <si>
    <t>Mechanical Engineering &amp; Design $ / Total Project $</t>
  </si>
  <si>
    <t>Process Engineering &amp; Design $ / Total Engineering $</t>
  </si>
  <si>
    <t>Process Engineering &amp; Design $ / Total Project $</t>
  </si>
  <si>
    <t>Electrical Engineering &amp; Design $ / Total Engineering $</t>
  </si>
  <si>
    <t>Electrical Engineering &amp; Design $ / Total Project $</t>
  </si>
  <si>
    <t>Process Control Engineering &amp; Design $ / Total Engineering $</t>
  </si>
  <si>
    <t>Process Control Engineering &amp; Design $ / Total Project $</t>
  </si>
  <si>
    <t>(Electrical + Process Ctrl.) Engineering &amp; Design $ / Total Engineering $</t>
  </si>
  <si>
    <t>(Electrical + Process Ctrl.) Engineering &amp; Design $ / Total Project $</t>
  </si>
  <si>
    <t>Misc. Services and Eng. Expenses $ / Total Engineering $</t>
  </si>
  <si>
    <t>Misc. Services and Eng. Expenses $ / Total Project $</t>
  </si>
  <si>
    <t>Construction Management $ / Total Construction Indirects $</t>
  </si>
  <si>
    <t>Construction Management $ / Total Project $</t>
  </si>
  <si>
    <t>Construction Equipment $ / Total Construction Indirects $</t>
  </si>
  <si>
    <t>Construction Equipment $ / Total Project $</t>
  </si>
  <si>
    <t>Temporary Facilities, Services &amp; Utilities $ / Total Construction Indirects $</t>
  </si>
  <si>
    <t>Temporary Facilities, Services &amp; Utilities $ / Total Project $</t>
  </si>
  <si>
    <t>Civil &amp; Site Construction $ / Total Construction $</t>
  </si>
  <si>
    <t>Civil &amp; Site Construction $ / Total Project $</t>
  </si>
  <si>
    <t>Concrete Construction $ / Total Construction $</t>
  </si>
  <si>
    <t>Concrete Construction $ / Total Project $</t>
  </si>
  <si>
    <t>Steel Construction $ / Total Construction $</t>
  </si>
  <si>
    <t>Steel Construction $ / Total Project $</t>
  </si>
  <si>
    <t>Building Construction $ / Total Construction $</t>
  </si>
  <si>
    <t>Building Construction $ / Total Project $</t>
  </si>
  <si>
    <t>C/S/A Construction $ / Total Construction $</t>
  </si>
  <si>
    <t>C/S/A Construction $ / Total Project $</t>
  </si>
  <si>
    <t>Equipment Construction $ / Total Construction $</t>
  </si>
  <si>
    <t>Equipment Construction $ / Total Project $</t>
  </si>
  <si>
    <t>Piping Construction $ / Total Construction $</t>
  </si>
  <si>
    <t>Piping Construction $ / Total Project $</t>
  </si>
  <si>
    <t>Process Air Construction $ / Total Construction $</t>
  </si>
  <si>
    <t>Process Air Construction $ / Total Project $</t>
  </si>
  <si>
    <t>Electrical Construction $ / Total Construction $</t>
  </si>
  <si>
    <t>Electrical Construction $ / Total Project $</t>
  </si>
  <si>
    <t>Process Control Construction $ / Total Construction $</t>
  </si>
  <si>
    <t>Process Control Construction $ / Total Project $</t>
  </si>
  <si>
    <t>(Electrical + Process Control) Construction $ / Total Construction $</t>
  </si>
  <si>
    <t>(Electrical + Process Control) Construction $ / Total Project $</t>
  </si>
  <si>
    <t>Coatings Construction $ / Total Construction $</t>
  </si>
  <si>
    <t>Coatings Construction $ / Total Project $</t>
  </si>
  <si>
    <t>Discipline Ratio for Construction Labor</t>
  </si>
  <si>
    <t>Civil and Site Construction Labor $ / Total Construction Labor $</t>
  </si>
  <si>
    <t>Concrete Construction Labor $ / Total Construction Labor $</t>
  </si>
  <si>
    <t>Steel Construction Labor $ / Total Construction Labor $</t>
  </si>
  <si>
    <t>Building Construction Labor $ / Total Construction Labor $</t>
  </si>
  <si>
    <t>C/S/A Construction Labor $ / Total Construction Labor $</t>
  </si>
  <si>
    <t>Equipment Construction Labor $ / Total Construction Labor $</t>
  </si>
  <si>
    <t>Piping Construction Labor $ / Total Construction Labor $</t>
  </si>
  <si>
    <t>Process Air Construction Labor $ / Total Construction Labor $</t>
  </si>
  <si>
    <t>Electrical Construction Labor $ / Total Construction Labor $</t>
  </si>
  <si>
    <t>Process Control Construction Labor $/ Total Construction Labor $</t>
  </si>
  <si>
    <t>(Electrical + Process Control) Construction Labor $ / Total Construction Labor $</t>
  </si>
  <si>
    <t>Coatings Construction Labor $ / Total Construction Labor $</t>
  </si>
  <si>
    <t>Construction Management $ / Total Construction Labor $</t>
  </si>
  <si>
    <t>Construction Equipment $ / Total Construction Labor $</t>
  </si>
  <si>
    <t>Temporary Facilities, Services &amp; Utilities $ / Total Construction Labor $</t>
  </si>
  <si>
    <t>Construction Indirects (CM + CONSTR EQMT+TEMP FAC) $ / Total Construction Labor $</t>
  </si>
  <si>
    <t>Labor / Material Ratio</t>
  </si>
  <si>
    <t>Total Construction Labor $ / Bulk Construction Material $</t>
  </si>
  <si>
    <t>Total Construction Labor $ / Total Construction Material $ (incl. EQP)</t>
  </si>
  <si>
    <t>Civil Construction Labor $ / Civil Construction Material $</t>
  </si>
  <si>
    <t>Concrete Construction Labor $ / Concrete Construction Material $</t>
  </si>
  <si>
    <t>Steel Construction Labor $ / Steel Construction Material $</t>
  </si>
  <si>
    <t>Building Construction Labor $ / Building Construction Material $</t>
  </si>
  <si>
    <t>Equipment Setting Construction Labor $ / Equip. Construction Material $</t>
  </si>
  <si>
    <t>Piping Construction Labor $ / Piping Construction Material $</t>
  </si>
  <si>
    <t>Process Air (Duct) Cons. Labor $ / Process Air Construction Material $</t>
  </si>
  <si>
    <t>Electrical Construction Labor $ / Elec. Construction Material $ (incl EQP)</t>
  </si>
  <si>
    <t xml:space="preserve">Electrical Construction Labor $ / Electrical Construction Bulk Material $ </t>
  </si>
  <si>
    <t>Process Control Cons. Labor $ / Process Control Cons. Matl. $ (incl EQP)</t>
  </si>
  <si>
    <t>Process Control Cons. Labor $ / Process Control Cons. Material $</t>
  </si>
  <si>
    <t>Coating Construction Labor $ / Coating Construction Material $</t>
  </si>
  <si>
    <t>Engineering / Construction Ratio</t>
  </si>
  <si>
    <t>Total Engineering &amp; Design $ / Total Construction $</t>
  </si>
  <si>
    <t>CSA Engineering &amp; Design $ / CSA Construction $</t>
  </si>
  <si>
    <t>Piping Engineering and Design $ / Piping Construction $</t>
  </si>
  <si>
    <t>Mechanical Engineering &amp; Design $ / Eqp. Purchase and Installation $</t>
  </si>
  <si>
    <t>Machine &amp; Chem. Process Engr. $ / Piping, Electrical, Controls Cons. $</t>
  </si>
  <si>
    <t>Electrical Engr. &amp; Design $ / Electrical Construction $</t>
  </si>
  <si>
    <t>Process Control Engr. &amp; Design $ / Process Control Cons. $</t>
  </si>
  <si>
    <t>Electrical &amp; Control Engr. &amp; Design $ / Electrical &amp; Control Cons. $</t>
  </si>
  <si>
    <t>Engineering Hours / Material Quantity</t>
  </si>
  <si>
    <t>Total Engr. Hours / Equipment Count</t>
  </si>
  <si>
    <t>Total Engr. Hours / Feet of Pipe</t>
  </si>
  <si>
    <t>CSA Engr. &amp; Design Hours / Equipment Count</t>
  </si>
  <si>
    <t>CSA Engr. &amp; Design Hours / Tons of Structural Steel</t>
  </si>
  <si>
    <t>CSA Engr. &amp; Design Hours / Feet of Pipe</t>
  </si>
  <si>
    <t>Mechanical Engr. &amp; Design Hours / Equipment Count</t>
  </si>
  <si>
    <t>Mechanical Engr. &amp; Design Hours / Feet of Pipe</t>
  </si>
  <si>
    <t>Piping Engr. &amp; Design Hours / Equipment Count</t>
  </si>
  <si>
    <t>Piping Engr. &amp; Design Hours / Feet of Pipe</t>
  </si>
  <si>
    <t>Piping Engr. &amp; Design Hours / Pounds of Pipe</t>
  </si>
  <si>
    <t>Machine &amp; Chemical Engr. Hours / Equipment Count</t>
  </si>
  <si>
    <t>Machine &amp; Chemical Engr. Hours / Feet of Pipe</t>
  </si>
  <si>
    <t>Electrical Engr. &amp; Design Hours / Equipment Count</t>
  </si>
  <si>
    <t>Electrical Engr. &amp; Design Hours / Feet of Raceway</t>
  </si>
  <si>
    <t>Electrical Engr. &amp; Design Hours / Installed KVA</t>
  </si>
  <si>
    <t>Process Control Engr. &amp; Design Hours / Equipment Count</t>
  </si>
  <si>
    <t>Process Control Engr. &amp; Design Hours / Number of Instruments</t>
  </si>
  <si>
    <t>Process Control Engr. &amp; Design Hours / Number of I/O</t>
  </si>
  <si>
    <t>Electrical &amp; Control (E&amp;I) Engr. &amp; Design Hours / Equipment Count</t>
  </si>
  <si>
    <t>Electrical &amp; Control (E&amp;I) Engr. &amp; Design Hours / Feet of Pipe</t>
  </si>
  <si>
    <t>Misc. Engineering &amp; Design Hours / Equipment Count</t>
  </si>
  <si>
    <t>Misc. Engineering &amp; Design Hours / Feet of Pipe</t>
  </si>
  <si>
    <t>Labor Rates</t>
  </si>
  <si>
    <t>OWNER</t>
  </si>
  <si>
    <t>Owner - Overall Project Management (all disciplines) $ / Hour</t>
  </si>
  <si>
    <t>Owner - Project and Engr. Management Discipline Labor $ / Hour</t>
  </si>
  <si>
    <t>Owner - Project Management Support Disciplines $ / Hour</t>
  </si>
  <si>
    <t>Owner - Overall Engr. And Design (all disciplines) $ / Hour</t>
  </si>
  <si>
    <t>Owner - Machine and Chemical Process Engineering $ / Hour</t>
  </si>
  <si>
    <t>Owner - All Engineering and Design Principles Except Process $ / Hour</t>
  </si>
  <si>
    <t>Owner - Construction Management Labor $ / Hour</t>
  </si>
  <si>
    <t>Owner - Indirect Construction Support Labor $ / Hour</t>
  </si>
  <si>
    <t>Owner - Overall Construction (all disciplines) Labor $ /Hour</t>
  </si>
  <si>
    <t>CONTRACTOR</t>
  </si>
  <si>
    <t>Contractor - Overall Project Management (all disciplines) $ / Hour</t>
  </si>
  <si>
    <t>Contractor - Project &amp; Engr. Management Discipline Labor $ / Hour</t>
  </si>
  <si>
    <t>Contractor - Project Management Support Discilines $ / Hour</t>
  </si>
  <si>
    <t>Contractor - Overall Engineering and Design (all disciplines) $ / Hour</t>
  </si>
  <si>
    <t xml:space="preserve">Contractor - Machine and Chemical Process Engr $  / Hour</t>
  </si>
  <si>
    <t>Contractor - All Engineering and Design Principles Except Process $ / Hour</t>
  </si>
  <si>
    <t>Contractor - Construction Management Labor $ / Hour</t>
  </si>
  <si>
    <t>Contractor - Indirect Construction Support Labor $ / Hour</t>
  </si>
  <si>
    <t>Contractor - Overall Construction (all disciplines) Labor $ /Hour</t>
  </si>
  <si>
    <t>Material $ / Equipment $</t>
  </si>
  <si>
    <t>Total Material (excluding process equipment) $ / Equipment $</t>
  </si>
  <si>
    <t>Civil and Site Preparation Material $ / Equipment $</t>
  </si>
  <si>
    <t>Concrete Material $ / Equipment $</t>
  </si>
  <si>
    <t>Steel Structure Material $ / Equipment $</t>
  </si>
  <si>
    <t>Piping Material $ / Equipment $</t>
  </si>
  <si>
    <t>Electrical Bulk Material (excludes electrical eqp.) $ / Equipment $</t>
  </si>
  <si>
    <t>Electrical Equipment (excludes electrical bulks) $ / Equipment $</t>
  </si>
  <si>
    <t>Electrical Material (bulks + electrical equipment) $ / Equipment $</t>
  </si>
  <si>
    <t>Process Control Bulk Matl. (excluding control equipment) $ / Equipment $</t>
  </si>
  <si>
    <t>Process Control Equipment (excluding bulk materials) $ / Equipment $</t>
  </si>
  <si>
    <t>Process Control Material (bulks+equipment) $ / Equipment $</t>
  </si>
  <si>
    <t>Coatings Material (primarily paint and insulation) $ / Equipment $</t>
  </si>
  <si>
    <t>Hours / Materials $</t>
  </si>
  <si>
    <t>Construction Hours / $100 Construction Bulk Material (excl. Equipment)</t>
  </si>
  <si>
    <t>Construction Hours / $100 Construction Bulk Material (incl. Equipment)</t>
  </si>
  <si>
    <t>Civil &amp; Site Hours / $100 Civil &amp; Site Material</t>
  </si>
  <si>
    <t>Concrete Hours / $100 Concrete Material</t>
  </si>
  <si>
    <t>Steel Hours / $100 Steel Material</t>
  </si>
  <si>
    <t>Building Hours / $100 Building Material</t>
  </si>
  <si>
    <t>Combined Civil-Structural-Architectural Hours / $100 CSA Material</t>
  </si>
  <si>
    <t>Equipment Hours / $100 Equipment Material</t>
  </si>
  <si>
    <t>Piping Hours / $100 Piping Material</t>
  </si>
  <si>
    <t>Process Air (Duct) Hours / $100 Process Air Material</t>
  </si>
  <si>
    <t>Electrical Hours/ $100 Electrical Material (incl. Equipment)</t>
  </si>
  <si>
    <t>Electrical Hours/ $100 Electrical Material (excl. Equipment)</t>
  </si>
  <si>
    <t>Process Control Hours / $100 Process Control Material (incl. Equipment)</t>
  </si>
  <si>
    <t>Process Control Hours / $100 Process Control Material (excl. Equipment)</t>
  </si>
  <si>
    <t>Combined Electrical + Control Hours / $100 Material (incl. Equipment)</t>
  </si>
  <si>
    <t>Coating Hours / $100 Coatings Material</t>
  </si>
  <si>
    <t>Unit Hours (i.e. Construction Productivity)</t>
  </si>
  <si>
    <t>Site Preparation Hours / Number of Pieces of Equipment</t>
  </si>
  <si>
    <t>Site Preparation Hours / Tons of Steel</t>
  </si>
  <si>
    <t>Concrete Hours / Cubic Yards of Concrete</t>
  </si>
  <si>
    <t>Steel Hours / Ton of Steel</t>
  </si>
  <si>
    <t>Building Hours / Building Square Feet</t>
  </si>
  <si>
    <t>Equipment Hours / Number of Pieces of Equipment</t>
  </si>
  <si>
    <t>Piping Hours / Linear Feet of Pipe</t>
  </si>
  <si>
    <t>Piping Hours / Pound of Pipe</t>
  </si>
  <si>
    <t>Process Air (Duct / Sheetmetal) Hours / Pounds of Duct</t>
  </si>
  <si>
    <t>Electrical Hours / Feet of Raceway (i.e. conduit, tray, etc.)</t>
  </si>
  <si>
    <t>Electrical Hours / Installed KVA Load</t>
  </si>
  <si>
    <t>Process Control Hours / I/O Count</t>
  </si>
  <si>
    <t>Process Control Hours / Installed Instrument Count</t>
  </si>
  <si>
    <t>Coatings Hours / Linear Feet of Pipe</t>
  </si>
  <si>
    <t>Unit Material ($)</t>
  </si>
  <si>
    <t>Site Preparation Material Cost / Piece of Equipment</t>
  </si>
  <si>
    <t>Site Preparation Material Cost / Ton of Steel</t>
  </si>
  <si>
    <t>Concrete Material Cost / Cubic Yards of Concrete</t>
  </si>
  <si>
    <t>Steel Material Cost / Ton of Steel</t>
  </si>
  <si>
    <t>Building Material Cost / Building Square Feet</t>
  </si>
  <si>
    <t>Equipment Material Cost / Piece of Equipment</t>
  </si>
  <si>
    <t>Piping Material Cost / Linear Feet of Pipe</t>
  </si>
  <si>
    <t>Piping Material Cost / Pound of Pipe</t>
  </si>
  <si>
    <t>Process Air (Duct) Material Cost / Pound of Duct</t>
  </si>
  <si>
    <t>Electrical Bulk Material Cost / Feet of Raceway (excl. Elec Eqp.)</t>
  </si>
  <si>
    <t>Electrical Equipment Material Cost / Installed KVA</t>
  </si>
  <si>
    <t>Electrical Equipment Material Cost / Piece of Process Equipment</t>
  </si>
  <si>
    <t>Process Control Bulk Material Cost / Installed Instrument Count</t>
  </si>
  <si>
    <t>Process Control Equipment Cost / I/O Count</t>
  </si>
  <si>
    <t>Process Control Equipment Cost / Piece of Process Equipment</t>
  </si>
  <si>
    <t>Process Control Bulk &amp; Equipment Cost / Installed Instrument</t>
  </si>
  <si>
    <t>Coatings Bulk Material Cost / Linear Feet of Pipe</t>
  </si>
  <si>
    <t>Unit Total ($)</t>
  </si>
  <si>
    <t>Site Preparation Construction Cost / Piece of Equipment</t>
  </si>
  <si>
    <t>Site Preparation Construction Cost / Tons of Steel</t>
  </si>
  <si>
    <t>Concrete Construction Cost / Cubic Yards of Concrete</t>
  </si>
  <si>
    <t>Steel Construction Cost /Tons of Steel</t>
  </si>
  <si>
    <t>Building Construction Cost / Square Feet of Building Area</t>
  </si>
  <si>
    <t>Civil/Structural/Architectural Construction Cost / Piece of Equipment</t>
  </si>
  <si>
    <t>Total Equipment Cost / Piece of Equipment</t>
  </si>
  <si>
    <t>Piping Construction Cost / Linear Feet of Pipe</t>
  </si>
  <si>
    <t>Piping Construction Cost / Pound of Pipe</t>
  </si>
  <si>
    <t>Electrical Construction Cost (excl. Equipment)/ Feet of Raceway</t>
  </si>
  <si>
    <t>Process Control Construction Cost / I/O Count</t>
  </si>
  <si>
    <t>Process Control Construction Cost / Installed Instrument</t>
  </si>
  <si>
    <t>Process Control Construction Cost (excl. Eqp.) / Installed Instrument</t>
  </si>
  <si>
    <t>Coatings Construction Cost / Linear Feet of Pipe</t>
  </si>
  <si>
    <t>Material Quantity Ratios</t>
  </si>
  <si>
    <t>Cubic Yards of Concrete / Number of Pieces of Equipment</t>
  </si>
  <si>
    <t>Cubic Yards of Concrete / Linear Feet of Pipe</t>
  </si>
  <si>
    <t>Cubic Yards of Concrete / Tons of Steel</t>
  </si>
  <si>
    <t>Tons of Structural Steel / Number of Pieces of Equipment</t>
  </si>
  <si>
    <t>Tons of Structural Steel / Linear Feet of Pipe</t>
  </si>
  <si>
    <t>Linear Feet of Pipe / Number of Pieces of Equipment</t>
  </si>
  <si>
    <t>Pounds of Pipe / Number of Pieces of Equipment</t>
  </si>
  <si>
    <t>Pounds of Pipe / Feet of Pipe</t>
  </si>
  <si>
    <t>Linear Feet of Raceway / Number of Pieces of Equipment</t>
  </si>
  <si>
    <t>Linear Feet of Raceway / Linear Feet of Piping</t>
  </si>
  <si>
    <t>Linear Feet of Raceway / Installed KVA Power Demand</t>
  </si>
  <si>
    <t>Installed KVA Power Demand / Number of Pieces of Equipment</t>
  </si>
  <si>
    <t>Number of Instruments Installed / Number of Pieces of Equipment</t>
  </si>
  <si>
    <t>Number of Instruments Installed / Linear Feet of Pipe</t>
  </si>
  <si>
    <t>Number of I/O Points / Number of Pieces of Equipment</t>
  </si>
  <si>
    <t>Number of I/O Points / Linear Feet of Pipe</t>
  </si>
  <si>
    <t>General Hours</t>
  </si>
  <si>
    <t>Total Office Hours / Total Field Hours</t>
  </si>
  <si>
    <t>Total Office Hours / Total Project Costs (MM US$'03)</t>
  </si>
  <si>
    <t>Office Hours / Number of Pieces of Equipment</t>
  </si>
  <si>
    <t>Office Hours / Feet of Pipe</t>
  </si>
  <si>
    <t>Project Management Hours / Number of Pieces of Equipment</t>
  </si>
  <si>
    <t>Project Management Hours / Feet of Pipe</t>
  </si>
  <si>
    <t>Total Field Hours / Total Project Costs (MM US$'03)</t>
  </si>
  <si>
    <t>Field Hours / Number of Pieces of Equipment</t>
  </si>
  <si>
    <t>Field Hours / Feet of Pipe</t>
  </si>
  <si>
    <t>Total Construction Management Hours / Total Craft Hours</t>
  </si>
</sst>
</file>

<file path=xl/styles.xml><?xml version="1.0" encoding="utf-8"?>
<styleSheet xmlns="http://schemas.openxmlformats.org/spreadsheetml/2006/main">
  <numFmts count="2">
    <numFmt numFmtId="164" formatCode="00000"/>
    <numFmt numFmtId="165" formatCode="0.000"/>
  </numFmts>
  <fonts count="11">
    <font>
      <sz val="10"/>
      <color auto="1"/>
      <name val="MS Sans Serif"/>
    </font>
    <font>
      <b/>
      <i/>
      <sz val="12"/>
      <color rgb="FF333399"/>
      <name val="Arial"/>
      <family val="2"/>
    </font>
    <font>
      <b/>
      <i/>
      <sz val="11"/>
      <color rgb="FF333399"/>
      <name val="Arial"/>
      <family val="2"/>
    </font>
    <font>
      <b/>
      <i/>
      <sz val="9"/>
      <color rgb="FF333399"/>
      <name val="Arial"/>
      <family val="2"/>
    </font>
    <font>
      <sz val="8"/>
      <color rgb="FF333399"/>
      <name val="Arial"/>
      <family val="2"/>
    </font>
    <font>
      <sz val="11"/>
      <color auto="1"/>
      <name val="MS Sans Serif"/>
      <family val="2"/>
    </font>
    <font>
      <sz val="9"/>
      <color auto="1"/>
      <name val="Arial"/>
      <family val="2"/>
    </font>
    <font>
      <b/>
      <sz val="12"/>
      <color auto="1"/>
      <name val="Arial"/>
      <family val="2"/>
    </font>
    <font>
      <sz val="10"/>
      <color auto="1"/>
      <name val="Arial"/>
      <family val="2"/>
    </font>
    <font>
      <sz val="10"/>
      <color auto="1"/>
      <name val="MS Sans Serif"/>
      <family val="2"/>
    </font>
    <font>
      <b/>
      <sz val="10"/>
      <color auto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</borders>
  <cellStyleXfs count="2">
    <xf fontId="0" numFmtId="0" fillId="0" borderId="0"/>
    <xf applyFont="0" applyFill="0" applyBorder="0" applyAlignment="0" applyProtection="0" fontId="9" numFmtId="40" fillId="0" borderId="0"/>
  </cellStyleXfs>
  <cellXfs count="72">
    <xf fontId="0" numFmtId="0" fillId="0" borderId="0" xfId="0"/>
    <xf applyBorder="1" fontId="0" numFmtId="0" fillId="0" borderId="1" xfId="0"/>
    <xf applyBorder="1" fontId="0" numFmtId="0" fillId="0" borderId="4" xfId="0"/>
    <xf applyFont="1" applyAlignment="1" fontId="3" numFmtId="0" fillId="0" borderId="0" xfId="0">
      <alignment horizontal="center" vertical="center"/>
    </xf>
    <xf applyFont="1" applyBorder="1" applyAlignment="1" fontId="4" numFmtId="0" fillId="0" borderId="5" xfId="0">
      <alignment horizontal="left"/>
    </xf>
    <xf applyFont="1" applyAlignment="1" fontId="4" numFmtId="0" fillId="0" borderId="0" xfId="0">
      <alignment horizontal="left"/>
    </xf>
    <xf applyBorder="1" fontId="0" numFmtId="0" fillId="0" borderId="6" xfId="0"/>
    <xf applyBorder="1" fontId="0" numFmtId="0" fillId="0" borderId="7" xfId="0"/>
    <xf applyFont="1" applyBorder="1" applyAlignment="1" fontId="3" numFmtId="0" fillId="0" borderId="7" xfId="0">
      <alignment horizontal="center" vertical="center"/>
    </xf>
    <xf applyFont="1" applyBorder="1" applyAlignment="1" fontId="5" numFmtId="0" fillId="0" borderId="7" xfId="0">
      <alignment horizontal="center" vertical="center"/>
    </xf>
    <xf applyFont="1" applyBorder="1" applyAlignment="1" fontId="5" numFmtId="0" fillId="0" borderId="8" xfId="0">
      <alignment horizontal="center" vertical="center"/>
    </xf>
    <xf applyBorder="1" fontId="0" numFmtId="0" fillId="0" borderId="0" xfId="0"/>
    <xf applyBorder="1" fontId="0" numFmtId="0" fillId="0" borderId="9" xfId="0"/>
    <xf applyBorder="1" fontId="0" numFmtId="0" fillId="0" borderId="5" xfId="0"/>
    <xf applyNumberFormat="1" applyFont="1" applyFill="1" applyBorder="1" applyAlignment="1" fontId="8" numFmtId="0" fillId="0" borderId="13" xfId="0">
      <alignment horizontal="left" wrapText="1"/>
    </xf>
    <xf applyNumberFormat="1" applyFont="1" applyFill="1" applyBorder="1" applyAlignment="1" fontId="8" numFmtId="0" fillId="0" borderId="0" xfId="0">
      <alignment horizontal="left" wrapText="1"/>
    </xf>
    <xf applyNumberFormat="1" applyFont="1" applyFill="1" applyBorder="1" applyAlignment="1" fontId="8" numFmtId="0" fillId="0" borderId="14" xfId="0">
      <alignment horizontal="left" wrapText="1"/>
    </xf>
    <xf applyNumberFormat="1" applyFont="1" applyFill="1" applyBorder="1" applyAlignment="1" fontId="8" numFmtId="165" fillId="0" borderId="13" xfId="0">
      <alignment horizontal="center" wrapText="1"/>
    </xf>
    <xf applyNumberFormat="1" applyFont="1" applyFill="1" applyBorder="1" applyAlignment="1" fontId="8" numFmtId="165" fillId="0" borderId="0" xfId="0">
      <alignment horizontal="center" wrapText="1"/>
    </xf>
    <xf applyBorder="1" fontId="0" numFmtId="0" fillId="0" borderId="17" xfId="0"/>
    <xf applyBorder="1" fontId="0" numFmtId="0" fillId="0" borderId="20" xfId="0"/>
    <xf applyFont="1" applyBorder="1" fontId="0" numFmtId="40" fillId="0" borderId="5" xfId="1"/>
    <xf applyFont="1" applyBorder="1" fontId="0" numFmtId="40" fillId="0" borderId="6" xfId="1"/>
    <xf applyFont="1" fontId="0" numFmtId="40" fillId="0" borderId="0" xfId="1"/>
    <xf applyNumberFormat="1" applyFont="1" applyFill="1" applyBorder="1" applyAlignment="1" fontId="8" numFmtId="0" fillId="0" borderId="13" xfId="0">
      <alignment horizontal="left" wrapText="1"/>
    </xf>
    <xf fontId="0" numFmtId="0" fillId="0" borderId="0" xfId="0"/>
    <xf applyBorder="1" fontId="0" numFmtId="0" fillId="0" borderId="14" xfId="0"/>
    <xf applyNumberFormat="1" applyFont="1" applyFill="1" applyBorder="1" applyAlignment="1" fontId="8" numFmtId="165" fillId="0" borderId="13" xfId="0">
      <alignment horizontal="center" wrapText="1"/>
    </xf>
    <xf applyNumberFormat="1" applyFont="1" applyFill="1" applyBorder="1" applyAlignment="1" fontId="8" numFmtId="165" fillId="0" borderId="5" xfId="0">
      <alignment horizontal="center" wrapText="1"/>
    </xf>
    <xf applyNumberFormat="1" applyFont="1" applyFill="1" applyBorder="1" applyAlignment="1" fontId="8" numFmtId="0" fillId="0" borderId="0" xfId="0">
      <alignment horizontal="left" wrapText="1"/>
    </xf>
    <xf applyNumberFormat="1" applyFont="1" applyFill="1" applyBorder="1" applyAlignment="1" fontId="8" numFmtId="0" fillId="0" borderId="14" xfId="0">
      <alignment horizontal="left" wrapText="1"/>
    </xf>
    <xf applyFont="1" applyBorder="1" applyAlignment="1" fontId="1" numFmtId="0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Font="1" applyBorder="1" applyAlignment="1" fontId="2" numFmtId="0" fillId="0" borderId="0" xfId="0">
      <alignment horizontal="center" vertical="center"/>
    </xf>
    <xf applyFont="1" applyBorder="1" applyAlignment="1" fontId="2" numFmtId="0" fillId="0" borderId="5" xfId="0">
      <alignment horizontal="center" vertical="center"/>
    </xf>
    <xf applyFont="1" applyAlignment="1" fontId="4" numFmtId="0" fillId="0" borderId="0" xfId="0">
      <alignment horizontal="left"/>
    </xf>
    <xf applyAlignment="1" fontId="0" numFmtId="0" fillId="0" borderId="0" xfId="0"/>
    <xf applyNumberFormat="1" applyFont="1" applyBorder="1" applyAlignment="1" fontId="6" numFmtId="164" fillId="0" borderId="2" xfId="0">
      <alignment horizontal="center" vertical="center" wrapText="1"/>
    </xf>
    <xf applyFont="1" applyFill="1" applyBorder="1" applyAlignment="1" fontId="7" numFmtId="0" fillId="2" borderId="10" xfId="0">
      <alignment horizontal="left" vertical="center"/>
    </xf>
    <xf applyFont="1" applyFill="1" applyBorder="1" applyAlignment="1" fontId="7" numFmtId="0" fillId="2" borderId="11" xfId="0">
      <alignment horizontal="left" vertical="center"/>
    </xf>
    <xf applyFont="1" applyFill="1" applyBorder="1" applyAlignment="1" fontId="7" numFmtId="0" fillId="2" borderId="12" xfId="0">
      <alignment horizontal="left" vertical="center"/>
    </xf>
    <xf applyNumberFormat="1" applyFont="1" applyFill="1" applyBorder="1" applyAlignment="1" fontId="7" numFmtId="0" fillId="0" borderId="7" xfId="0">
      <alignment horizontal="left" vertical="center" wrapText="1"/>
    </xf>
    <xf applyBorder="1" applyAlignment="1" fontId="0" numFmtId="0" fillId="0" borderId="7" xfId="0">
      <alignment horizontal="left" vertical="center"/>
    </xf>
    <xf applyNumberFormat="1" applyFont="1" applyFill="1" applyBorder="1" applyAlignment="1" fontId="7" numFmtId="0" fillId="0" borderId="7" xfId="0">
      <alignment horizontal="center" vertical="center" wrapText="1"/>
    </xf>
    <xf applyNumberFormat="1" applyFont="1" applyFill="1" applyBorder="1" applyAlignment="1" fontId="7" numFmtId="0" fillId="0" borderId="8" xfId="0">
      <alignment horizontal="center" vertical="center" wrapText="1"/>
    </xf>
    <xf applyNumberFormat="1" applyFont="1" applyFill="1" applyBorder="1" applyAlignment="1" fontId="8" numFmtId="0" fillId="0" borderId="15" xfId="0">
      <alignment horizontal="left" wrapText="1"/>
    </xf>
    <xf applyNumberFormat="1" applyFont="1" applyFill="1" applyBorder="1" applyAlignment="1" fontId="8" numFmtId="0" fillId="0" borderId="7" xfId="0">
      <alignment horizontal="left" wrapText="1"/>
    </xf>
    <xf applyNumberFormat="1" applyFont="1" applyFill="1" applyBorder="1" applyAlignment="1" fontId="8" numFmtId="0" fillId="0" borderId="16" xfId="0">
      <alignment horizontal="left" wrapText="1"/>
    </xf>
    <xf applyNumberFormat="1" applyFont="1" applyFill="1" applyBorder="1" applyAlignment="1" fontId="8" numFmtId="165" fillId="0" borderId="15" xfId="0">
      <alignment horizontal="center" wrapText="1"/>
    </xf>
    <xf applyNumberFormat="1" applyFont="1" applyFill="1" applyBorder="1" applyAlignment="1" fontId="8" numFmtId="165" fillId="0" borderId="8" xfId="0">
      <alignment horizontal="center" wrapText="1"/>
    </xf>
    <xf applyNumberFormat="1" applyFont="1" applyFill="1" applyBorder="1" applyAlignment="1" fontId="7" numFmtId="0" fillId="0" borderId="18" xfId="0">
      <alignment horizontal="left" vertical="center" wrapText="1"/>
    </xf>
    <xf applyBorder="1" applyAlignment="1" fontId="0" numFmtId="0" fillId="0" borderId="18" xfId="0">
      <alignment horizontal="left" vertical="center"/>
    </xf>
    <xf applyNumberFormat="1" applyFont="1" applyFill="1" applyBorder="1" applyAlignment="1" fontId="7" numFmtId="0" fillId="0" borderId="18" xfId="0">
      <alignment horizontal="center" vertical="center" wrapText="1"/>
    </xf>
    <xf applyNumberFormat="1" applyFont="1" applyFill="1" applyBorder="1" applyAlignment="1" fontId="7" numFmtId="0" fillId="0" borderId="19" xfId="0">
      <alignment horizontal="center" vertical="center" wrapText="1"/>
    </xf>
    <xf applyNumberFormat="1" applyFont="1" applyFill="1" applyBorder="1" applyAlignment="1" fontId="8" numFmtId="165" fillId="0" borderId="0" xfId="0">
      <alignment horizontal="center" wrapText="1"/>
    </xf>
    <xf applyFont="1" applyFill="1" applyBorder="1" applyAlignment="1" fontId="8" numFmtId="40" fillId="0" borderId="15" xfId="1">
      <alignment horizontal="left" wrapText="1"/>
    </xf>
    <xf applyFont="1" applyFill="1" applyBorder="1" applyAlignment="1" fontId="8" numFmtId="40" fillId="0" borderId="7" xfId="1">
      <alignment horizontal="left" wrapText="1"/>
    </xf>
    <xf applyFont="1" applyFill="1" applyBorder="1" applyAlignment="1" fontId="8" numFmtId="40" fillId="0" borderId="16" xfId="1">
      <alignment horizontal="left" wrapText="1"/>
    </xf>
    <xf applyFont="1" applyFill="1" applyBorder="1" applyAlignment="1" fontId="8" numFmtId="40" fillId="0" borderId="15" xfId="1">
      <alignment horizontal="center" wrapText="1"/>
    </xf>
    <xf applyFont="1" applyFill="1" applyBorder="1" applyAlignment="1" fontId="8" numFmtId="40" fillId="0" borderId="8" xfId="1">
      <alignment horizontal="center" wrapText="1"/>
    </xf>
    <xf applyNumberFormat="1" applyFont="1" applyFill="1" applyBorder="1" applyAlignment="1" fontId="10" numFmtId="0" fillId="0" borderId="13" xfId="0">
      <alignment horizontal="left" wrapText="1"/>
    </xf>
    <xf applyNumberFormat="1" applyFont="1" applyFill="1" applyBorder="1" applyAlignment="1" fontId="10" numFmtId="0" fillId="0" borderId="0" xfId="0">
      <alignment horizontal="left" wrapText="1"/>
    </xf>
    <xf applyNumberFormat="1" applyFont="1" applyFill="1" applyBorder="1" applyAlignment="1" fontId="10" numFmtId="0" fillId="0" borderId="14" xfId="0">
      <alignment horizontal="left" wrapText="1"/>
    </xf>
    <xf applyNumberFormat="1" applyFont="1" applyFill="1" applyBorder="1" applyAlignment="1" fontId="8" numFmtId="0" fillId="2" borderId="13" xfId="0">
      <alignment horizontal="left" wrapText="1"/>
    </xf>
    <xf applyNumberFormat="1" applyFont="1" applyFill="1" applyBorder="1" applyAlignment="1" fontId="8" numFmtId="0" fillId="2" borderId="0" xfId="0">
      <alignment horizontal="left" wrapText="1"/>
    </xf>
    <xf applyNumberFormat="1" applyFont="1" applyFill="1" applyBorder="1" applyAlignment="1" fontId="8" numFmtId="0" fillId="2" borderId="14" xfId="0">
      <alignment horizontal="left" wrapText="1"/>
    </xf>
    <xf applyNumberFormat="1" applyFont="1" applyFill="1" applyBorder="1" applyAlignment="1" fontId="8" numFmtId="165" fillId="2" borderId="13" xfId="0">
      <alignment horizontal="center" wrapText="1"/>
    </xf>
    <xf applyNumberFormat="1" applyFont="1" applyFill="1" applyBorder="1" applyAlignment="1" fontId="8" numFmtId="165" fillId="2" borderId="5" xfId="0">
      <alignment horizontal="center" wrapText="1"/>
    </xf>
    <xf applyBorder="1" applyAlignment="1" fontId="0" numFmtId="0" fillId="0" borderId="7" xfId="0"/>
    <xf applyFont="1" applyBorder="1" applyAlignment="1" fontId="8" numFmtId="0" fillId="0" borderId="7" xfId="0"/>
    <xf applyFont="1" applyBorder="1" applyAlignment="1" fontId="8" numFmtId="0" fillId="0" borderId="8" xfId="0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2.xml><?xml version="1.0" encoding="utf-8"?>
<xdr:wsDr xmlns:a="http://schemas.openxmlformats.org/drawingml/2006/main" xmlns:xdr="http://schemas.openxmlformats.org/drawingml/2006/spreadsheetDrawing">
  <xdr:twoCellAnchor editAs="oneCell">
    <xdr:from>
      <xdr:col>2</xdr:col>
      <xdr:colOff>19050</xdr:colOff>
      <xdr:row>0</xdr:row>
      <xdr:rowOff>0</xdr:rowOff>
    </xdr:from>
    <xdr:to>
      <xdr:col>2</xdr:col>
      <xdr:colOff>419100</xdr:colOff>
      <xdr:row>0</xdr:row>
      <xdr:rowOff>409575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EF0AC9B7-77D2-4AD6-AD8F-DECD218B46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"/>
  <sheetViews>
    <sheetView topLeftCell="A65" workbookViewId="0">
      <selection activeCell="C5" sqref="C5"/>
    </sheetView>
  </sheetViews>
  <sheetFormatPr defaultColWidth="9.140625" defaultRowHeight="12.75"/>
  <sheetData/>
  <pageMargins left="0.7" right="0.7" top="0.75" bottom="0.75" header="0.3" footer="0.3"/>
  <pageSetup usePrinterDefault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4"/>
  <dimension ref="A1:H350"/>
  <sheetViews>
    <sheetView tabSelected="1" topLeftCell="A1" workbookViewId="0">
      <pane ySplit="8" topLeftCell="A264" activePane="bottomLeft" state="frozen"/>
      <selection pane="bottomLeft" activeCell="L274" sqref="L274"/>
    </sheetView>
  </sheetViews>
  <sheetFormatPr defaultColWidth="9.140625" defaultRowHeight="12.75"/>
  <cols>
    <col min="1" max="1" width="2.7109375" customWidth="1"/>
    <col min="2" max="2" width="2.28515625" customWidth="1"/>
    <col min="3" max="3" width="15.85546875" customWidth="1"/>
    <col min="4" max="4" width="19.42578125" customWidth="1"/>
    <col min="5" max="6" width="16.42578125" customWidth="1"/>
    <col min="7" max="7" width="12.7109375" customWidth="1"/>
    <col min="8" max="8" width="16.42578125" customWidth="1"/>
  </cols>
  <sheetData>
    <row r="1" ht="32.25" customHeight="1">
      <c r="B1" s="1"/>
      <c r="C1" s="31" t="s">
        <v>0</v>
      </c>
      <c r="D1" s="32"/>
      <c r="E1" s="32"/>
      <c r="F1" s="32"/>
      <c r="G1" s="32"/>
      <c r="H1" s="33"/>
    </row>
    <row r="2" ht="18.75" customHeight="1">
      <c r="B2" s="2"/>
      <c r="C2" s="34" t="s">
        <v>1</v>
      </c>
      <c r="D2" s="34"/>
      <c r="E2" s="34"/>
      <c r="F2" s="34"/>
      <c r="G2" s="34"/>
      <c r="H2" s="35"/>
    </row>
    <row r="3" ht="12.75" customHeight="1">
      <c r="B3" s="2"/>
      <c r="C3" s="3" t="s">
        <v>2</v>
      </c>
      <c r="D3" s="36" t="s">
        <v>3</v>
      </c>
      <c r="E3" s="37"/>
      <c r="F3" s="37"/>
      <c r="G3" s="3"/>
      <c r="H3" s="4"/>
    </row>
    <row r="4" ht="12.75" customHeight="1">
      <c r="B4" s="2"/>
      <c r="C4" s="3" t="s">
        <v>4</v>
      </c>
      <c r="D4" s="5" t="s">
        <v>5</v>
      </c>
      <c r="E4" s="3" t="s">
        <v>6</v>
      </c>
      <c r="F4" s="5" t="s">
        <v>7</v>
      </c>
      <c r="G4" s="3"/>
      <c r="H4" s="4"/>
    </row>
    <row r="5" ht="11.25" customHeight="1">
      <c r="B5" s="2"/>
      <c r="C5" s="3" t="s">
        <v>8</v>
      </c>
      <c r="D5" s="5" t="s">
        <v>9</v>
      </c>
      <c r="E5" s="3" t="s">
        <v>10</v>
      </c>
      <c r="F5" s="5" t="s">
        <v>11</v>
      </c>
      <c r="G5" s="3" t="s">
        <v>12</v>
      </c>
      <c r="H5" s="4" t="s">
        <v>13</v>
      </c>
    </row>
    <row r="6" ht="11.25" customHeight="1">
      <c r="B6" s="2"/>
      <c r="C6" s="3" t="s">
        <v>14</v>
      </c>
      <c r="D6" s="5" t="s">
        <v>15</v>
      </c>
      <c r="E6" s="3" t="s">
        <v>16</v>
      </c>
      <c r="F6" s="5" t="s">
        <v>17</v>
      </c>
      <c r="G6" s="3" t="s">
        <v>18</v>
      </c>
      <c r="H6" s="4" t="s">
        <v>19</v>
      </c>
    </row>
    <row r="7" ht="11.85" customHeight="1">
      <c r="B7" s="6"/>
      <c r="C7" s="7"/>
      <c r="D7" s="8"/>
      <c r="E7" s="9"/>
      <c r="F7" s="9"/>
      <c r="G7" s="7"/>
      <c r="H7" s="10"/>
    </row>
    <row r="8" ht="34.5" customHeight="1">
      <c r="B8" s="1"/>
      <c r="C8" s="38" t="s">
        <v>20</v>
      </c>
      <c r="D8" s="32"/>
      <c r="E8" s="32"/>
      <c r="F8" s="32"/>
      <c r="G8" s="32"/>
      <c r="H8" s="33"/>
    </row>
    <row r="9">
      <c r="A9" s="11"/>
      <c r="B9" s="12"/>
      <c r="C9" s="11"/>
      <c r="D9" s="11"/>
      <c r="E9" s="11"/>
      <c r="F9" s="11"/>
      <c r="G9" s="11"/>
      <c r="H9" s="11"/>
    </row>
    <row r="10" ht="23.25" customHeight="1" thickBot="1">
      <c r="B10" s="39" t="s">
        <v>21</v>
      </c>
      <c r="C10" s="40"/>
      <c r="D10" s="40"/>
      <c r="E10" s="40"/>
      <c r="F10" s="40"/>
      <c r="G10" s="40"/>
      <c r="H10" s="41"/>
    </row>
    <row r="11" ht="18.75" customHeight="1" thickTop="1">
      <c r="A11" s="13"/>
      <c r="B11" s="6"/>
      <c r="C11" s="42" t="s">
        <v>22</v>
      </c>
      <c r="D11" s="43"/>
      <c r="E11" s="43"/>
      <c r="F11" s="43"/>
      <c r="G11" s="44" t="s">
        <v>23</v>
      </c>
      <c r="H11" s="45"/>
    </row>
    <row r="12" ht="12.75" customHeight="1">
      <c r="A12" s="13"/>
      <c r="C12" s="24" t="s">
        <v>24</v>
      </c>
      <c r="D12" s="25"/>
      <c r="E12" s="25"/>
      <c r="F12" s="26"/>
      <c r="G12" s="27" t="e">
        <f>((1-pctexp)*(mottt+mcttt))/dctot</f>
        <v>#DIV/0!</v>
      </c>
      <c r="H12" s="28"/>
    </row>
    <row r="13" ht="12.75" customHeight="1">
      <c r="A13" s="13"/>
      <c r="C13" s="24" t="s">
        <v>25</v>
      </c>
      <c r="D13" s="29"/>
      <c r="E13" s="29"/>
      <c r="F13" s="30"/>
      <c r="G13" s="27" t="e">
        <f>((1-pctexp)*(eottt+ecttt))/dctot</f>
        <v>#DIV/0!</v>
      </c>
      <c r="H13" s="28"/>
    </row>
    <row r="14" ht="12.75" customHeight="1">
      <c r="A14" s="13"/>
      <c r="C14" s="24" t="s">
        <v>26</v>
      </c>
      <c r="D14" s="29"/>
      <c r="E14" s="29"/>
      <c r="F14" s="30"/>
      <c r="G14" s="27" t="e">
        <f>(cottt+ccttt)/dctot</f>
        <v>#DIV/0!</v>
      </c>
      <c r="H14" s="28"/>
    </row>
    <row r="15" ht="12.75" customHeight="1">
      <c r="A15" s="13"/>
      <c r="C15" s="24" t="s">
        <v>27</v>
      </c>
      <c r="D15" s="29"/>
      <c r="E15" s="29"/>
      <c r="F15" s="30"/>
      <c r="G15" s="27" t="e">
        <f>(cottt+ccttt)/((iottt+icttt)+(oottt+octtt))</f>
        <v>#DIV/0!</v>
      </c>
      <c r="H15" s="28"/>
    </row>
    <row r="16" ht="12.75" customHeight="1">
      <c r="A16" s="13"/>
      <c r="C16" s="24" t="s">
        <v>28</v>
      </c>
      <c r="D16" s="29"/>
      <c r="E16" s="29"/>
      <c r="F16" s="30"/>
      <c r="G16" s="27" t="e">
        <f>(iottt+icttt+oottt+octtt)/dctot</f>
        <v>#DIV/0!</v>
      </c>
      <c r="H16" s="28"/>
    </row>
    <row r="17" ht="12.75" customHeight="1">
      <c r="A17" s="13"/>
      <c r="C17" s="24" t="s">
        <v>29</v>
      </c>
      <c r="D17" s="29"/>
      <c r="E17" s="29"/>
      <c r="F17" s="30"/>
      <c r="G17" s="27" t="e">
        <f>tstp/dctot</f>
        <v>#DIV/0!</v>
      </c>
      <c r="H17" s="28"/>
    </row>
    <row r="18" ht="12.75" customHeight="1">
      <c r="A18" s="13"/>
      <c r="C18" s="24" t="s">
        <v>30</v>
      </c>
      <c r="D18" s="29"/>
      <c r="E18" s="29"/>
      <c r="F18" s="30"/>
      <c r="G18" s="27" t="e">
        <f>spec/dctot</f>
        <v>#DIV/0!</v>
      </c>
      <c r="H18" s="28"/>
    </row>
    <row r="19" ht="12.75" customHeight="1">
      <c r="A19" s="13"/>
      <c r="C19" s="24" t="s">
        <v>31</v>
      </c>
      <c r="D19" s="29"/>
      <c r="E19" s="29"/>
      <c r="F19" s="30"/>
      <c r="G19" s="27" t="e">
        <f>(pctexp*((mottt+mcttt)+(eottt+ecttt)))/dctot</f>
        <v>#DIV/0!</v>
      </c>
      <c r="H19" s="28"/>
    </row>
    <row r="20" ht="12.75" customHeight="1">
      <c r="A20" s="13"/>
      <c r="C20" s="24" t="s">
        <v>32</v>
      </c>
      <c r="D20" s="29"/>
      <c r="E20" s="29"/>
      <c r="F20" s="30"/>
      <c r="G20" s="27" t="e">
        <f>(pctexp*((mottt+mcttt)+(eottt+ecttt)))/((mottt+mcttt)+(eottt+ecttt))</f>
        <v>#DIV/0!</v>
      </c>
      <c r="H20" s="28"/>
    </row>
    <row r="21" ht="12.75" customHeight="1">
      <c r="A21" s="13"/>
      <c r="C21" s="24" t="s">
        <v>33</v>
      </c>
      <c r="D21" s="29"/>
      <c r="E21" s="29"/>
      <c r="F21" s="30"/>
      <c r="G21" s="27" t="e">
        <f>((pctexp*((mottt+mcttt)+(eottt+ecttt)))+((1-pctexp)*(mottt+mcttt))+((1-pctexp)*(eottt+ecttt)))/dctot</f>
        <v>#DIV/0!</v>
      </c>
      <c r="H21" s="28"/>
    </row>
    <row r="22" ht="12.75" customHeight="1">
      <c r="A22" s="13"/>
      <c r="C22" s="24" t="s">
        <v>34</v>
      </c>
      <c r="D22" s="29"/>
      <c r="E22" s="29"/>
      <c r="F22" s="30"/>
      <c r="G22" s="27" t="e">
        <f>(cocmt+cccmt)/dctot</f>
        <v>#DIV/0!</v>
      </c>
      <c r="H22" s="28"/>
    </row>
    <row r="23" ht="12.75" customHeight="1">
      <c r="A23" s="13"/>
      <c r="C23" s="24" t="s">
        <v>35</v>
      </c>
      <c r="D23" s="29"/>
      <c r="E23" s="29"/>
      <c r="F23" s="30"/>
      <c r="G23" s="27" t="e">
        <f>(ioemm+ioefm+iolem+iopem+icemm+icefm+iclem+icpem+ooemm+ooefm+oolem+oopem+ocemm+ocefm+oclem+ocpem)/dctot</f>
        <v>#DIV/0!</v>
      </c>
      <c r="H23" s="28"/>
    </row>
    <row r="24" ht="12.75" customHeight="1">
      <c r="A24" s="13"/>
      <c r="C24" s="24" t="s">
        <v>36</v>
      </c>
      <c r="D24" s="29"/>
      <c r="E24" s="29"/>
      <c r="F24" s="30"/>
      <c r="G24" s="27" t="e">
        <f>(iocsm+iocom+iostm+ioblm+ioeom+iopim+iopam+iolbm+iopbm+iopfm+iccsm+iccom+icstm+icblm+iceom+icpim+icpam+iclbm+icpbm+icpfm+oocsm+oocom+oostm+ooblm+ooemm+ooefm+oopim+oopam+oolbm+oopbm+oopfm+occsm+occom+ocstm+ocblm+oceom+ocpim+ocpam+oclbm+ocpbm+ocpfm)/dctot</f>
        <v>#DIV/0!</v>
      </c>
      <c r="H24" s="28"/>
    </row>
    <row r="25" ht="12.75" customHeight="1">
      <c r="A25" s="13"/>
      <c r="C25" s="24" t="s">
        <v>37</v>
      </c>
      <c r="D25" s="29"/>
      <c r="E25" s="29"/>
      <c r="F25" s="30"/>
      <c r="G25" s="27" t="e">
        <f>(iottl+icttl+oottl+octtl)/dctot</f>
        <v>#DIV/0!</v>
      </c>
      <c r="H25" s="28"/>
    </row>
    <row r="26" ht="12.75" customHeight="1">
      <c r="A26" s="13"/>
      <c r="C26" s="24" t="s">
        <v>38</v>
      </c>
      <c r="D26" s="29"/>
      <c r="E26" s="29"/>
      <c r="F26" s="30"/>
      <c r="G26" s="27" t="e">
        <f>((cocet+cccet)+(cotft+cctft))/dctot</f>
        <v>#DIV/0!</v>
      </c>
      <c r="H26" s="28"/>
    </row>
    <row r="27" ht="12.75" customHeight="1">
      <c r="A27" s="13"/>
      <c r="C27" s="24" t="s">
        <v>39</v>
      </c>
      <c r="D27" s="29"/>
      <c r="E27" s="29"/>
      <c r="F27" s="30"/>
      <c r="G27" s="27" t="e">
        <f>((cocet+cccet)+(cotft+cctft))/((iottl+icttl+oottl+octtl))</f>
        <v>#DIV/0!</v>
      </c>
      <c r="H27" s="28"/>
    </row>
    <row r="28" ht="12.75" customHeight="1">
      <c r="A28" s="13"/>
      <c r="C28" s="24" t="s">
        <v>40</v>
      </c>
      <c r="D28" s="29"/>
      <c r="E28" s="29"/>
      <c r="F28" s="30"/>
      <c r="G28" s="27" t="e">
        <f>((cocmt+cccmt)+(iottl+icttl+oottl+octtl)+(cocet+cccet+cotft+cctft))/dctot</f>
        <v>#DIV/0!</v>
      </c>
      <c r="H28" s="28"/>
    </row>
    <row r="29" ht="12.75" customHeight="1">
      <c r="A29" s="13"/>
      <c r="C29" s="24" t="s">
        <v>41</v>
      </c>
      <c r="D29" s="29"/>
      <c r="E29" s="29"/>
      <c r="F29" s="30"/>
      <c r="G29" s="27" t="e">
        <f>((cocmt+cccmt)+(iottl+icttl+oottl+octtl)+(cocet+cccet+cotft+cctft)+(iottm+icttm+oottm+octtm))/dctot</f>
        <v>#DIV/0!</v>
      </c>
      <c r="H29" s="28"/>
    </row>
    <row r="30" ht="12.75" customHeight="1">
      <c r="A30" s="13"/>
      <c r="C30" s="24" t="s">
        <v>42</v>
      </c>
      <c r="D30" s="29"/>
      <c r="E30" s="29"/>
      <c r="F30" s="30"/>
      <c r="G30" s="27" t="e">
        <f>dctot/(ioemm+ioefm+iolem+iopem+icemm+icefm+iclem+icpem+ooemm+ooefm+oolem+oopem+ocemm+ocefm+oclem+ocpem)</f>
        <v>#DIV/0!</v>
      </c>
      <c r="H30" s="28"/>
    </row>
    <row r="31">
      <c r="A31" s="13"/>
      <c r="B31" s="6"/>
      <c r="C31" s="46"/>
      <c r="D31" s="47"/>
      <c r="E31" s="47"/>
      <c r="F31" s="48"/>
      <c r="G31" s="49"/>
      <c r="H31" s="50"/>
    </row>
    <row r="32" ht="8.85" customHeight="1">
      <c r="A32" s="11"/>
      <c r="B32" s="11"/>
      <c r="C32" s="14"/>
      <c r="D32" s="15"/>
      <c r="E32" s="15"/>
      <c r="F32" s="16"/>
      <c r="G32" s="17"/>
      <c r="H32" s="18"/>
    </row>
    <row r="33" ht="8.85" customHeight="1">
      <c r="A33" s="11"/>
      <c r="B33" s="11"/>
      <c r="C33" s="14"/>
      <c r="D33" s="15"/>
      <c r="E33" s="15"/>
      <c r="F33" s="16"/>
      <c r="G33" s="17"/>
      <c r="H33" s="18"/>
    </row>
    <row r="34" ht="22.5" customHeight="1" thickBot="1">
      <c r="A34" s="13"/>
      <c r="B34" s="39" t="s">
        <v>43</v>
      </c>
      <c r="C34" s="40"/>
      <c r="D34" s="40"/>
      <c r="E34" s="40"/>
      <c r="F34" s="40"/>
      <c r="G34" s="40"/>
      <c r="H34" s="41"/>
    </row>
    <row r="35" ht="18.75" customHeight="1" thickTop="1">
      <c r="A35" s="13"/>
      <c r="B35" s="19"/>
      <c r="C35" s="51" t="s">
        <v>22</v>
      </c>
      <c r="D35" s="52"/>
      <c r="E35" s="52"/>
      <c r="F35" s="52"/>
      <c r="G35" s="53" t="s">
        <v>23</v>
      </c>
      <c r="H35" s="54"/>
    </row>
    <row r="36" ht="12.75" customHeight="1">
      <c r="A36" s="13"/>
      <c r="C36" s="24" t="s">
        <v>44</v>
      </c>
      <c r="D36" s="29"/>
      <c r="E36" s="29"/>
      <c r="F36" s="30"/>
      <c r="G36" s="27" t="e">
        <f>(mottt+eottt+cottt+iottt+oottt)/dctot</f>
        <v>#DIV/0!</v>
      </c>
      <c r="H36" s="28"/>
    </row>
    <row r="37" ht="12.75" customHeight="1">
      <c r="A37" s="13"/>
      <c r="C37" s="24" t="s">
        <v>45</v>
      </c>
      <c r="D37" s="29"/>
      <c r="E37" s="29"/>
      <c r="F37" s="30"/>
      <c r="G37" s="27" t="e">
        <f>(mottt+eottt)/dctot</f>
        <v>#DIV/0!</v>
      </c>
      <c r="H37" s="28"/>
    </row>
    <row r="38" ht="12.75" customHeight="1">
      <c r="A38" s="13"/>
      <c r="C38" s="24" t="s">
        <v>46</v>
      </c>
      <c r="D38" s="29"/>
      <c r="E38" s="29"/>
      <c r="F38" s="30"/>
      <c r="G38" s="27" t="e">
        <f>(mottt+eottt)/((mottt+mcttt)+(eottt+ecttt))</f>
        <v>#DIV/0!</v>
      </c>
      <c r="H38" s="28"/>
    </row>
    <row r="39" ht="12.75" customHeight="1">
      <c r="A39" s="13"/>
      <c r="C39" s="24" t="s">
        <v>47</v>
      </c>
      <c r="D39" s="29"/>
      <c r="E39" s="29"/>
      <c r="F39" s="30"/>
      <c r="G39" s="27" t="e">
        <f>(mottt+eottt)/(mottt+mcttt+eottt+ecttt+cocmt+cccmt)</f>
        <v>#DIV/0!</v>
      </c>
      <c r="H39" s="28"/>
    </row>
    <row r="40" ht="12.75" customHeight="1">
      <c r="A40" s="13"/>
      <c r="C40" s="24" t="s">
        <v>48</v>
      </c>
      <c r="D40" s="29"/>
      <c r="E40" s="29"/>
      <c r="F40" s="30"/>
      <c r="G40" s="27" t="e">
        <f>cocmt/dctot</f>
        <v>#DIV/0!</v>
      </c>
      <c r="H40" s="28"/>
    </row>
    <row r="41" ht="12.75" customHeight="1">
      <c r="A41" s="13"/>
      <c r="C41" s="24" t="s">
        <v>49</v>
      </c>
      <c r="D41" s="29"/>
      <c r="E41" s="29"/>
      <c r="F41" s="30"/>
      <c r="G41" s="27" t="e">
        <f>cocmt/(cocmt+cccmt)</f>
        <v>#DIV/0!</v>
      </c>
      <c r="H41" s="28"/>
    </row>
    <row r="42" ht="12.75" customHeight="1">
      <c r="A42" s="13"/>
      <c r="C42" s="24" t="s">
        <v>50</v>
      </c>
      <c r="D42" s="29"/>
      <c r="E42" s="29"/>
      <c r="F42" s="30"/>
      <c r="G42" s="27" t="e">
        <f>cocmt/(mottt+mcttt+eottt+ecttt+cocmt+cccmt)</f>
        <v>#DIV/0!</v>
      </c>
      <c r="H42" s="28"/>
    </row>
    <row r="43" ht="12.75" customHeight="1">
      <c r="A43" s="13"/>
      <c r="C43" s="24" t="s">
        <v>51</v>
      </c>
      <c r="D43" s="29"/>
      <c r="E43" s="29"/>
      <c r="F43" s="30"/>
      <c r="G43" s="27" t="e">
        <f>(mottt+eottt+cocmt)/dctot</f>
        <v>#DIV/0!</v>
      </c>
      <c r="H43" s="28"/>
    </row>
    <row r="44" ht="12.75" customHeight="1">
      <c r="A44" s="13"/>
      <c r="C44" s="24" t="s">
        <v>52</v>
      </c>
      <c r="D44" s="29"/>
      <c r="E44" s="29"/>
      <c r="F44" s="30"/>
      <c r="G44" s="27" t="e">
        <f>(mottt+eottt+cocmt)/(mottt+mcttt+eottt+ecttt+cocmt+cccmt)</f>
        <v>#DIV/0!</v>
      </c>
      <c r="H44" s="28"/>
    </row>
    <row r="45" ht="12.75" customHeight="1">
      <c r="A45" s="13"/>
      <c r="C45" s="24" t="s">
        <v>53</v>
      </c>
      <c r="D45" s="29"/>
      <c r="E45" s="29"/>
      <c r="F45" s="30"/>
      <c r="G45" s="27" t="e">
        <f>(iottt+oottt)/(iottt+icttt+oottt+octtt)</f>
        <v>#DIV/0!</v>
      </c>
      <c r="H45" s="28"/>
    </row>
    <row r="46" ht="12.75" customHeight="1">
      <c r="A46" s="13"/>
      <c r="C46" s="24" t="s">
        <v>54</v>
      </c>
      <c r="D46" s="29"/>
      <c r="E46" s="29"/>
      <c r="F46" s="30"/>
      <c r="G46" s="27" t="e">
        <f>(iottl+oottl)/(iottl+icttl+oottl+octtl)</f>
        <v>#DIV/0!</v>
      </c>
      <c r="H46" s="28"/>
    </row>
    <row r="47" ht="12.75" customHeight="1">
      <c r="A47" s="13"/>
      <c r="C47" s="24" t="s">
        <v>55</v>
      </c>
      <c r="D47" s="29"/>
      <c r="E47" s="29"/>
      <c r="F47" s="30"/>
      <c r="G47" s="27" t="e">
        <f>(ioemm+ioefm+iolem+iopem+ooemm+ooefm+oolem+oopem)/(ioemm+ioefm+iolem+iopem+icemm+icefm+iclem+icpem+ooemm+ooefm+oolem+oopem+ocemm+ocefm+oclem+ocpem)</f>
        <v>#DIV/0!</v>
      </c>
      <c r="H47" s="28"/>
    </row>
    <row r="48" ht="12.75" customHeight="1">
      <c r="A48" s="13"/>
      <c r="C48" s="24" t="s">
        <v>56</v>
      </c>
      <c r="D48" s="29"/>
      <c r="E48" s="29"/>
      <c r="F48" s="30"/>
      <c r="G48" s="27" t="e">
        <f>(ioeom+iolbm+iopbm+ooeom+oolbm+oopbm)/(ioeom+iceom+iolbm+iclbm+iopbm+icpbm+ooeom+oceom+oolbm+oclbm+oopbm+ocpbm)</f>
        <v>#DIV/0!</v>
      </c>
      <c r="H48" s="28"/>
    </row>
    <row r="49">
      <c r="A49" s="13"/>
      <c r="B49" s="6"/>
      <c r="C49" s="46"/>
      <c r="D49" s="47"/>
      <c r="E49" s="47"/>
      <c r="F49" s="48"/>
      <c r="G49" s="49"/>
      <c r="H49" s="50"/>
    </row>
    <row r="50" ht="8.85" customHeight="1">
      <c r="A50" s="11"/>
      <c r="B50" s="11"/>
      <c r="C50" s="14"/>
      <c r="D50" s="15"/>
      <c r="E50" s="15"/>
      <c r="F50" s="16"/>
      <c r="G50" s="17"/>
      <c r="H50" s="18"/>
    </row>
    <row r="51" ht="8.85" customHeight="1">
      <c r="A51" s="11"/>
      <c r="B51" s="11"/>
      <c r="C51" s="14"/>
      <c r="D51" s="15"/>
      <c r="E51" s="15"/>
      <c r="F51" s="16"/>
      <c r="G51" s="17"/>
      <c r="H51" s="18"/>
    </row>
    <row r="52" hidden="1">
      <c r="A52" s="11"/>
      <c r="B52" s="20"/>
      <c r="C52" s="24"/>
      <c r="D52" s="29"/>
      <c r="E52" s="29"/>
      <c r="F52" s="30"/>
      <c r="G52" s="27"/>
      <c r="H52" s="55"/>
    </row>
    <row r="53" ht="22.5" customHeight="1" thickBot="1">
      <c r="A53" s="13"/>
      <c r="B53" s="39" t="s">
        <v>57</v>
      </c>
      <c r="C53" s="40"/>
      <c r="D53" s="40"/>
      <c r="E53" s="40"/>
      <c r="F53" s="40"/>
      <c r="G53" s="40"/>
      <c r="H53" s="41"/>
    </row>
    <row r="54" ht="18.75" customHeight="1" thickTop="1">
      <c r="A54" s="13"/>
      <c r="B54" s="19"/>
      <c r="C54" s="51" t="s">
        <v>22</v>
      </c>
      <c r="D54" s="52"/>
      <c r="E54" s="52"/>
      <c r="F54" s="52"/>
      <c r="G54" s="53" t="s">
        <v>23</v>
      </c>
      <c r="H54" s="54"/>
    </row>
    <row r="55" ht="12.75" customHeight="1">
      <c r="A55" s="13"/>
      <c r="C55" s="24" t="s">
        <v>58</v>
      </c>
      <c r="D55" s="29"/>
      <c r="E55" s="29"/>
      <c r="F55" s="30"/>
      <c r="G55" s="27" t="e">
        <f>(mopml+mcpml)/(mottt+mcttt)</f>
        <v>#DIV/0!</v>
      </c>
      <c r="H55" s="28"/>
    </row>
    <row r="56" ht="12.75" customHeight="1">
      <c r="A56" s="13"/>
      <c r="C56" s="24" t="s">
        <v>59</v>
      </c>
      <c r="D56" s="29"/>
      <c r="E56" s="29"/>
      <c r="F56" s="30"/>
      <c r="G56" s="27" t="e">
        <f>(mopml+mcpml)/dctot</f>
        <v>#DIV/0!</v>
      </c>
      <c r="H56" s="28"/>
    </row>
    <row r="57" ht="12.75" customHeight="1">
      <c r="A57" s="13"/>
      <c r="C57" s="24" t="s">
        <v>60</v>
      </c>
      <c r="D57" s="29"/>
      <c r="E57" s="29"/>
      <c r="F57" s="30"/>
      <c r="G57" s="27" t="e">
        <f>(mocsl+mccsl)/(mottt+mcttt)</f>
        <v>#DIV/0!</v>
      </c>
      <c r="H57" s="28"/>
    </row>
    <row r="58" ht="12.75" customHeight="1">
      <c r="A58" s="13"/>
      <c r="C58" s="24" t="s">
        <v>61</v>
      </c>
      <c r="D58" s="29"/>
      <c r="E58" s="29"/>
      <c r="F58" s="30"/>
      <c r="G58" s="27" t="e">
        <f>(mocsl+mccsl)/dctot</f>
        <v>#DIV/0!</v>
      </c>
      <c r="H58" s="28"/>
    </row>
    <row r="59" ht="12.75" customHeight="1">
      <c r="A59" s="13"/>
      <c r="C59" s="24" t="s">
        <v>62</v>
      </c>
      <c r="D59" s="29"/>
      <c r="E59" s="29"/>
      <c r="F59" s="30"/>
      <c r="G59" s="27" t="e">
        <f>(mopcl+mcpcl)/(mottt+mcttt)</f>
        <v>#DIV/0!</v>
      </c>
      <c r="H59" s="28"/>
    </row>
    <row r="60" ht="12.75" customHeight="1">
      <c r="A60" s="13"/>
      <c r="C60" s="24" t="s">
        <v>63</v>
      </c>
      <c r="D60" s="29"/>
      <c r="E60" s="29"/>
      <c r="F60" s="30"/>
      <c r="G60" s="27" t="e">
        <f>(mopcl+mcpcl)/dctot</f>
        <v>#DIV/0!</v>
      </c>
      <c r="H60" s="28"/>
    </row>
    <row r="61" ht="12.75" customHeight="1">
      <c r="A61" s="13"/>
      <c r="C61" s="24" t="s">
        <v>64</v>
      </c>
      <c r="D61" s="29"/>
      <c r="E61" s="29"/>
      <c r="F61" s="30"/>
      <c r="G61" s="27" t="e">
        <f>(momst+mcmst)/(mottt+mcttt)</f>
        <v>#DIV/0!</v>
      </c>
      <c r="H61" s="28"/>
    </row>
    <row r="62" ht="12.75" customHeight="1">
      <c r="A62" s="13"/>
      <c r="C62" s="24" t="s">
        <v>65</v>
      </c>
      <c r="D62" s="29"/>
      <c r="E62" s="29"/>
      <c r="F62" s="30"/>
      <c r="G62" s="27" t="e">
        <f>(momst+mcmst)/dctot</f>
        <v>#DIV/0!</v>
      </c>
      <c r="H62" s="28"/>
    </row>
    <row r="63" ht="12.75" customHeight="1">
      <c r="A63" s="13"/>
      <c r="C63" s="24" t="s">
        <v>66</v>
      </c>
      <c r="D63" s="29"/>
      <c r="E63" s="29"/>
      <c r="F63" s="30"/>
      <c r="G63" s="27" t="e">
        <f>(eocil+eostl+eoapl+eccil+ecstl+ecapl)/(eottt+ecttt)</f>
        <v>#DIV/0!</v>
      </c>
      <c r="H63" s="28"/>
    </row>
    <row r="64" ht="12.75" customHeight="1">
      <c r="A64" s="13"/>
      <c r="C64" s="24" t="s">
        <v>67</v>
      </c>
      <c r="D64" s="29"/>
      <c r="E64" s="29"/>
      <c r="F64" s="30"/>
      <c r="G64" s="27" t="e">
        <f>(eocil+eostl+eoapl+eccil+ecstl+ecapl)/dctot</f>
        <v>#DIV/0!</v>
      </c>
      <c r="H64" s="28"/>
    </row>
    <row r="65" ht="12.75" customHeight="1">
      <c r="A65" s="13"/>
      <c r="C65" s="24" t="s">
        <v>68</v>
      </c>
      <c r="D65" s="29"/>
      <c r="E65" s="29"/>
      <c r="F65" s="30"/>
      <c r="G65" s="27" t="e">
        <f>(eopil+ecpil)/(eottt+ecttt)</f>
        <v>#DIV/0!</v>
      </c>
      <c r="H65" s="28"/>
    </row>
    <row r="66" ht="12.75" customHeight="1">
      <c r="A66" s="13"/>
      <c r="C66" s="24" t="s">
        <v>69</v>
      </c>
      <c r="D66" s="29"/>
      <c r="E66" s="29"/>
      <c r="F66" s="30"/>
      <c r="G66" s="27" t="e">
        <f>(eopil+ecpil)/dctot</f>
        <v>#DIV/0!</v>
      </c>
      <c r="H66" s="28"/>
    </row>
    <row r="67" ht="12.75" customHeight="1">
      <c r="A67" s="13"/>
      <c r="C67" s="24" t="s">
        <v>70</v>
      </c>
      <c r="D67" s="29"/>
      <c r="E67" s="29"/>
      <c r="F67" s="30"/>
      <c r="G67" s="27" t="e">
        <f>(eomel+ecmel)/(eottt+ecttt)</f>
        <v>#DIV/0!</v>
      </c>
      <c r="H67" s="28"/>
    </row>
    <row r="68" ht="12.75" customHeight="1">
      <c r="A68" s="13"/>
      <c r="C68" s="24" t="s">
        <v>71</v>
      </c>
      <c r="D68" s="29"/>
      <c r="E68" s="29"/>
      <c r="F68" s="30"/>
      <c r="G68" s="27" t="e">
        <f>(eomel+ecmel)/dctot</f>
        <v>#DIV/0!</v>
      </c>
      <c r="H68" s="28"/>
    </row>
    <row r="69" ht="12.75" customHeight="1">
      <c r="A69" s="13"/>
      <c r="C69" s="24" t="s">
        <v>72</v>
      </c>
      <c r="D69" s="29"/>
      <c r="E69" s="29"/>
      <c r="F69" s="30"/>
      <c r="G69" s="27" t="e">
        <f>(eopml+eopcl+ecpml+ecpcl)/(eottt+ecttt)</f>
        <v>#DIV/0!</v>
      </c>
      <c r="H69" s="28"/>
    </row>
    <row r="70" ht="12.75" customHeight="1">
      <c r="A70" s="13"/>
      <c r="C70" s="24" t="s">
        <v>73</v>
      </c>
      <c r="D70" s="29"/>
      <c r="E70" s="29"/>
      <c r="F70" s="30"/>
      <c r="G70" s="27" t="e">
        <f>(eopml+eopcl+ecpml+ecpcl)/dctot</f>
        <v>#DIV/0!</v>
      </c>
      <c r="H70" s="28"/>
    </row>
    <row r="71" ht="12.75" customHeight="1">
      <c r="A71" s="13"/>
      <c r="C71" s="24" t="s">
        <v>74</v>
      </c>
      <c r="D71" s="29"/>
      <c r="E71" s="29"/>
      <c r="F71" s="30"/>
      <c r="G71" s="27" t="e">
        <f>(eoell+ecell)/(eottt+ecttt)</f>
        <v>#DIV/0!</v>
      </c>
      <c r="H71" s="28"/>
    </row>
    <row r="72" ht="12.75" customHeight="1">
      <c r="A72" s="13"/>
      <c r="C72" s="24" t="s">
        <v>75</v>
      </c>
      <c r="D72" s="29"/>
      <c r="E72" s="29"/>
      <c r="F72" s="30"/>
      <c r="G72" s="27" t="e">
        <f>(eoell+ecell)/dctot</f>
        <v>#DIV/0!</v>
      </c>
      <c r="H72" s="28"/>
    </row>
    <row r="73" ht="12.75" customHeight="1">
      <c r="A73" s="13"/>
      <c r="C73" s="24" t="s">
        <v>76</v>
      </c>
      <c r="D73" s="29"/>
      <c r="E73" s="29"/>
      <c r="F73" s="30"/>
      <c r="G73" s="27" t="e">
        <f>(eoprl+ecprl)/(eottt+ecttt)</f>
        <v>#DIV/0!</v>
      </c>
      <c r="H73" s="28"/>
    </row>
    <row r="74" ht="12.75" customHeight="1">
      <c r="A74" s="13"/>
      <c r="C74" s="24" t="s">
        <v>77</v>
      </c>
      <c r="D74" s="29"/>
      <c r="E74" s="29"/>
      <c r="F74" s="30"/>
      <c r="G74" s="27" t="e">
        <f>(eoprl+ecprl)/dctot</f>
        <v>#DIV/0!</v>
      </c>
      <c r="H74" s="28"/>
    </row>
    <row r="75" ht="12.75" customHeight="1">
      <c r="A75" s="13"/>
      <c r="C75" s="24" t="s">
        <v>78</v>
      </c>
      <c r="D75" s="29"/>
      <c r="E75" s="29"/>
      <c r="F75" s="30"/>
      <c r="G75" s="27" t="e">
        <f>(eoell+eoprl+ecell+ecprl)/(eottt+ecttt)</f>
        <v>#DIV/0!</v>
      </c>
      <c r="H75" s="28"/>
    </row>
    <row r="76" ht="12.75" customHeight="1">
      <c r="A76" s="13"/>
      <c r="C76" s="24" t="s">
        <v>79</v>
      </c>
      <c r="D76" s="29"/>
      <c r="E76" s="29"/>
      <c r="F76" s="30"/>
      <c r="G76" s="27" t="e">
        <f>(eoell+eoprl+ecell+ecprl)/dctot</f>
        <v>#DIV/0!</v>
      </c>
      <c r="H76" s="28"/>
    </row>
    <row r="77" ht="12.75" customHeight="1">
      <c r="A77" s="13"/>
      <c r="C77" s="24" t="s">
        <v>80</v>
      </c>
      <c r="D77" s="29"/>
      <c r="E77" s="29"/>
      <c r="F77" s="30"/>
      <c r="G77" s="27" t="e">
        <f>(eomit+ecmit)/(eottt+ecttt)</f>
        <v>#DIV/0!</v>
      </c>
      <c r="H77" s="28"/>
    </row>
    <row r="78" ht="12.75" customHeight="1">
      <c r="A78" s="13"/>
      <c r="C78" s="24" t="s">
        <v>81</v>
      </c>
      <c r="D78" s="29"/>
      <c r="E78" s="29"/>
      <c r="F78" s="30"/>
      <c r="G78" s="27" t="e">
        <f>(eomit+ecmit)/dctot</f>
        <v>#DIV/0!</v>
      </c>
      <c r="H78" s="28"/>
    </row>
    <row r="79" ht="12.75" customHeight="1">
      <c r="A79" s="13"/>
      <c r="C79" s="24" t="s">
        <v>82</v>
      </c>
      <c r="D79" s="29"/>
      <c r="E79" s="29"/>
      <c r="F79" s="30"/>
      <c r="G79" s="27" t="e">
        <f>(cocmt+cccmt)/(cottt+ccttt)</f>
        <v>#DIV/0!</v>
      </c>
      <c r="H79" s="28"/>
    </row>
    <row r="80" ht="12.75" customHeight="1">
      <c r="A80" s="13"/>
      <c r="C80" s="24" t="s">
        <v>83</v>
      </c>
      <c r="D80" s="29"/>
      <c r="E80" s="29"/>
      <c r="F80" s="30"/>
      <c r="G80" s="27" t="e">
        <f>(cocmt+cccmt)/dctot</f>
        <v>#DIV/0!</v>
      </c>
      <c r="H80" s="28"/>
    </row>
    <row r="81" ht="12.75" customHeight="1">
      <c r="A81" s="13"/>
      <c r="C81" s="24" t="s">
        <v>84</v>
      </c>
      <c r="D81" s="29"/>
      <c r="E81" s="29"/>
      <c r="F81" s="30"/>
      <c r="G81" s="27" t="e">
        <f>(cocet+cccet)/(cottt+ccttt)</f>
        <v>#DIV/0!</v>
      </c>
      <c r="H81" s="28"/>
    </row>
    <row r="82" ht="12.75" customHeight="1">
      <c r="A82" s="13"/>
      <c r="C82" s="24" t="s">
        <v>85</v>
      </c>
      <c r="D82" s="29"/>
      <c r="E82" s="29"/>
      <c r="F82" s="30"/>
      <c r="G82" s="27" t="e">
        <f>(cocet+cccet)/dctot</f>
        <v>#DIV/0!</v>
      </c>
      <c r="H82" s="28"/>
    </row>
    <row r="83" ht="12.75" customHeight="1">
      <c r="A83" s="13"/>
      <c r="C83" s="24" t="s">
        <v>86</v>
      </c>
      <c r="D83" s="29"/>
      <c r="E83" s="29"/>
      <c r="F83" s="30"/>
      <c r="G83" s="27" t="e">
        <f>(cotft+cctft)/(cottt+ccttt)</f>
        <v>#DIV/0!</v>
      </c>
      <c r="H83" s="28"/>
    </row>
    <row r="84" ht="12.75" customHeight="1">
      <c r="A84" s="13"/>
      <c r="C84" s="24" t="s">
        <v>87</v>
      </c>
      <c r="D84" s="29"/>
      <c r="E84" s="29"/>
      <c r="F84" s="30"/>
      <c r="G84" s="27" t="e">
        <f>(cotft+cctft)/dctot</f>
        <v>#DIV/0!</v>
      </c>
      <c r="H84" s="28"/>
    </row>
    <row r="85" ht="12.75" customHeight="1">
      <c r="A85" s="13"/>
      <c r="C85" s="24" t="s">
        <v>88</v>
      </c>
      <c r="D85" s="29"/>
      <c r="E85" s="29"/>
      <c r="F85" s="30"/>
      <c r="G85" s="27" t="e">
        <f>(iocst+iccst+oocst+occst)/(iottt+icttt+oottt+octtt)</f>
        <v>#DIV/0!</v>
      </c>
      <c r="H85" s="28"/>
    </row>
    <row r="86" ht="12.75" customHeight="1">
      <c r="A86" s="13"/>
      <c r="C86" s="24" t="s">
        <v>89</v>
      </c>
      <c r="D86" s="29"/>
      <c r="E86" s="29"/>
      <c r="F86" s="30"/>
      <c r="G86" s="27" t="e">
        <f>(iocst+iccst+oocst+occst)/dctot</f>
        <v>#DIV/0!</v>
      </c>
      <c r="H86" s="28"/>
    </row>
    <row r="87" ht="12.75" customHeight="1">
      <c r="A87" s="13"/>
      <c r="C87" s="24" t="s">
        <v>90</v>
      </c>
      <c r="D87" s="29"/>
      <c r="E87" s="29"/>
      <c r="F87" s="30"/>
      <c r="G87" s="27" t="e">
        <f>(iocot+iccot+oocot+occot)/(iottt+icttt+oottt+octtt)</f>
        <v>#DIV/0!</v>
      </c>
      <c r="H87" s="28"/>
    </row>
    <row r="88" ht="12.75" customHeight="1">
      <c r="A88" s="13"/>
      <c r="C88" s="24" t="s">
        <v>91</v>
      </c>
      <c r="D88" s="29"/>
      <c r="E88" s="29"/>
      <c r="F88" s="30"/>
      <c r="G88" s="27" t="e">
        <f>(iocot+iccot+oocot+occot)/dctot</f>
        <v>#DIV/0!</v>
      </c>
      <c r="H88" s="28"/>
    </row>
    <row r="89" ht="12.75" customHeight="1">
      <c r="A89" s="13"/>
      <c r="C89" s="24" t="s">
        <v>92</v>
      </c>
      <c r="D89" s="29"/>
      <c r="E89" s="29"/>
      <c r="F89" s="30"/>
      <c r="G89" s="27" t="e">
        <f>(iostt+icstt+oostt+ocstt)/(iottt+icttt+oottt+octtt)</f>
        <v>#DIV/0!</v>
      </c>
      <c r="H89" s="28"/>
    </row>
    <row r="90" ht="12.75" customHeight="1">
      <c r="A90" s="13"/>
      <c r="C90" s="24" t="s">
        <v>93</v>
      </c>
      <c r="D90" s="29"/>
      <c r="E90" s="29"/>
      <c r="F90" s="30"/>
      <c r="G90" s="27" t="e">
        <f>(iostt+icstt+oostt+ocstt)/dctot</f>
        <v>#DIV/0!</v>
      </c>
      <c r="H90" s="28"/>
    </row>
    <row r="91" ht="12.75" customHeight="1">
      <c r="A91" s="13"/>
      <c r="C91" s="24" t="s">
        <v>94</v>
      </c>
      <c r="D91" s="29"/>
      <c r="E91" s="29"/>
      <c r="F91" s="30"/>
      <c r="G91" s="27" t="e">
        <f>(ioblt+icblt+ooblt+ocblt)/(iottt+icttt+oottt+octtt)</f>
        <v>#DIV/0!</v>
      </c>
      <c r="H91" s="28"/>
    </row>
    <row r="92" ht="12.75" customHeight="1">
      <c r="A92" s="13"/>
      <c r="C92" s="24" t="s">
        <v>95</v>
      </c>
      <c r="D92" s="29"/>
      <c r="E92" s="29"/>
      <c r="F92" s="30"/>
      <c r="G92" s="27" t="e">
        <f>(ioblt+icblt+ooblt+ocblt)/dctot</f>
        <v>#DIV/0!</v>
      </c>
      <c r="H92" s="28"/>
    </row>
    <row r="93" ht="12.75" customHeight="1">
      <c r="A93" s="13"/>
      <c r="C93" s="24" t="s">
        <v>96</v>
      </c>
      <c r="D93" s="29"/>
      <c r="E93" s="29"/>
      <c r="F93" s="30"/>
      <c r="G93" s="27" t="e">
        <f>(iocst+iocot+iostt+ioblt+iccst+iccot+icstt+icblt+oocst+oocot+oostt+ooblt+occst+occot+ocstt+ocblt)/(iottt+icttt+oottt+octtt)</f>
        <v>#DIV/0!</v>
      </c>
      <c r="H93" s="28"/>
    </row>
    <row r="94" ht="12.75" customHeight="1">
      <c r="A94" s="13"/>
      <c r="C94" s="24" t="s">
        <v>97</v>
      </c>
      <c r="D94" s="29"/>
      <c r="E94" s="29"/>
      <c r="F94" s="30"/>
      <c r="G94" s="27" t="e">
        <f>(iocst+iocot+iostt+ioblt+iccst+iccot+icstt+icblt+oocst+oocot+oostt+ooblt+occst+occot+ocstt+ocblt)/dctot</f>
        <v>#DIV/0!</v>
      </c>
      <c r="H94" s="28"/>
    </row>
    <row r="95" ht="12.75" customHeight="1">
      <c r="A95" s="13"/>
      <c r="C95" s="24" t="s">
        <v>98</v>
      </c>
      <c r="D95" s="29"/>
      <c r="E95" s="29"/>
      <c r="F95" s="30"/>
      <c r="G95" s="27" t="e">
        <f>(ioett+icett+ooett+ocett)/(iottt+icttt+oottt+octtt)</f>
        <v>#DIV/0!</v>
      </c>
      <c r="H95" s="28"/>
    </row>
    <row r="96" ht="12.75" customHeight="1">
      <c r="A96" s="13"/>
      <c r="C96" s="24" t="s">
        <v>99</v>
      </c>
      <c r="D96" s="29"/>
      <c r="E96" s="29"/>
      <c r="F96" s="30"/>
      <c r="G96" s="27" t="e">
        <f>(ioett+icett+ooett+ocett)/dctot</f>
        <v>#DIV/0!</v>
      </c>
      <c r="H96" s="28"/>
    </row>
    <row r="97" ht="12.75" customHeight="1">
      <c r="A97" s="13"/>
      <c r="C97" s="24" t="s">
        <v>100</v>
      </c>
      <c r="D97" s="29"/>
      <c r="E97" s="29"/>
      <c r="F97" s="30"/>
      <c r="G97" s="27" t="e">
        <f>(iopit+icpit+oopit+ocpit)/(iottt+icttt+oottt+octtt)</f>
        <v>#DIV/0!</v>
      </c>
      <c r="H97" s="28"/>
    </row>
    <row r="98" ht="12.75" customHeight="1">
      <c r="A98" s="13"/>
      <c r="C98" s="24" t="s">
        <v>101</v>
      </c>
      <c r="D98" s="29"/>
      <c r="E98" s="29"/>
      <c r="F98" s="30"/>
      <c r="G98" s="27" t="e">
        <f>(iopit+icpit+oopit+ocpit)/dctot</f>
        <v>#DIV/0!</v>
      </c>
      <c r="H98" s="28"/>
    </row>
    <row r="99" ht="12.75" customHeight="1">
      <c r="A99" s="13"/>
      <c r="C99" s="24" t="s">
        <v>102</v>
      </c>
      <c r="D99" s="29"/>
      <c r="E99" s="29"/>
      <c r="F99" s="30"/>
      <c r="G99" s="27" t="e">
        <f>(iopat+icpat+oopat+ocpat)/(iottt+icttt+oottt+octtt)</f>
        <v>#DIV/0!</v>
      </c>
      <c r="H99" s="28"/>
    </row>
    <row r="100" ht="12.75" customHeight="1">
      <c r="A100" s="13"/>
      <c r="C100" s="24" t="s">
        <v>103</v>
      </c>
      <c r="D100" s="29"/>
      <c r="E100" s="29"/>
      <c r="F100" s="30"/>
      <c r="G100" s="27" t="e">
        <f>(iopat+icpat+oopat+ocpat)/dctot</f>
        <v>#DIV/0!</v>
      </c>
      <c r="H100" s="28"/>
    </row>
    <row r="101" ht="12.75" customHeight="1">
      <c r="A101" s="13"/>
      <c r="C101" s="24" t="s">
        <v>104</v>
      </c>
      <c r="D101" s="29"/>
      <c r="E101" s="29"/>
      <c r="F101" s="30"/>
      <c r="G101" s="27" t="e">
        <f>(ioltt+icltt+ooltt+ocltt)/(iottt+icttt+oottt+octtt)</f>
        <v>#DIV/0!</v>
      </c>
      <c r="H101" s="28"/>
    </row>
    <row r="102" ht="12.75" customHeight="1">
      <c r="A102" s="13"/>
      <c r="C102" s="24" t="s">
        <v>105</v>
      </c>
      <c r="D102" s="29"/>
      <c r="E102" s="29"/>
      <c r="F102" s="30"/>
      <c r="G102" s="27" t="e">
        <f>(ioltt+icltt+ooltt+ocltt)/dctot</f>
        <v>#DIV/0!</v>
      </c>
      <c r="H102" s="28"/>
    </row>
    <row r="103" ht="12.75" customHeight="1">
      <c r="A103" s="13"/>
      <c r="C103" s="24" t="s">
        <v>106</v>
      </c>
      <c r="D103" s="29"/>
      <c r="E103" s="29"/>
      <c r="F103" s="30"/>
      <c r="G103" s="27" t="e">
        <f>(ioplt+icplt+ooplt+ocplt)/(iottt+icttt+oottt+octtt)</f>
        <v>#DIV/0!</v>
      </c>
      <c r="H103" s="28"/>
    </row>
    <row r="104" ht="12.75" customHeight="1">
      <c r="A104" s="13"/>
      <c r="C104" s="24" t="s">
        <v>107</v>
      </c>
      <c r="D104" s="29"/>
      <c r="E104" s="29"/>
      <c r="F104" s="30"/>
      <c r="G104" s="27" t="e">
        <f>(ioplt+icplt+ooplt+ocplt)/dctot</f>
        <v>#DIV/0!</v>
      </c>
      <c r="H104" s="28"/>
    </row>
    <row r="105" ht="12.75" customHeight="1">
      <c r="A105" s="13"/>
      <c r="C105" s="24" t="s">
        <v>108</v>
      </c>
      <c r="D105" s="29"/>
      <c r="E105" s="29"/>
      <c r="F105" s="30"/>
      <c r="G105" s="27" t="e">
        <f>(ioltt+ioplt+icltt+icplt+ooltt+ooplt+ocltt+ocplt)/(iottt+icttt+oottt+octtt)</f>
        <v>#DIV/0!</v>
      </c>
      <c r="H105" s="28"/>
    </row>
    <row r="106" ht="12.75" customHeight="1">
      <c r="A106" s="13"/>
      <c r="C106" s="24" t="s">
        <v>109</v>
      </c>
      <c r="D106" s="29"/>
      <c r="E106" s="29"/>
      <c r="F106" s="30"/>
      <c r="G106" s="27" t="e">
        <f>(ioltt+ioplt+icltt+icplt+ooltt+ooplt+ocltt+ocplt)/dctot</f>
        <v>#DIV/0!</v>
      </c>
      <c r="H106" s="28"/>
    </row>
    <row r="107" ht="12.75" customHeight="1">
      <c r="A107" s="13"/>
      <c r="C107" s="24" t="s">
        <v>110</v>
      </c>
      <c r="D107" s="29"/>
      <c r="E107" s="29"/>
      <c r="F107" s="30"/>
      <c r="G107" s="27" t="e">
        <f>(iopft+icpft+oopft+ocpft)/(iottt+icttt+oottt+octtt)</f>
        <v>#DIV/0!</v>
      </c>
      <c r="H107" s="28"/>
    </row>
    <row r="108" ht="12.75" customHeight="1">
      <c r="A108" s="13"/>
      <c r="C108" s="24" t="s">
        <v>111</v>
      </c>
      <c r="D108" s="29"/>
      <c r="E108" s="29"/>
      <c r="F108" s="30"/>
      <c r="G108" s="27" t="e">
        <f>(iopft+icpft+oopft+ocpft)/dctot</f>
        <v>#DIV/0!</v>
      </c>
      <c r="H108" s="28"/>
    </row>
    <row r="109" s="23" customFormat="1">
      <c r="A109" s="21"/>
      <c r="B109" s="22"/>
      <c r="C109" s="56"/>
      <c r="D109" s="57"/>
      <c r="E109" s="57"/>
      <c r="F109" s="58"/>
      <c r="G109" s="59"/>
      <c r="H109" s="60"/>
    </row>
    <row r="110" ht="8.85" customHeight="1">
      <c r="A110" s="11"/>
      <c r="B110" s="11"/>
      <c r="C110" s="14"/>
      <c r="D110" s="15"/>
      <c r="E110" s="15"/>
      <c r="F110" s="16"/>
      <c r="G110" s="17"/>
      <c r="H110" s="18"/>
    </row>
    <row r="111" ht="8.85" customHeight="1">
      <c r="A111" s="11"/>
      <c r="B111" s="11"/>
      <c r="C111" s="14"/>
      <c r="D111" s="15"/>
      <c r="E111" s="15"/>
      <c r="F111" s="16"/>
      <c r="G111" s="17"/>
      <c r="H111" s="18"/>
    </row>
    <row r="112" ht="22.5" customHeight="1" thickBot="1">
      <c r="A112" s="13"/>
      <c r="B112" s="39" t="s">
        <v>112</v>
      </c>
      <c r="C112" s="40"/>
      <c r="D112" s="40"/>
      <c r="E112" s="40"/>
      <c r="F112" s="40"/>
      <c r="G112" s="40"/>
      <c r="H112" s="41"/>
    </row>
    <row r="113" ht="18.75" customHeight="1" thickTop="1">
      <c r="A113" s="13"/>
      <c r="B113" s="19"/>
      <c r="C113" s="51" t="s">
        <v>22</v>
      </c>
      <c r="D113" s="52"/>
      <c r="E113" s="52"/>
      <c r="F113" s="52"/>
      <c r="G113" s="53" t="s">
        <v>23</v>
      </c>
      <c r="H113" s="54"/>
    </row>
    <row r="114" ht="12.75" customHeight="1">
      <c r="A114" s="13"/>
      <c r="C114" s="24" t="s">
        <v>113</v>
      </c>
      <c r="D114" s="29"/>
      <c r="E114" s="29"/>
      <c r="F114" s="30"/>
      <c r="G114" s="27" t="e">
        <f>(iocsl+iccsl+oocsl+occsl)/(iottl+icttl+oottl+octtl)</f>
        <v>#DIV/0!</v>
      </c>
      <c r="H114" s="28"/>
    </row>
    <row r="115" ht="12.75" customHeight="1">
      <c r="A115" s="13"/>
      <c r="C115" s="24" t="s">
        <v>114</v>
      </c>
      <c r="D115" s="29"/>
      <c r="E115" s="29"/>
      <c r="F115" s="30"/>
      <c r="G115" s="27" t="e">
        <f>(iocol+iccol+oocol+occol)/(iottl+icttl+oottl+octtl)</f>
        <v>#DIV/0!</v>
      </c>
      <c r="H115" s="28"/>
    </row>
    <row r="116" ht="12.75" customHeight="1">
      <c r="A116" s="13"/>
      <c r="C116" s="24" t="s">
        <v>115</v>
      </c>
      <c r="D116" s="29"/>
      <c r="E116" s="29"/>
      <c r="F116" s="30"/>
      <c r="G116" s="27" t="e">
        <f>(iostl+icstl+oostl+ocstl)/(iottl+icttl+oottl+octtl)</f>
        <v>#DIV/0!</v>
      </c>
      <c r="H116" s="28"/>
    </row>
    <row r="117" ht="12.75" customHeight="1">
      <c r="A117" s="13"/>
      <c r="C117" s="24" t="s">
        <v>116</v>
      </c>
      <c r="D117" s="29"/>
      <c r="E117" s="29"/>
      <c r="F117" s="30"/>
      <c r="G117" s="27" t="e">
        <f>(iobll+icbll+oobll+ocbll)/(iottl+icttl+oottl+octtl)</f>
        <v>#DIV/0!</v>
      </c>
      <c r="H117" s="28"/>
    </row>
    <row r="118" ht="12.75" customHeight="1">
      <c r="A118" s="13"/>
      <c r="C118" s="24" t="s">
        <v>117</v>
      </c>
      <c r="D118" s="29"/>
      <c r="E118" s="29"/>
      <c r="F118" s="30"/>
      <c r="G118" s="27" t="e">
        <f>(iocsl+iocol+iostl+iobll+iccsl+iccol+icstl+icbll+oocsl+oocol+oostl+oobll+occsl+occol+ocstl+ocbll)/(iottl+icttl+oottl+octtl)</f>
        <v>#DIV/0!</v>
      </c>
      <c r="H118" s="28"/>
    </row>
    <row r="119" ht="12.75" customHeight="1">
      <c r="A119" s="13"/>
      <c r="C119" s="24" t="s">
        <v>118</v>
      </c>
      <c r="D119" s="29"/>
      <c r="E119" s="29"/>
      <c r="F119" s="30"/>
      <c r="G119" s="27" t="e">
        <f>(ioell+icell+ooell+ocell)/(iottl+icttl+oottl+octtl)</f>
        <v>#DIV/0!</v>
      </c>
      <c r="H119" s="28"/>
    </row>
    <row r="120" ht="12.75" customHeight="1">
      <c r="A120" s="13"/>
      <c r="C120" s="24" t="s">
        <v>119</v>
      </c>
      <c r="D120" s="29"/>
      <c r="E120" s="29"/>
      <c r="F120" s="30"/>
      <c r="G120" s="27" t="e">
        <f>(iopil+icpil+oopil+ocpil)/(iottl+icttl+oottl+octtl)</f>
        <v>#DIV/0!</v>
      </c>
      <c r="H120" s="28"/>
    </row>
    <row r="121" ht="12.75" customHeight="1">
      <c r="A121" s="13"/>
      <c r="C121" s="24" t="s">
        <v>120</v>
      </c>
      <c r="D121" s="29"/>
      <c r="E121" s="29"/>
      <c r="F121" s="30"/>
      <c r="G121" s="27" t="e">
        <f>(iopal+icpal+oopal+ocpal)/(iottl+icttl+oottl+octtl)</f>
        <v>#DIV/0!</v>
      </c>
      <c r="H121" s="28"/>
    </row>
    <row r="122" ht="12.75" customHeight="1">
      <c r="A122" s="13"/>
      <c r="C122" s="24" t="s">
        <v>121</v>
      </c>
      <c r="D122" s="29"/>
      <c r="E122" s="29"/>
      <c r="F122" s="30"/>
      <c r="G122" s="27" t="e">
        <f>(iolll+iclll+oolll+oclll)/(iottl+icttl+oottl+octtl)</f>
        <v>#DIV/0!</v>
      </c>
      <c r="H122" s="28"/>
    </row>
    <row r="123" ht="12.75" customHeight="1">
      <c r="A123" s="13"/>
      <c r="C123" s="24" t="s">
        <v>122</v>
      </c>
      <c r="D123" s="29"/>
      <c r="E123" s="29"/>
      <c r="F123" s="30"/>
      <c r="G123" s="27" t="e">
        <f>(iopll+icpll+oopll+ocpll)/(iottl+icttl+oottl+octtl)</f>
        <v>#DIV/0!</v>
      </c>
      <c r="H123" s="28"/>
    </row>
    <row r="124" ht="12.75" customHeight="1">
      <c r="A124" s="13"/>
      <c r="C124" s="24" t="s">
        <v>123</v>
      </c>
      <c r="D124" s="29"/>
      <c r="E124" s="29"/>
      <c r="F124" s="30"/>
      <c r="G124" s="27" t="e">
        <f>(iolll+iopll+iclll+icpll+oolll+oopll+oclll+ocpll)/(iottl+icttl+oottl+octtl)</f>
        <v>#DIV/0!</v>
      </c>
      <c r="H124" s="28"/>
    </row>
    <row r="125" ht="12.75" customHeight="1">
      <c r="A125" s="13"/>
      <c r="C125" s="24" t="s">
        <v>124</v>
      </c>
      <c r="D125" s="29"/>
      <c r="E125" s="29"/>
      <c r="F125" s="30"/>
      <c r="G125" s="27" t="e">
        <f>(iopfl+icpfl+oopfl+ocpfl)/(iottl+icttl+oottl+octtl)</f>
        <v>#DIV/0!</v>
      </c>
      <c r="H125" s="28"/>
    </row>
    <row r="126" ht="12.75" customHeight="1">
      <c r="A126" s="13"/>
      <c r="C126" s="24" t="s">
        <v>125</v>
      </c>
      <c r="D126" s="29"/>
      <c r="E126" s="29"/>
      <c r="F126" s="30"/>
      <c r="G126" s="27" t="e">
        <f>(cocmt+cccmt)/(iottl+icttl+oottl+octtl)</f>
        <v>#DIV/0!</v>
      </c>
      <c r="H126" s="28"/>
    </row>
    <row r="127" ht="12.75" customHeight="1">
      <c r="A127" s="13"/>
      <c r="C127" s="24" t="s">
        <v>126</v>
      </c>
      <c r="D127" s="29"/>
      <c r="E127" s="29"/>
      <c r="F127" s="30"/>
      <c r="G127" s="27" t="e">
        <f>(cocet+cccet)/(iottl+icttl+oottl+octtl)</f>
        <v>#DIV/0!</v>
      </c>
      <c r="H127" s="28"/>
    </row>
    <row r="128" ht="12.75" customHeight="1">
      <c r="A128" s="13"/>
      <c r="C128" s="24" t="s">
        <v>127</v>
      </c>
      <c r="D128" s="29"/>
      <c r="E128" s="29"/>
      <c r="F128" s="30"/>
      <c r="G128" s="27" t="e">
        <f>(cotft+cctft)/(iottl+icttl+oottl+octtl)</f>
        <v>#DIV/0!</v>
      </c>
      <c r="H128" s="28"/>
    </row>
    <row r="129" ht="12.75" customHeight="1">
      <c r="A129" s="13"/>
      <c r="C129" s="24" t="s">
        <v>128</v>
      </c>
      <c r="D129" s="29"/>
      <c r="E129" s="29"/>
      <c r="F129" s="30"/>
      <c r="G129" s="27" t="e">
        <f>(cocmt+cocet+cotft+cccmt+cccet+cctft)/(iottt+icttt+oottt+octtt)</f>
        <v>#DIV/0!</v>
      </c>
      <c r="H129" s="28"/>
    </row>
    <row r="130">
      <c r="A130" s="13"/>
      <c r="B130" s="6"/>
      <c r="C130" s="46"/>
      <c r="D130" s="47"/>
      <c r="E130" s="47"/>
      <c r="F130" s="48"/>
      <c r="G130" s="49"/>
      <c r="H130" s="50"/>
    </row>
    <row r="131" ht="8.85" customHeight="1">
      <c r="A131" s="11"/>
      <c r="B131" s="11"/>
      <c r="C131" s="14"/>
      <c r="D131" s="15"/>
      <c r="E131" s="15"/>
      <c r="F131" s="16"/>
      <c r="G131" s="17"/>
      <c r="H131" s="18"/>
    </row>
    <row r="132" ht="8.85" customHeight="1">
      <c r="A132" s="11"/>
      <c r="B132" s="11"/>
      <c r="C132" s="14"/>
      <c r="D132" s="15"/>
      <c r="E132" s="15"/>
      <c r="F132" s="16"/>
      <c r="G132" s="17"/>
      <c r="H132" s="18"/>
    </row>
    <row r="133" ht="22.5" customHeight="1" thickBot="1">
      <c r="A133" s="13"/>
      <c r="B133" s="39" t="s">
        <v>129</v>
      </c>
      <c r="C133" s="40"/>
      <c r="D133" s="40"/>
      <c r="E133" s="40"/>
      <c r="F133" s="40"/>
      <c r="G133" s="40"/>
      <c r="H133" s="41"/>
    </row>
    <row r="134" ht="18.75" customHeight="1" thickTop="1">
      <c r="A134" s="13"/>
      <c r="B134" s="19"/>
      <c r="C134" s="51" t="s">
        <v>22</v>
      </c>
      <c r="D134" s="52"/>
      <c r="E134" s="52"/>
      <c r="F134" s="52"/>
      <c r="G134" s="53" t="s">
        <v>23</v>
      </c>
      <c r="H134" s="54"/>
    </row>
    <row r="135" ht="12.75" customHeight="1">
      <c r="A135" s="13"/>
      <c r="C135" s="24" t="s">
        <v>130</v>
      </c>
      <c r="D135" s="29"/>
      <c r="E135" s="29"/>
      <c r="F135" s="30"/>
      <c r="G135" s="27" t="e">
        <f>(iottl+icttl+oottl+octtl)/(ioeom+iceom+iolbm+iclbm+iopbm+icpbm+ooeom+oceom+oolbm+oclbm+oopbm+ocpbm)</f>
        <v>#DIV/0!</v>
      </c>
      <c r="H135" s="28"/>
    </row>
    <row r="136" ht="12.75" customHeight="1">
      <c r="A136" s="13"/>
      <c r="C136" s="24" t="s">
        <v>131</v>
      </c>
      <c r="D136" s="29"/>
      <c r="E136" s="29"/>
      <c r="F136" s="30"/>
      <c r="G136" s="27" t="e">
        <f>(iottl+icttl+oottl+octtl)/((ioeom+iceom+iolbm+iclbm+iopbm+icpbm+ooeom+oceom+oolbm+oclbm+oopbm+ocpbm)+(ioemm+ioefm+iolem+iopem+icemm+icefm+iclem+icpem+ ooemm+ooefm+oolem+oopem+ocemm+ocefm+oclem+ocpem))</f>
        <v>#DIV/0!</v>
      </c>
      <c r="H136" s="28"/>
    </row>
    <row r="137" ht="12.75" customHeight="1">
      <c r="A137" s="13"/>
      <c r="C137" s="24" t="s">
        <v>132</v>
      </c>
      <c r="D137" s="29"/>
      <c r="E137" s="29"/>
      <c r="F137" s="30"/>
      <c r="G137" s="27" t="e">
        <f>(iocsl+iccsl+oocsl+occsl)/(iocsm+iccsm+oocsm+occsm)</f>
        <v>#DIV/0!</v>
      </c>
      <c r="H137" s="28"/>
    </row>
    <row r="138" ht="12.75" customHeight="1">
      <c r="A138" s="13"/>
      <c r="C138" s="24" t="s">
        <v>133</v>
      </c>
      <c r="D138" s="29"/>
      <c r="E138" s="29"/>
      <c r="F138" s="30"/>
      <c r="G138" s="27" t="e">
        <f>(iocol+iccol+oocol+occol)/(iocom+iccom+oocom+occom)</f>
        <v>#DIV/0!</v>
      </c>
      <c r="H138" s="28"/>
    </row>
    <row r="139" ht="12.75" customHeight="1">
      <c r="A139" s="13"/>
      <c r="C139" s="24" t="s">
        <v>134</v>
      </c>
      <c r="D139" s="29"/>
      <c r="E139" s="29"/>
      <c r="F139" s="30"/>
      <c r="G139" s="27" t="e">
        <f>(iostl+icstl+oostl+ocstl)/(iostm+icstm+oostm+ocstm)</f>
        <v>#DIV/0!</v>
      </c>
      <c r="H139" s="28"/>
    </row>
    <row r="140" ht="12.75" customHeight="1">
      <c r="A140" s="13"/>
      <c r="C140" s="24" t="s">
        <v>135</v>
      </c>
      <c r="D140" s="29"/>
      <c r="E140" s="29"/>
      <c r="F140" s="30"/>
      <c r="G140" s="27" t="e">
        <f>(iobll+icbll+oobll+ocbll)/(ioblm+icblm+ooblm+ocblm)</f>
        <v>#DIV/0!</v>
      </c>
      <c r="H140" s="28"/>
    </row>
    <row r="141" ht="12.75" customHeight="1">
      <c r="A141" s="13"/>
      <c r="C141" s="24" t="s">
        <v>136</v>
      </c>
      <c r="D141" s="29"/>
      <c r="E141" s="29"/>
      <c r="F141" s="30"/>
      <c r="G141" s="27" t="e">
        <f>(ioell+icell+ooell+ocell)/(ioemm+ioefm+icemm+icefm+ooemm+ooefm+ocemm+ocefm+ioeom+iceom+ooeom+oceom)</f>
        <v>#DIV/0!</v>
      </c>
      <c r="H141" s="28"/>
    </row>
    <row r="142" ht="12.75" customHeight="1">
      <c r="A142" s="13"/>
      <c r="C142" s="24" t="s">
        <v>137</v>
      </c>
      <c r="D142" s="29"/>
      <c r="E142" s="29"/>
      <c r="F142" s="30"/>
      <c r="G142" s="27" t="e">
        <f>(iopil+icpil+oopil+ocpil)/(iopim+icpim+oopim+ocpim)</f>
        <v>#DIV/0!</v>
      </c>
      <c r="H142" s="28"/>
    </row>
    <row r="143" ht="12.75" customHeight="1">
      <c r="A143" s="13"/>
      <c r="C143" s="24" t="s">
        <v>138</v>
      </c>
      <c r="D143" s="29"/>
      <c r="E143" s="29"/>
      <c r="F143" s="30"/>
      <c r="G143" s="27" t="e">
        <f>(iopal+icpal+oopal+ocpal)/(iopam+icpam+oopam+ocpam)</f>
        <v>#DIV/0!</v>
      </c>
      <c r="H143" s="28"/>
    </row>
    <row r="144" ht="12.75" customHeight="1">
      <c r="A144" s="13"/>
      <c r="C144" s="24" t="s">
        <v>139</v>
      </c>
      <c r="D144" s="29"/>
      <c r="E144" s="29"/>
      <c r="F144" s="30"/>
      <c r="G144" s="27" t="e">
        <f>(iolll+iclll+oolll+oclll)/(iolem+iolbm+iclem+iclbm+oolem+oolbm+oclem+oclbm)</f>
        <v>#DIV/0!</v>
      </c>
      <c r="H144" s="28"/>
    </row>
    <row r="145" ht="12.75" customHeight="1">
      <c r="A145" s="13"/>
      <c r="C145" s="24" t="s">
        <v>140</v>
      </c>
      <c r="D145" s="29"/>
      <c r="E145" s="29"/>
      <c r="F145" s="30"/>
      <c r="G145" s="27" t="e">
        <f>(iolll+iclll+oolll+oclll)/(iolbm+iclbm+oolbm+oclbm)</f>
        <v>#DIV/0!</v>
      </c>
      <c r="H145" s="28"/>
    </row>
    <row r="146" ht="12.75" customHeight="1">
      <c r="A146" s="13"/>
      <c r="C146" s="24" t="s">
        <v>141</v>
      </c>
      <c r="D146" s="29"/>
      <c r="E146" s="29"/>
      <c r="F146" s="30"/>
      <c r="G146" s="27" t="e">
        <f>(iopll+icpll+oopll+ocpll)/(iopem+iopbm+icpem+icpbm+oopem+oopbm+ocpem+ocpbm)</f>
        <v>#DIV/0!</v>
      </c>
      <c r="H146" s="28"/>
    </row>
    <row r="147" ht="12.75" customHeight="1">
      <c r="A147" s="13"/>
      <c r="C147" s="24" t="s">
        <v>142</v>
      </c>
      <c r="D147" s="29"/>
      <c r="E147" s="29"/>
      <c r="F147" s="30"/>
      <c r="G147" s="27" t="e">
        <f>(iopll+icpll+oopll+ocpll)/(iopbm+icpbm+oopbm+ocpbm)</f>
        <v>#DIV/0!</v>
      </c>
      <c r="H147" s="28"/>
    </row>
    <row r="148" ht="12.75" customHeight="1">
      <c r="A148" s="13"/>
      <c r="C148" s="24" t="s">
        <v>143</v>
      </c>
      <c r="D148" s="29"/>
      <c r="E148" s="29"/>
      <c r="F148" s="30"/>
      <c r="G148" s="27" t="e">
        <f>(iopfl+icpfl+oopfl+ocpfl)/(iopfm+icpfm+oopfm+ocpfm)</f>
        <v>#DIV/0!</v>
      </c>
      <c r="H148" s="28"/>
    </row>
    <row r="149">
      <c r="A149" s="13"/>
      <c r="B149" s="6"/>
      <c r="C149" s="46"/>
      <c r="D149" s="47"/>
      <c r="E149" s="47"/>
      <c r="F149" s="48"/>
      <c r="G149" s="49"/>
      <c r="H149" s="50"/>
    </row>
    <row r="150" ht="8.85" customHeight="1">
      <c r="A150" s="11"/>
      <c r="B150" s="11"/>
      <c r="C150" s="14"/>
      <c r="D150" s="15"/>
      <c r="E150" s="15"/>
      <c r="F150" s="16"/>
      <c r="G150" s="17"/>
      <c r="H150" s="18"/>
    </row>
    <row r="151" ht="8.85" customHeight="1">
      <c r="A151" s="11"/>
      <c r="B151" s="11"/>
      <c r="C151" s="14"/>
      <c r="D151" s="15"/>
      <c r="E151" s="15"/>
      <c r="F151" s="16"/>
      <c r="G151" s="17"/>
      <c r="H151" s="18"/>
    </row>
    <row r="152" ht="22.5" customHeight="1" thickBot="1">
      <c r="A152" s="13"/>
      <c r="B152" s="39" t="s">
        <v>144</v>
      </c>
      <c r="C152" s="40"/>
      <c r="D152" s="40"/>
      <c r="E152" s="40"/>
      <c r="F152" s="40"/>
      <c r="G152" s="40"/>
      <c r="H152" s="41"/>
    </row>
    <row r="153" ht="18.75" customHeight="1" thickTop="1">
      <c r="A153" s="13"/>
      <c r="B153" s="19"/>
      <c r="C153" s="51" t="s">
        <v>22</v>
      </c>
      <c r="D153" s="52"/>
      <c r="E153" s="52"/>
      <c r="F153" s="52"/>
      <c r="G153" s="53" t="s">
        <v>23</v>
      </c>
      <c r="H153" s="54"/>
    </row>
    <row r="154" ht="12.75" customHeight="1">
      <c r="A154" s="13"/>
      <c r="C154" s="24" t="s">
        <v>145</v>
      </c>
      <c r="D154" s="29"/>
      <c r="E154" s="29"/>
      <c r="F154" s="30"/>
      <c r="G154" s="27" t="e">
        <f>(eottt+ecttt)/(iottt+icttt+oottt+octtt)</f>
        <v>#DIV/0!</v>
      </c>
      <c r="H154" s="28"/>
    </row>
    <row r="155" ht="12.75" customHeight="1">
      <c r="A155" s="13"/>
      <c r="C155" s="24" t="s">
        <v>146</v>
      </c>
      <c r="D155" s="29"/>
      <c r="E155" s="29"/>
      <c r="F155" s="30"/>
      <c r="G155" s="27" t="e">
        <f>(eocil+eostl+eoapl+eccil+ecstl+ecapl)/(iocst+iocot+iostt+ioblt+iccst+iccot+icstt+icblt+oocst+oocot+oostt+ooblt+occst+occot+ocstt+ocblt)</f>
        <v>#DIV/0!</v>
      </c>
      <c r="H155" s="28"/>
    </row>
    <row r="156" ht="12.75" customHeight="1">
      <c r="A156" s="13"/>
      <c r="C156" s="24" t="s">
        <v>147</v>
      </c>
      <c r="D156" s="29"/>
      <c r="E156" s="29"/>
      <c r="F156" s="30"/>
      <c r="G156" s="27" t="e">
        <f>(eopil+ecpil)/(iopit+icpit+oopit+ocpit)</f>
        <v>#DIV/0!</v>
      </c>
      <c r="H156" s="28"/>
    </row>
    <row r="157" ht="12.75" customHeight="1">
      <c r="A157" s="13"/>
      <c r="C157" s="24" t="s">
        <v>148</v>
      </c>
      <c r="D157" s="29"/>
      <c r="E157" s="29"/>
      <c r="F157" s="30"/>
      <c r="G157" s="27" t="e">
        <f>(eomel+ecmel)/(ioemm+ioefm+icemm+icefm+iolem+iclem+iopem+icpem)</f>
        <v>#DIV/0!</v>
      </c>
      <c r="H157" s="28"/>
    </row>
    <row r="158" ht="12.75" customHeight="1">
      <c r="A158" s="13"/>
      <c r="C158" s="24" t="s">
        <v>149</v>
      </c>
      <c r="D158" s="29"/>
      <c r="E158" s="29"/>
      <c r="F158" s="30"/>
      <c r="G158" s="27" t="e">
        <f>(eopml+eopcl+ecpml+ecpcl)/(iopit+icpit+oopit+ocpit+ioltt+icltt+ooltt+ocltt+ioplt+icplt+ooplt+ocplt)</f>
        <v>#DIV/0!</v>
      </c>
      <c r="H158" s="28"/>
    </row>
    <row r="159" ht="12.75" customHeight="1">
      <c r="A159" s="13"/>
      <c r="C159" s="24" t="s">
        <v>150</v>
      </c>
      <c r="D159" s="29"/>
      <c r="E159" s="29"/>
      <c r="F159" s="30"/>
      <c r="G159" s="27" t="e">
        <f>(eoell+ecell)/(ioltt+icltt+ooltt+ocltt)</f>
        <v>#DIV/0!</v>
      </c>
      <c r="H159" s="28"/>
    </row>
    <row r="160" ht="12.75" customHeight="1">
      <c r="A160" s="13"/>
      <c r="C160" s="24" t="s">
        <v>151</v>
      </c>
      <c r="D160" s="29"/>
      <c r="E160" s="29"/>
      <c r="F160" s="30"/>
      <c r="G160" s="27" t="e">
        <f>(eoprl+ecprl)/(ioplt+icplt+ooplt+ocplt)</f>
        <v>#DIV/0!</v>
      </c>
      <c r="H160" s="28"/>
    </row>
    <row r="161" ht="12.75" customHeight="1">
      <c r="A161" s="13"/>
      <c r="C161" s="24" t="s">
        <v>152</v>
      </c>
      <c r="D161" s="29"/>
      <c r="E161" s="29"/>
      <c r="F161" s="30"/>
      <c r="G161" s="27" t="e">
        <f>(eoell+eoprl+ecell+ecprl)/(ioltt+icltt+ioplt+icplt+ooltt+ocltt+ooplt+ocplt)</f>
        <v>#DIV/0!</v>
      </c>
      <c r="H161" s="28"/>
    </row>
    <row r="162">
      <c r="A162" s="13"/>
      <c r="B162" s="6"/>
      <c r="C162" s="46"/>
      <c r="D162" s="47"/>
      <c r="E162" s="47"/>
      <c r="F162" s="48"/>
      <c r="G162" s="49"/>
      <c r="H162" s="50"/>
    </row>
    <row r="163" ht="8.85" customHeight="1">
      <c r="A163" s="11"/>
      <c r="B163" s="11"/>
      <c r="C163" s="14"/>
      <c r="D163" s="15"/>
      <c r="E163" s="15"/>
      <c r="F163" s="16"/>
      <c r="G163" s="17"/>
      <c r="H163" s="18"/>
    </row>
    <row r="164" ht="8.85" customHeight="1">
      <c r="A164" s="11"/>
      <c r="B164" s="11"/>
      <c r="C164" s="14"/>
      <c r="D164" s="15"/>
      <c r="E164" s="15"/>
      <c r="F164" s="16"/>
      <c r="G164" s="17"/>
      <c r="H164" s="18"/>
    </row>
    <row r="165" ht="22.5" customHeight="1" thickBot="1">
      <c r="A165" s="13"/>
      <c r="B165" s="39" t="s">
        <v>153</v>
      </c>
      <c r="C165" s="40"/>
      <c r="D165" s="40"/>
      <c r="E165" s="40"/>
      <c r="F165" s="40"/>
      <c r="G165" s="40"/>
      <c r="H165" s="41"/>
    </row>
    <row r="166" ht="18.75" customHeight="1" thickTop="1">
      <c r="A166" s="13"/>
      <c r="B166" s="19"/>
      <c r="C166" s="51" t="s">
        <v>22</v>
      </c>
      <c r="D166" s="52"/>
      <c r="E166" s="52"/>
      <c r="F166" s="52"/>
      <c r="G166" s="53" t="s">
        <v>23</v>
      </c>
      <c r="H166" s="54"/>
    </row>
    <row r="167" ht="25.5" customHeight="1">
      <c r="A167" s="13"/>
      <c r="C167" s="24" t="s">
        <v>154</v>
      </c>
      <c r="D167" s="29"/>
      <c r="E167" s="29"/>
      <c r="F167" s="30"/>
      <c r="G167" s="27" t="str">
        <f>IF((qiewn+qoewn)&gt;0,(eotth+ectth)/(qiewn+qoewn), "Need Eqp.Count")</f>
        <v>Need Eqp.Count</v>
      </c>
      <c r="H167" s="28"/>
    </row>
    <row r="168" ht="12.75" customHeight="1">
      <c r="A168" s="13"/>
      <c r="C168" s="24" t="s">
        <v>155</v>
      </c>
      <c r="D168" s="29"/>
      <c r="E168" s="29"/>
      <c r="F168" s="30"/>
      <c r="G168" s="27" t="str">
        <f>IF((qipil+qopil)&gt;0,(eotth+ectth)/(qipil+qopil),"Need Ft. Pipe")</f>
        <v>Need Ft. Pipe</v>
      </c>
      <c r="H168" s="28"/>
    </row>
    <row r="169" ht="12.75" customHeight="1">
      <c r="A169" s="13"/>
      <c r="C169" s="24" t="s">
        <v>156</v>
      </c>
      <c r="D169" s="29"/>
      <c r="E169" s="29"/>
      <c r="F169" s="30"/>
      <c r="G169" s="27" t="str">
        <f>IF((qiewn+qoewn)&gt;0,(eocih+eosth+eoaph+eccih+ecsth+ecaph)/(qiewn+qoewn),"Need Eqp.Count")</f>
        <v>Need Eqp.Count</v>
      </c>
      <c r="H169" s="28"/>
    </row>
    <row r="170" ht="12.75" customHeight="1">
      <c r="A170" s="13"/>
      <c r="C170" s="24" t="s">
        <v>157</v>
      </c>
      <c r="D170" s="29"/>
      <c r="E170" s="29"/>
      <c r="F170" s="30"/>
      <c r="G170" s="27" t="str">
        <f>IF((qist+qost)&gt;0,(eocih+eosth+eoaph+eccih+ecsth+ecaph)/(qist+qost),"Need Tons Steel")</f>
        <v>Need Tons Steel</v>
      </c>
      <c r="H170" s="28"/>
    </row>
    <row r="171" ht="12.75" customHeight="1">
      <c r="A171" s="13"/>
      <c r="C171" s="24" t="s">
        <v>158</v>
      </c>
      <c r="D171" s="29"/>
      <c r="E171" s="29"/>
      <c r="F171" s="30"/>
      <c r="G171" s="27" t="str">
        <f>IF((qipil+qopil)&gt;0,(eocih+eosth+eoaph+eccih+ecsth+ecaph)/(qipil+qopil),"Need Ft.Pipe")</f>
        <v>Need Ft.Pipe</v>
      </c>
      <c r="H171" s="28"/>
    </row>
    <row r="172" ht="12.75" customHeight="1">
      <c r="A172" s="13"/>
      <c r="C172" s="24" t="s">
        <v>159</v>
      </c>
      <c r="D172" s="29"/>
      <c r="E172" s="29"/>
      <c r="F172" s="30"/>
      <c r="G172" s="27" t="str">
        <f>IF((qiewn+qoewn)&gt;0,(eomeh+ecmeh)/(qiewn+qoewn),"Need Eqp.Count")</f>
        <v>Need Eqp.Count</v>
      </c>
      <c r="H172" s="28"/>
    </row>
    <row r="173" ht="12.75" customHeight="1">
      <c r="A173" s="13"/>
      <c r="C173" s="24" t="s">
        <v>160</v>
      </c>
      <c r="D173" s="29"/>
      <c r="E173" s="29"/>
      <c r="F173" s="30"/>
      <c r="G173" s="27" t="str">
        <f>IF((qipil+qopil)&gt;0,(eomeh+ecmeh)/(qipil+qopil), "Need Ft. Pipe")</f>
        <v>Need Ft. Pipe</v>
      </c>
      <c r="H173" s="28"/>
    </row>
    <row r="174" ht="12.75" customHeight="1">
      <c r="A174" s="13"/>
      <c r="C174" s="24" t="s">
        <v>161</v>
      </c>
      <c r="D174" s="29"/>
      <c r="E174" s="29"/>
      <c r="F174" s="30"/>
      <c r="G174" s="27" t="str">
        <f>IF((qiewn+qoewn)&gt;0,(eopih+ecpih)/(qiewn+qoewn),"Need Eqp.Count")</f>
        <v>Need Eqp.Count</v>
      </c>
      <c r="H174" s="28"/>
    </row>
    <row r="175" ht="12.75" customHeight="1">
      <c r="A175" s="13"/>
      <c r="C175" s="24" t="s">
        <v>162</v>
      </c>
      <c r="D175" s="29"/>
      <c r="E175" s="29"/>
      <c r="F175" s="30"/>
      <c r="G175" s="27" t="str">
        <f>IF((qipil+qopil)&gt;0,(eopih+ecpih)/(qipil+qopil), "Need Ft.Pipe")</f>
        <v>Need Ft.Pipe</v>
      </c>
      <c r="H175" s="28"/>
    </row>
    <row r="176" ht="12.75" customHeight="1">
      <c r="A176" s="13"/>
      <c r="C176" s="24" t="s">
        <v>163</v>
      </c>
      <c r="D176" s="29"/>
      <c r="E176" s="29"/>
      <c r="F176" s="30"/>
      <c r="G176" s="27" t="e">
        <f>(eopih+ecpih)/(qipiw+qopiw)</f>
        <v>#DIV/0!</v>
      </c>
      <c r="H176" s="28"/>
    </row>
    <row r="177" ht="12.75" customHeight="1">
      <c r="A177" s="13"/>
      <c r="C177" s="24" t="s">
        <v>164</v>
      </c>
      <c r="D177" s="29"/>
      <c r="E177" s="29"/>
      <c r="F177" s="30"/>
      <c r="G177" s="27" t="str">
        <f>IF((qiewn+qoewn)&gt;0,(eopmh+eopch+ecpmh+ecpch)/(qiewn+qoewn),"Need Eqp.Count")</f>
        <v>Need Eqp.Count</v>
      </c>
      <c r="H177" s="28"/>
    </row>
    <row r="178" ht="12.75" customHeight="1">
      <c r="A178" s="13"/>
      <c r="C178" s="24" t="s">
        <v>165</v>
      </c>
      <c r="D178" s="29"/>
      <c r="E178" s="29"/>
      <c r="F178" s="30"/>
      <c r="G178" s="27" t="str">
        <f>IF((qipil+qopil)&gt;0,(eopmh+eopch+ecpmh+ecpch)/(qipil+qopil), "Need Ft. Pipe")</f>
        <v>Need Ft. Pipe</v>
      </c>
      <c r="H178" s="28"/>
    </row>
    <row r="179" ht="12.75" customHeight="1">
      <c r="A179" s="13"/>
      <c r="C179" s="24" t="s">
        <v>166</v>
      </c>
      <c r="D179" s="29"/>
      <c r="E179" s="29"/>
      <c r="F179" s="30"/>
      <c r="G179" s="27" t="str">
        <f>IF((qiewn+qoewn)&gt;0,(eoelh+ecelh)/(qiewn+qoewn), "Need Eqp.Count")</f>
        <v>Need Eqp.Count</v>
      </c>
      <c r="H179" s="28"/>
    </row>
    <row r="180" ht="12.75" customHeight="1">
      <c r="A180" s="13"/>
      <c r="C180" s="24" t="s">
        <v>167</v>
      </c>
      <c r="D180" s="29"/>
      <c r="E180" s="29"/>
      <c r="F180" s="30"/>
      <c r="G180" s="27" t="e">
        <f>(eoelh+ecelh)/(qiell+qoell)</f>
        <v>#DIV/0!</v>
      </c>
      <c r="H180" s="28"/>
    </row>
    <row r="181" ht="12.75" customHeight="1">
      <c r="A181" s="13"/>
      <c r="C181" s="24" t="s">
        <v>168</v>
      </c>
      <c r="D181" s="29"/>
      <c r="E181" s="29"/>
      <c r="F181" s="30"/>
      <c r="G181" s="27" t="e">
        <f>(eoelh+ecelh)/(qielc+qoelc)</f>
        <v>#DIV/0!</v>
      </c>
      <c r="H181" s="28"/>
    </row>
    <row r="182" ht="12.75" customHeight="1">
      <c r="A182" s="13"/>
      <c r="C182" s="24" t="s">
        <v>169</v>
      </c>
      <c r="D182" s="29"/>
      <c r="E182" s="29"/>
      <c r="F182" s="30"/>
      <c r="G182" s="27" t="str">
        <f>IF((qiewn+qoewn)&gt;0,(eoprh+ecprh)/(qiewn+qoewn), "Need Eqp.Count")</f>
        <v>Need Eqp.Count</v>
      </c>
      <c r="H182" s="28"/>
    </row>
    <row r="183" ht="12.75" customHeight="1">
      <c r="A183" s="13"/>
      <c r="C183" s="24" t="s">
        <v>170</v>
      </c>
      <c r="D183" s="29"/>
      <c r="E183" s="29"/>
      <c r="F183" s="30"/>
      <c r="G183" s="27" t="e">
        <f>(eoprh+ecprh)/(qiinn+qoinn)</f>
        <v>#DIV/0!</v>
      </c>
      <c r="H183" s="28"/>
    </row>
    <row r="184" ht="12.75" customHeight="1">
      <c r="A184" s="13"/>
      <c r="C184" s="24" t="s">
        <v>171</v>
      </c>
      <c r="D184" s="29"/>
      <c r="E184" s="29"/>
      <c r="F184" s="30"/>
      <c r="G184" s="27" t="e">
        <f>(eoprh+ecprh)/(qiini+qoini)</f>
        <v>#DIV/0!</v>
      </c>
      <c r="H184" s="28"/>
    </row>
    <row r="185" ht="12.75" customHeight="1">
      <c r="A185" s="13"/>
      <c r="C185" s="24" t="s">
        <v>172</v>
      </c>
      <c r="D185" s="29"/>
      <c r="E185" s="29"/>
      <c r="F185" s="30"/>
      <c r="G185" s="27" t="str">
        <f>IF((qiewn+qoewn)&gt;0,(eoelh+eoprh+ecelh+ecprh)/(qiewn+qoewn), "Need Eqp.Count")</f>
        <v>Need Eqp.Count</v>
      </c>
      <c r="H185" s="28"/>
    </row>
    <row r="186" ht="12.75" customHeight="1">
      <c r="A186" s="13"/>
      <c r="C186" s="24" t="s">
        <v>173</v>
      </c>
      <c r="D186" s="29"/>
      <c r="E186" s="29"/>
      <c r="F186" s="30"/>
      <c r="G186" s="27" t="str">
        <f>IF((qipil+qopil)&gt;0,(eoelh+eoprh+ecelh+ecprh)/(qipil+qopil), "Need Ft. Pipe")</f>
        <v>Need Ft. Pipe</v>
      </c>
      <c r="H186" s="28"/>
    </row>
    <row r="187" ht="12.75" customHeight="1">
      <c r="A187" s="13"/>
      <c r="C187" s="24" t="s">
        <v>174</v>
      </c>
      <c r="D187" s="29"/>
      <c r="E187" s="29"/>
      <c r="F187" s="30"/>
      <c r="G187" s="27" t="str">
        <f>IF((qiewn+qoewn)&gt;0,(eomih+ecmih)/(qiewn+qoewn), "Need Eqp.Count")</f>
        <v>Need Eqp.Count</v>
      </c>
      <c r="H187" s="28"/>
    </row>
    <row r="188" ht="12.75" customHeight="1">
      <c r="A188" s="13"/>
      <c r="C188" s="24" t="s">
        <v>175</v>
      </c>
      <c r="D188" s="29"/>
      <c r="E188" s="29"/>
      <c r="F188" s="30"/>
      <c r="G188" s="27" t="str">
        <f>IF((qipil+qopil)&gt;0,(eomih+ecmih)/(qipil+qopil), "Need Ft. Pipe")</f>
        <v>Need Ft. Pipe</v>
      </c>
      <c r="H188" s="28"/>
    </row>
    <row r="189">
      <c r="A189" s="13"/>
      <c r="B189" s="6"/>
      <c r="C189" s="46"/>
      <c r="D189" s="47"/>
      <c r="E189" s="47"/>
      <c r="F189" s="48"/>
      <c r="G189" s="49"/>
      <c r="H189" s="50"/>
    </row>
    <row r="190" ht="8.85" customHeight="1">
      <c r="A190" s="11"/>
      <c r="B190" s="11"/>
      <c r="C190" s="14"/>
      <c r="D190" s="15"/>
      <c r="E190" s="15"/>
      <c r="F190" s="16"/>
      <c r="G190" s="17"/>
      <c r="H190" s="18"/>
    </row>
    <row r="191" ht="8.85" customHeight="1">
      <c r="A191" s="11"/>
      <c r="B191" s="11"/>
      <c r="C191" s="14"/>
      <c r="D191" s="15"/>
      <c r="E191" s="15"/>
      <c r="F191" s="16"/>
      <c r="G191" s="17"/>
      <c r="H191" s="18"/>
    </row>
    <row r="192" ht="22.5" customHeight="1" thickBot="1">
      <c r="A192" s="13"/>
      <c r="B192" s="39" t="s">
        <v>176</v>
      </c>
      <c r="C192" s="40"/>
      <c r="D192" s="40"/>
      <c r="E192" s="40"/>
      <c r="F192" s="40"/>
      <c r="G192" s="40"/>
      <c r="H192" s="41"/>
    </row>
    <row r="193" ht="18.75" customHeight="1" thickTop="1">
      <c r="A193" s="13"/>
      <c r="B193" s="19"/>
      <c r="C193" s="51" t="s">
        <v>22</v>
      </c>
      <c r="D193" s="52"/>
      <c r="E193" s="52"/>
      <c r="F193" s="52"/>
      <c r="G193" s="53" t="s">
        <v>23</v>
      </c>
      <c r="H193" s="54"/>
    </row>
    <row r="194">
      <c r="A194" s="13"/>
      <c r="C194" s="24"/>
      <c r="D194" s="29"/>
      <c r="E194" s="29"/>
      <c r="F194" s="30"/>
      <c r="G194" s="27"/>
      <c r="H194" s="28"/>
    </row>
    <row r="195">
      <c r="A195" s="13"/>
      <c r="C195" s="61" t="s">
        <v>177</v>
      </c>
      <c r="D195" s="62"/>
      <c r="E195" s="62"/>
      <c r="F195" s="63"/>
      <c r="G195" s="27"/>
      <c r="H195" s="28"/>
    </row>
    <row r="196" ht="12.75" customHeight="1">
      <c r="A196" s="13"/>
      <c r="C196" s="24" t="s">
        <v>178</v>
      </c>
      <c r="D196" s="29"/>
      <c r="E196" s="29"/>
      <c r="F196" s="30"/>
      <c r="G196" s="27" t="e">
        <f>(mottt*1000000)/motth</f>
        <v>#DIV/0!</v>
      </c>
      <c r="H196" s="28"/>
    </row>
    <row r="197" ht="12.75" customHeight="1">
      <c r="A197" s="13"/>
      <c r="C197" s="24" t="s">
        <v>179</v>
      </c>
      <c r="D197" s="29"/>
      <c r="E197" s="29"/>
      <c r="F197" s="30"/>
      <c r="G197" s="27" t="e">
        <f>(mopml*1000000)/mopmh</f>
        <v>#DIV/0!</v>
      </c>
      <c r="H197" s="28"/>
    </row>
    <row r="198" ht="12.75" customHeight="1">
      <c r="A198" s="13"/>
      <c r="C198" s="24" t="s">
        <v>180</v>
      </c>
      <c r="D198" s="29"/>
      <c r="E198" s="29"/>
      <c r="F198" s="30"/>
      <c r="G198" s="27" t="e">
        <f>((mocsl+mopcl+momsl)*1000000)/(mocsh+mopch+momsh)</f>
        <v>#DIV/0!</v>
      </c>
      <c r="H198" s="28"/>
    </row>
    <row r="199" ht="12.75" customHeight="1">
      <c r="A199" s="13"/>
      <c r="C199" s="24" t="s">
        <v>181</v>
      </c>
      <c r="D199" s="29"/>
      <c r="E199" s="29"/>
      <c r="F199" s="30"/>
      <c r="G199" s="27" t="e">
        <f>(eottt*1000000)/(eotth)</f>
        <v>#DIV/0!</v>
      </c>
      <c r="H199" s="28"/>
    </row>
    <row r="200" ht="12.75" customHeight="1">
      <c r="A200" s="13"/>
      <c r="C200" s="24" t="s">
        <v>182</v>
      </c>
      <c r="D200" s="29"/>
      <c r="E200" s="29"/>
      <c r="F200" s="30"/>
      <c r="G200" s="27" t="e">
        <f>((eopml+eopcl)*1000000)/(eopmh+eopch)</f>
        <v>#DIV/0!</v>
      </c>
      <c r="H200" s="28"/>
    </row>
    <row r="201" ht="12.75" customHeight="1">
      <c r="A201" s="13"/>
      <c r="C201" s="24" t="s">
        <v>183</v>
      </c>
      <c r="D201" s="29"/>
      <c r="E201" s="29"/>
      <c r="F201" s="30"/>
      <c r="G201" s="27" t="e">
        <f>((eocil+eostl+eoapl+eopil+eomel+eoell+eoprl+eomil)*1000000)/(eocih+eosth+eoaph+eopih+eomeh+eoelh+eoprh+eomih)</f>
        <v>#DIV/0!</v>
      </c>
      <c r="H201" s="28"/>
    </row>
    <row r="202" ht="12.75" customHeight="1">
      <c r="A202" s="13"/>
      <c r="C202" s="24" t="s">
        <v>184</v>
      </c>
      <c r="D202" s="29"/>
      <c r="E202" s="29"/>
      <c r="F202" s="30"/>
      <c r="G202" s="27" t="e">
        <f>(cocml*1000000)/cocmh</f>
        <v>#DIV/0!</v>
      </c>
      <c r="H202" s="28"/>
    </row>
    <row r="203" ht="12.75" customHeight="1">
      <c r="A203" s="13"/>
      <c r="C203" s="24" t="s">
        <v>185</v>
      </c>
      <c r="D203" s="29"/>
      <c r="E203" s="29"/>
      <c r="F203" s="30"/>
      <c r="G203" s="27" t="e">
        <f>((cocel+cotfl)*1000000)/(coceh+cotfh)</f>
        <v>#DIV/0!</v>
      </c>
      <c r="H203" s="28"/>
    </row>
    <row r="204" ht="12.75" customHeight="1">
      <c r="A204" s="13"/>
      <c r="C204" s="24" t="s">
        <v>186</v>
      </c>
      <c r="D204" s="29"/>
      <c r="E204" s="29"/>
      <c r="F204" s="30"/>
      <c r="G204" s="27" t="e">
        <f>((iottl+oottl)*1000000)/(iotth+ootth)</f>
        <v>#DIV/0!</v>
      </c>
      <c r="H204" s="28"/>
    </row>
    <row r="205">
      <c r="A205" s="13"/>
      <c r="C205" s="24"/>
      <c r="D205" s="29"/>
      <c r="E205" s="29"/>
      <c r="F205" s="30"/>
      <c r="G205" s="27"/>
      <c r="H205" s="28"/>
    </row>
    <row r="206">
      <c r="A206" s="13"/>
      <c r="C206" s="61" t="s">
        <v>187</v>
      </c>
      <c r="D206" s="62"/>
      <c r="E206" s="62"/>
      <c r="F206" s="63"/>
      <c r="G206" s="27"/>
      <c r="H206" s="28"/>
    </row>
    <row r="207" ht="12.75" customHeight="1">
      <c r="A207" s="13"/>
      <c r="C207" s="24" t="s">
        <v>188</v>
      </c>
      <c r="D207" s="29"/>
      <c r="E207" s="29"/>
      <c r="F207" s="30"/>
      <c r="G207" s="27" t="e">
        <f>(mcttt*1000000)/mctth</f>
        <v>#DIV/0!</v>
      </c>
      <c r="H207" s="28"/>
    </row>
    <row r="208" ht="12.75" customHeight="1">
      <c r="A208" s="13"/>
      <c r="C208" s="24" t="s">
        <v>189</v>
      </c>
      <c r="D208" s="29"/>
      <c r="E208" s="29"/>
      <c r="F208" s="30"/>
      <c r="G208" s="27" t="e">
        <f>(mcpml*1000000)/mcpmh</f>
        <v>#DIV/0!</v>
      </c>
      <c r="H208" s="28"/>
    </row>
    <row r="209" ht="12.75" customHeight="1">
      <c r="A209" s="13"/>
      <c r="C209" s="24" t="s">
        <v>190</v>
      </c>
      <c r="D209" s="29"/>
      <c r="E209" s="29"/>
      <c r="F209" s="30"/>
      <c r="G209" s="27" t="e">
        <f>((mccsl+mcpcl+mcmsl)*1000000)/(mccsh+mcpch+mcmsh)</f>
        <v>#DIV/0!</v>
      </c>
      <c r="H209" s="28"/>
    </row>
    <row r="210" ht="12.75" customHeight="1">
      <c r="A210" s="13"/>
      <c r="C210" s="24" t="s">
        <v>191</v>
      </c>
      <c r="D210" s="29"/>
      <c r="E210" s="29"/>
      <c r="F210" s="30"/>
      <c r="G210" s="27" t="e">
        <f>(ecttt*1000000)/ectth</f>
        <v>#DIV/0!</v>
      </c>
      <c r="H210" s="28"/>
    </row>
    <row r="211" ht="12.75" customHeight="1">
      <c r="A211" s="13"/>
      <c r="C211" s="24" t="s">
        <v>192</v>
      </c>
      <c r="D211" s="29"/>
      <c r="E211" s="29"/>
      <c r="F211" s="30"/>
      <c r="G211" s="27" t="e">
        <f>((ecpml+ecpcl)*1000000)/(ecpmh+ecpch)</f>
        <v>#DIV/0!</v>
      </c>
      <c r="H211" s="28"/>
    </row>
    <row r="212" ht="12.75" customHeight="1">
      <c r="A212" s="13"/>
      <c r="C212" s="24" t="s">
        <v>193</v>
      </c>
      <c r="D212" s="29"/>
      <c r="E212" s="29"/>
      <c r="F212" s="30"/>
      <c r="G212" s="27" t="e">
        <f>((eccil+ecstl+ecapl+ecpil+ecmel+ecell+ecprl+ecmil)*1000000)/(eccih+ecsth+ecaph+ecpih+ecmeh+ecelh+ecprh+ecmih)</f>
        <v>#DIV/0!</v>
      </c>
      <c r="H212" s="28"/>
    </row>
    <row r="213" ht="12.75" customHeight="1">
      <c r="A213" s="13"/>
      <c r="C213" s="24" t="s">
        <v>194</v>
      </c>
      <c r="D213" s="29"/>
      <c r="E213" s="29"/>
      <c r="F213" s="30"/>
      <c r="G213" s="27" t="e">
        <f>(cccml*1000000)/cccmh</f>
        <v>#DIV/0!</v>
      </c>
      <c r="H213" s="28"/>
    </row>
    <row r="214" ht="12.75" customHeight="1">
      <c r="A214" s="13"/>
      <c r="C214" s="24" t="s">
        <v>195</v>
      </c>
      <c r="D214" s="29"/>
      <c r="E214" s="29"/>
      <c r="F214" s="30"/>
      <c r="G214" s="27" t="e">
        <f>((cccel+cctfl)*1000000)/(ccceh+cctfh)</f>
        <v>#DIV/0!</v>
      </c>
      <c r="H214" s="28"/>
    </row>
    <row r="215" ht="12.75" customHeight="1">
      <c r="A215" s="13"/>
      <c r="C215" s="24" t="s">
        <v>196</v>
      </c>
      <c r="D215" s="29"/>
      <c r="E215" s="29"/>
      <c r="F215" s="30"/>
      <c r="G215" s="27" t="e">
        <f>((icttl+octtl)*1000000)/(ictth+octth)</f>
        <v>#DIV/0!</v>
      </c>
      <c r="H215" s="28"/>
    </row>
    <row r="216">
      <c r="A216" s="13"/>
      <c r="B216" s="6"/>
      <c r="C216" s="46"/>
      <c r="D216" s="47"/>
      <c r="E216" s="47"/>
      <c r="F216" s="48"/>
      <c r="G216" s="49"/>
      <c r="H216" s="50"/>
    </row>
    <row r="217" ht="8.85" customHeight="1">
      <c r="A217" s="11"/>
      <c r="B217" s="11"/>
      <c r="C217" s="14"/>
      <c r="D217" s="15"/>
      <c r="E217" s="15"/>
      <c r="F217" s="16"/>
      <c r="G217" s="17"/>
      <c r="H217" s="18"/>
    </row>
    <row r="218" ht="8.85" customHeight="1">
      <c r="A218" s="11"/>
      <c r="B218" s="11"/>
      <c r="C218" s="14"/>
      <c r="D218" s="15"/>
      <c r="E218" s="15"/>
      <c r="F218" s="16"/>
      <c r="G218" s="17"/>
      <c r="H218" s="18"/>
    </row>
    <row r="219" ht="22.5" customHeight="1" thickBot="1">
      <c r="A219" s="13"/>
      <c r="B219" s="39" t="s">
        <v>197</v>
      </c>
      <c r="C219" s="40"/>
      <c r="D219" s="40"/>
      <c r="E219" s="40"/>
      <c r="F219" s="40"/>
      <c r="G219" s="40"/>
      <c r="H219" s="41"/>
    </row>
    <row r="220" ht="18.75" customHeight="1" thickTop="1">
      <c r="A220" s="13"/>
      <c r="B220" s="19"/>
      <c r="C220" s="51" t="s">
        <v>22</v>
      </c>
      <c r="D220" s="52"/>
      <c r="E220" s="52"/>
      <c r="F220" s="52"/>
      <c r="G220" s="53" t="s">
        <v>23</v>
      </c>
      <c r="H220" s="54"/>
    </row>
    <row r="221" ht="12.75" customHeight="1">
      <c r="A221" s="13"/>
      <c r="C221" s="24" t="s">
        <v>198</v>
      </c>
      <c r="D221" s="29"/>
      <c r="E221" s="29"/>
      <c r="F221" s="30"/>
      <c r="G221" s="27" t="e">
        <f>(iocsm+iocom+iostm+ioblm+ioemm+ioefm+ioeom+iopim+iopam+iolem+iolbm+iopfm+iccsm+iccom+icstm+icblm+icemm+icefm+iceom+icpim+icpam+iclem+iclbm+icpfm+oocsm+oocom+oostm+ooblm+ooemm+ooefm+ooeom+oopim+oopam+oolem+oolbm+oopfm+occsm+occom+ocstm+ocblm+ocemm+ocefm+oceom+ocpim+ocpam+oclem+oclbm+ocpfm)/(ioemm+ioefm+iolem+iopem+icemm+icefm+iclem+icpem+ooemm+ooefm+oolem+oopem+ocpem+oclem+ocemm)</f>
        <v>#DIV/0!</v>
      </c>
      <c r="H221" s="28"/>
    </row>
    <row r="222" ht="12.75" customHeight="1">
      <c r="A222" s="13"/>
      <c r="C222" s="24" t="s">
        <v>199</v>
      </c>
      <c r="D222" s="29"/>
      <c r="E222" s="29"/>
      <c r="F222" s="30"/>
      <c r="G222" s="27" t="e">
        <f>(iocsm+iccsm+oocsm+occsm)/(ioemm+ioefm+iolem+iopem+icemm+icefm+iclem+icpem+ooemm+ooefm+oolem+oopem+ocpem+oclem+ocemm+ocefm)</f>
        <v>#DIV/0!</v>
      </c>
      <c r="H222" s="28"/>
    </row>
    <row r="223" ht="12.75" customHeight="1">
      <c r="A223" s="13"/>
      <c r="C223" s="24" t="s">
        <v>200</v>
      </c>
      <c r="D223" s="29"/>
      <c r="E223" s="29"/>
      <c r="F223" s="30"/>
      <c r="G223" s="27" t="e">
        <f>(iocom+iccom+oocom+occom)/(ioemm+ioefm+iolem+iopem+icemm+icefm+iclem+icpem+ooemm+ooefm+oolem+oopem+ocpem+oclem+ocemm+ocefm)</f>
        <v>#DIV/0!</v>
      </c>
      <c r="H223" s="28"/>
    </row>
    <row r="224" ht="12.75" customHeight="1">
      <c r="A224" s="13"/>
      <c r="C224" s="24" t="s">
        <v>201</v>
      </c>
      <c r="D224" s="29"/>
      <c r="E224" s="29"/>
      <c r="F224" s="30"/>
      <c r="G224" s="27" t="e">
        <f>(iostm+icstm+oostm+ocstm)/(ioemm+ioefm+iolem+iopem+icemm+icefm+iclem+icpem+ooemm+ooefm+oolem+oopem+ocpem+oclem+ocemm+ocefm)</f>
        <v>#DIV/0!</v>
      </c>
      <c r="H224" s="28"/>
    </row>
    <row r="225" ht="12.75" customHeight="1">
      <c r="A225" s="13"/>
      <c r="C225" s="24" t="s">
        <v>202</v>
      </c>
      <c r="D225" s="29"/>
      <c r="E225" s="29"/>
      <c r="F225" s="30"/>
      <c r="G225" s="27" t="e">
        <f>(iopim+icpim+oopim+ocpim)/(ioemm+ioefm+iolem+iopem+icemm+icefm+iclem+icpem+ooemm+ooefm+oolem+oopem+ocpem+oclem+ocemm+ocefm)</f>
        <v>#DIV/0!</v>
      </c>
      <c r="H225" s="28"/>
    </row>
    <row r="226" ht="12.75" customHeight="1">
      <c r="A226" s="13"/>
      <c r="C226" s="24" t="s">
        <v>203</v>
      </c>
      <c r="D226" s="29"/>
      <c r="E226" s="29"/>
      <c r="F226" s="30"/>
      <c r="G226" s="27" t="e">
        <f>(iolbm+iclbm+oolbm+oclbm)/(ioemm+ioefm+iolem+iopem+icemm+icefm+iclem+icpem+ooemm+ooefm+oolem+oopem+ocpem+oclem+ocemm+ocefm)</f>
        <v>#DIV/0!</v>
      </c>
      <c r="H226" s="28"/>
    </row>
    <row r="227" ht="12.75" customHeight="1">
      <c r="A227" s="13"/>
      <c r="C227" s="24" t="s">
        <v>204</v>
      </c>
      <c r="D227" s="29"/>
      <c r="E227" s="29"/>
      <c r="F227" s="30"/>
      <c r="G227" s="27" t="e">
        <f>(iolem+iclem+oolem+oclem)/(ioemm+ioefm+iolem+iopem+icemm+icefm+iclem+icpem+ooemm+ooefm+oolem+oopem+ocpem+oclem+ocemm+ocefm)</f>
        <v>#DIV/0!</v>
      </c>
      <c r="H227" s="28"/>
    </row>
    <row r="228" ht="12.75" customHeight="1">
      <c r="A228" s="13"/>
      <c r="C228" s="24" t="s">
        <v>205</v>
      </c>
      <c r="D228" s="29"/>
      <c r="E228" s="29"/>
      <c r="F228" s="30"/>
      <c r="G228" s="27" t="e">
        <f>(iolem+iolbm+iclem+iclbm+oolem+oolbm+oclem+oclbm)/(ioemm+ioefm+iolem+iopem+icemm+icefm+iclem+icpem+ooemm+ooefm+oolem+oopem+ocpem+oclem+ocemm+ocefm)</f>
        <v>#DIV/0!</v>
      </c>
      <c r="H228" s="28"/>
    </row>
    <row r="229" ht="12.75" customHeight="1">
      <c r="A229" s="13"/>
      <c r="C229" s="24" t="s">
        <v>206</v>
      </c>
      <c r="D229" s="29"/>
      <c r="E229" s="29"/>
      <c r="F229" s="30"/>
      <c r="G229" s="27" t="e">
        <f>(iopbm+icpbm+oopbm+ocpbm)/(ioemm+ioefm+iolem+iopem+icemm+icefm+iclem+icpem+ooemm+ooefm+oolem+oopem+ocpem+oclem+ocemm+ocefm)</f>
        <v>#DIV/0!</v>
      </c>
      <c r="H229" s="28"/>
    </row>
    <row r="230" ht="12.75" customHeight="1">
      <c r="A230" s="13"/>
      <c r="C230" s="24" t="s">
        <v>207</v>
      </c>
      <c r="D230" s="29"/>
      <c r="E230" s="29"/>
      <c r="F230" s="30"/>
      <c r="G230" s="27" t="e">
        <f>(iopem+icpem+oopem+ocpem)/(ioemm+ioefm+iolem+iopem+icemm+icefm+iclem+icpem+ooemm+ooefm+oolem+oopem+ocpem+oclem+ocemm+ocefm)</f>
        <v>#DIV/0!</v>
      </c>
      <c r="H230" s="28"/>
    </row>
    <row r="231" ht="12.75" customHeight="1">
      <c r="A231" s="13"/>
      <c r="C231" s="24" t="s">
        <v>208</v>
      </c>
      <c r="D231" s="29"/>
      <c r="E231" s="29"/>
      <c r="F231" s="30"/>
      <c r="G231" s="27" t="e">
        <f>(iopem+iopbm+icpem+icpbm+oopem+oopbm+ocpem+ocpbm)/(ioemm+ioefm+iolem+iopem+icemm+icefm+iclem+icpem+ooemm+ooefm+oolem+oopem+ocpem+oclem+ocemm+ocefm)</f>
        <v>#DIV/0!</v>
      </c>
      <c r="H231" s="28"/>
    </row>
    <row r="232" ht="12.75" customHeight="1">
      <c r="A232" s="13"/>
      <c r="C232" s="24" t="s">
        <v>209</v>
      </c>
      <c r="D232" s="29"/>
      <c r="E232" s="29"/>
      <c r="F232" s="30"/>
      <c r="G232" s="27" t="e">
        <f>(iopfm+icpfm+oopfm+ocpfm)/(ioemm+ioefm+iolem+iopem+icemm+icefm+iclem+icpem+ooemm+ooefm+oolem+oopem+ocpem+oclem+ocemm+ocefm)</f>
        <v>#DIV/0!</v>
      </c>
      <c r="H232" s="28"/>
    </row>
    <row r="233">
      <c r="A233" s="13"/>
      <c r="B233" s="6"/>
      <c r="C233" s="46"/>
      <c r="D233" s="47"/>
      <c r="E233" s="47"/>
      <c r="F233" s="48"/>
      <c r="G233" s="49"/>
      <c r="H233" s="50"/>
    </row>
    <row r="234" ht="8.85" customHeight="1">
      <c r="A234" s="11"/>
      <c r="B234" s="11"/>
      <c r="C234" s="14"/>
      <c r="D234" s="15"/>
      <c r="E234" s="15"/>
      <c r="F234" s="16"/>
      <c r="G234" s="17"/>
      <c r="H234" s="18"/>
    </row>
    <row r="235" ht="8.85" customHeight="1">
      <c r="A235" s="11"/>
      <c r="B235" s="11"/>
      <c r="C235" s="14"/>
      <c r="D235" s="15"/>
      <c r="E235" s="15"/>
      <c r="F235" s="16"/>
      <c r="G235" s="17"/>
      <c r="H235" s="18"/>
    </row>
    <row r="236" ht="22.5" customHeight="1" thickBot="1">
      <c r="A236" s="13"/>
      <c r="B236" s="39" t="s">
        <v>210</v>
      </c>
      <c r="C236" s="40"/>
      <c r="D236" s="40"/>
      <c r="E236" s="40"/>
      <c r="F236" s="40"/>
      <c r="G236" s="40"/>
      <c r="H236" s="41"/>
    </row>
    <row r="237" ht="18.75" customHeight="1" thickTop="1">
      <c r="A237" s="13"/>
      <c r="B237" s="19"/>
      <c r="C237" s="51" t="s">
        <v>22</v>
      </c>
      <c r="D237" s="52"/>
      <c r="E237" s="52"/>
      <c r="F237" s="52"/>
      <c r="G237" s="53" t="s">
        <v>23</v>
      </c>
      <c r="H237" s="54"/>
    </row>
    <row r="238" ht="12.75" customHeight="1">
      <c r="A238" s="13"/>
      <c r="C238" s="24" t="s">
        <v>211</v>
      </c>
      <c r="D238" s="29"/>
      <c r="E238" s="29"/>
      <c r="F238" s="30"/>
      <c r="G238" s="27" t="e">
        <f>(iotth+ictth+ootth+octth)/((ioeom+iceom+iolbm+iclbm+iopbm+icpbm+ooeom+oceom+oolbm+oclbm+oopbm+ocpbm)*10000)</f>
        <v>#DIV/0!</v>
      </c>
      <c r="H238" s="28"/>
    </row>
    <row r="239" ht="12.75" customHeight="1">
      <c r="A239" s="13"/>
      <c r="C239" s="24" t="s">
        <v>212</v>
      </c>
      <c r="D239" s="29"/>
      <c r="E239" s="29"/>
      <c r="F239" s="30"/>
      <c r="G239" s="27" t="e">
        <f>(iotth+ictth+ootth+octth)/((ioeom+iceom+iolbm+iclbm+iopbm+icpbm+ooeom+oceom+oolbm+oclbm+oopbm+ocpbm+ioemm+ioefm+icemm+icefm+iolem+iclem+iopem+icpem+ooemm+ooefm+ocemm+ocefm+oolem+oclem+oopem+ocpem)*10000)</f>
        <v>#DIV/0!</v>
      </c>
      <c r="H239" s="28"/>
    </row>
    <row r="240" ht="12.75" customHeight="1">
      <c r="A240" s="13"/>
      <c r="C240" s="24" t="s">
        <v>213</v>
      </c>
      <c r="D240" s="29"/>
      <c r="E240" s="29"/>
      <c r="F240" s="30"/>
      <c r="G240" s="27" t="e">
        <f>(iocsh+iccsh+oocsh+occsh)/((iocsm+iccsm+oocsm+occsm)*10000)</f>
        <v>#DIV/0!</v>
      </c>
      <c r="H240" s="28"/>
    </row>
    <row r="241" ht="12.75" customHeight="1">
      <c r="A241" s="13"/>
      <c r="C241" s="24" t="s">
        <v>214</v>
      </c>
      <c r="D241" s="29"/>
      <c r="E241" s="29"/>
      <c r="F241" s="30"/>
      <c r="G241" s="27" t="e">
        <f>(iocoh+iccoh+oocoh+occoh)/((iocom+iccom+oocom+occom)*10000)</f>
        <v>#DIV/0!</v>
      </c>
      <c r="H241" s="28"/>
    </row>
    <row r="242" ht="12.75" customHeight="1">
      <c r="A242" s="13"/>
      <c r="C242" s="24" t="s">
        <v>215</v>
      </c>
      <c r="D242" s="29"/>
      <c r="E242" s="29"/>
      <c r="F242" s="30"/>
      <c r="G242" s="27" t="e">
        <f>(iosth+icsth+oosth+ocsth)/((iostm+icstm+oostm+ocstm)*10000)</f>
        <v>#DIV/0!</v>
      </c>
      <c r="H242" s="28"/>
    </row>
    <row r="243" ht="12.75" customHeight="1">
      <c r="A243" s="13"/>
      <c r="C243" s="24" t="s">
        <v>216</v>
      </c>
      <c r="D243" s="29"/>
      <c r="E243" s="29"/>
      <c r="F243" s="30"/>
      <c r="G243" s="27" t="e">
        <f>(ioblh+icblh+ooblh+ocblh)/((ioblm+icblm+ooblm+ocblm)*10000)</f>
        <v>#DIV/0!</v>
      </c>
      <c r="H243" s="28"/>
    </row>
    <row r="244" ht="12.75" customHeight="1">
      <c r="A244" s="13"/>
      <c r="C244" s="24" t="s">
        <v>217</v>
      </c>
      <c r="D244" s="29"/>
      <c r="E244" s="29"/>
      <c r="F244" s="30"/>
      <c r="G244" s="27" t="e">
        <f>(iocsl+iocol+iostl+iobll+iccsl+iccol+icstl+icbll+oocsl+oocol+oostl+oobll+occsl+occol+ocstl+ocbll)/((iocsm+iocom+iostm+ioblm+iccsm+iccom+icstm+icblm+oocsm+oocom+oostm+ooblm+occsm+occom+ocstm+ocblm)*10000)</f>
        <v>#DIV/0!</v>
      </c>
      <c r="H244" s="28"/>
    </row>
    <row r="245" ht="12.75" customHeight="1">
      <c r="A245" s="13"/>
      <c r="C245" s="24" t="s">
        <v>218</v>
      </c>
      <c r="D245" s="29"/>
      <c r="E245" s="29"/>
      <c r="F245" s="30"/>
      <c r="G245" s="27" t="e">
        <f>(ioelh+icelh+ooelh+ocelh)/((ioemm+ioefm+ioeom+icemm+icefm+iceom+ooemm+ooefm+ooeom+ocemm+ocefm+oceom)*10000)</f>
        <v>#DIV/0!</v>
      </c>
      <c r="H245" s="28"/>
    </row>
    <row r="246" ht="12.75" customHeight="1">
      <c r="A246" s="13"/>
      <c r="C246" s="24" t="s">
        <v>219</v>
      </c>
      <c r="D246" s="29"/>
      <c r="E246" s="29"/>
      <c r="F246" s="30"/>
      <c r="G246" s="27" t="e">
        <f>(iopih+icpih+oopih+ocpih)/((iopim+icpim+oopim+ocpim)*10000)</f>
        <v>#DIV/0!</v>
      </c>
      <c r="H246" s="28"/>
    </row>
    <row r="247" ht="12.75" customHeight="1">
      <c r="A247" s="13"/>
      <c r="C247" s="24" t="s">
        <v>220</v>
      </c>
      <c r="D247" s="29"/>
      <c r="E247" s="29"/>
      <c r="F247" s="30"/>
      <c r="G247" s="27" t="e">
        <f>(iopah+icpah+oopah+ocpah)/((iopam+icpam+oopam+ocpam)*10000)</f>
        <v>#DIV/0!</v>
      </c>
      <c r="H247" s="28"/>
    </row>
    <row r="248" ht="12.75" customHeight="1">
      <c r="A248" s="13"/>
      <c r="C248" s="24" t="s">
        <v>221</v>
      </c>
      <c r="D248" s="29"/>
      <c r="E248" s="29"/>
      <c r="F248" s="30"/>
      <c r="G248" s="27" t="e">
        <f>(iollh+icllh+oollh+ocllh)/((iolem+iolbm+iclem+iclbm+oolem+oolbm+oclem+oclbm)*10000)</f>
        <v>#DIV/0!</v>
      </c>
      <c r="H248" s="28"/>
    </row>
    <row r="249" ht="12.75" customHeight="1">
      <c r="A249" s="13"/>
      <c r="C249" s="24" t="s">
        <v>222</v>
      </c>
      <c r="D249" s="29"/>
      <c r="E249" s="29"/>
      <c r="F249" s="30"/>
      <c r="G249" s="27" t="e">
        <f>(iollh+icllh+oollh+ocllh)/((iolbm+iclbm+oolbm+oclbm)*10000)</f>
        <v>#DIV/0!</v>
      </c>
      <c r="H249" s="28"/>
    </row>
    <row r="250" ht="12.75" customHeight="1">
      <c r="A250" s="13"/>
      <c r="C250" s="24" t="s">
        <v>223</v>
      </c>
      <c r="D250" s="29"/>
      <c r="E250" s="29"/>
      <c r="F250" s="30"/>
      <c r="G250" s="27" t="e">
        <f>(ioplh+icplh+ooplh+ocplh)/((iopem+iopbm+icpem+icpbm+oopem+oopbm+ocpem+ocpbm)*10000)</f>
        <v>#DIV/0!</v>
      </c>
      <c r="H250" s="28"/>
    </row>
    <row r="251" ht="12.75" customHeight="1">
      <c r="A251" s="13"/>
      <c r="C251" s="24" t="s">
        <v>224</v>
      </c>
      <c r="D251" s="29"/>
      <c r="E251" s="29"/>
      <c r="F251" s="30"/>
      <c r="G251" s="27" t="e">
        <f>(ioplh+icplh+ooplh+ocplh)/((iopbm+icpbm+oopbm+ocpbm)*10000)</f>
        <v>#DIV/0!</v>
      </c>
      <c r="H251" s="28"/>
    </row>
    <row r="252" ht="12.75" customHeight="1">
      <c r="A252" s="13"/>
      <c r="C252" s="24" t="s">
        <v>225</v>
      </c>
      <c r="D252" s="29"/>
      <c r="E252" s="29"/>
      <c r="F252" s="30"/>
      <c r="G252" s="27" t="e">
        <f>(iollh+ioplh+icllh+icplh+oollh+ooplh+ocllh+ocplh)/((iolem+iolbm+iopem+iopbm+iclem+iclbm+icpem+icpbm+oolem+oolbm+oopem+oopbm+oclem+oclbm+ocpem+ocpbm)*10000)</f>
        <v>#DIV/0!</v>
      </c>
      <c r="H252" s="28"/>
    </row>
    <row r="253" ht="12.75" customHeight="1">
      <c r="A253" s="13"/>
      <c r="C253" s="24" t="s">
        <v>226</v>
      </c>
      <c r="D253" s="29"/>
      <c r="E253" s="29"/>
      <c r="F253" s="30"/>
      <c r="G253" s="27" t="e">
        <f>(iopfh+icpfh+oopfh+ocpfh)/((iopfm+icpfm+oopfm+ocpfm)*10000)</f>
        <v>#DIV/0!</v>
      </c>
      <c r="H253" s="28"/>
    </row>
    <row r="254">
      <c r="A254" s="13"/>
      <c r="B254" s="6"/>
      <c r="C254" s="46"/>
      <c r="D254" s="47"/>
      <c r="E254" s="47"/>
      <c r="F254" s="48"/>
      <c r="G254" s="49"/>
      <c r="H254" s="50"/>
    </row>
    <row r="255" ht="8.85" customHeight="1">
      <c r="A255" s="11"/>
      <c r="B255" s="11"/>
      <c r="C255" s="14"/>
      <c r="D255" s="15"/>
      <c r="E255" s="15"/>
      <c r="F255" s="16"/>
      <c r="G255" s="17"/>
      <c r="H255" s="18"/>
    </row>
    <row r="256" ht="8.85" customHeight="1">
      <c r="A256" s="11"/>
      <c r="B256" s="11"/>
      <c r="C256" s="14"/>
      <c r="D256" s="15"/>
      <c r="E256" s="15"/>
      <c r="F256" s="16"/>
      <c r="G256" s="17"/>
      <c r="H256" s="18"/>
    </row>
    <row r="257" ht="22.5" customHeight="1" thickBot="1">
      <c r="A257" s="13"/>
      <c r="B257" s="39" t="s">
        <v>227</v>
      </c>
      <c r="C257" s="40"/>
      <c r="D257" s="40"/>
      <c r="E257" s="40"/>
      <c r="F257" s="40"/>
      <c r="G257" s="40"/>
      <c r="H257" s="41"/>
    </row>
    <row r="258" ht="18.75" customHeight="1" thickTop="1">
      <c r="A258" s="13"/>
      <c r="B258" s="19"/>
      <c r="C258" s="51" t="s">
        <v>22</v>
      </c>
      <c r="D258" s="52"/>
      <c r="E258" s="52"/>
      <c r="F258" s="52"/>
      <c r="G258" s="53" t="s">
        <v>23</v>
      </c>
      <c r="H258" s="54"/>
    </row>
    <row r="259" ht="12.75" customHeight="1">
      <c r="A259" s="13"/>
      <c r="C259" s="24" t="s">
        <v>228</v>
      </c>
      <c r="D259" s="29"/>
      <c r="E259" s="29"/>
      <c r="F259" s="30"/>
      <c r="G259" s="27" t="str">
        <f>IF((qiewn+qoewn)&gt;0,(iocsh+iccsh+oocsh+occsh)/(qiewn+qoewn),"Need Eqp.Count")</f>
        <v>Need Eqp.Count</v>
      </c>
      <c r="H259" s="28"/>
    </row>
    <row r="260" ht="12.75" customHeight="1">
      <c r="A260" s="13"/>
      <c r="C260" s="24" t="s">
        <v>229</v>
      </c>
      <c r="D260" s="29"/>
      <c r="E260" s="29"/>
      <c r="F260" s="30"/>
      <c r="G260" s="27" t="str">
        <f>IF((qist+qost)&gt;0,(iocsh+iccsh+oocsh+occsh)/(qist+qost),"Need Ton Steel")</f>
        <v>Need Ton Steel</v>
      </c>
      <c r="H260" s="28"/>
    </row>
    <row r="261" ht="12.75" customHeight="1">
      <c r="A261" s="13"/>
      <c r="C261" s="24" t="s">
        <v>230</v>
      </c>
      <c r="D261" s="29"/>
      <c r="E261" s="29"/>
      <c r="F261" s="30"/>
      <c r="G261" s="27" t="str">
        <f>IF((qico+qoco)&gt;0,(iocoh+iccoh+oocoh+occoh)/(qico+qoco),"Need Yd.Conc.")</f>
        <v>Need Yd.Conc.</v>
      </c>
      <c r="H261" s="28"/>
    </row>
    <row r="262" ht="12.75" customHeight="1">
      <c r="A262" s="13"/>
      <c r="C262" s="24" t="s">
        <v>231</v>
      </c>
      <c r="D262" s="29"/>
      <c r="E262" s="29"/>
      <c r="F262" s="30"/>
      <c r="G262" s="27" t="str">
        <f>IF((qist+qost)&gt;0,(iosth+icsth+oosth+ocsth)/(qist+qost),"Need Ton Steel")</f>
        <v>Need Ton Steel</v>
      </c>
      <c r="H262" s="28"/>
    </row>
    <row r="263" ht="12.75" customHeight="1">
      <c r="A263" s="13"/>
      <c r="C263" s="24" t="s">
        <v>232</v>
      </c>
      <c r="D263" s="29"/>
      <c r="E263" s="29"/>
      <c r="F263" s="30"/>
      <c r="G263" s="27" t="str">
        <f>IF((qibl+qobl)&gt;0,(ioblh+icblh+ooblh+ocblh)/(qibl+qobl),"Need Sq. Feet")</f>
        <v>Need Sq. Feet</v>
      </c>
      <c r="H263" s="28"/>
    </row>
    <row r="264" ht="12.75" customHeight="1">
      <c r="A264" s="13"/>
      <c r="C264" s="24" t="s">
        <v>233</v>
      </c>
      <c r="D264" s="29"/>
      <c r="E264" s="29"/>
      <c r="F264" s="30"/>
      <c r="G264" s="27" t="str">
        <f>IF((qiewn+qoewn)&gt;0,(ioelh+icelh+ooelh+ocelh)/(qiewn+qoewn),"Need Eqp.Count")</f>
        <v>Need Eqp.Count</v>
      </c>
      <c r="H264" s="28"/>
    </row>
    <row r="265" ht="12.75" customHeight="1">
      <c r="A265" s="13"/>
      <c r="C265" s="24" t="s">
        <v>234</v>
      </c>
      <c r="D265" s="29"/>
      <c r="E265" s="29"/>
      <c r="F265" s="30"/>
      <c r="G265" s="27" t="str">
        <f>IF((qipil+qopil)&gt;0,(iopih+icpih+oopih+ocpih)/(qipil+qopil),"Need Ft. Pipe")</f>
        <v>Need Ft. Pipe</v>
      </c>
      <c r="H265" s="28"/>
    </row>
    <row r="266" ht="12.75" customHeight="1">
      <c r="A266" s="13"/>
      <c r="C266" s="24" t="s">
        <v>235</v>
      </c>
      <c r="D266" s="29"/>
      <c r="E266" s="29"/>
      <c r="F266" s="30"/>
      <c r="G266" s="27" t="str">
        <f>IF((qipiw+qopiw)&gt;0,(iopih+icpih+oopih+ocpih)/(qipiw+qopiw), "Need lb. Pipe")</f>
        <v>Need lb. Pipe</v>
      </c>
      <c r="H266" s="28"/>
    </row>
    <row r="267" ht="12.75" customHeight="1">
      <c r="A267" s="13"/>
      <c r="C267" s="24" t="s">
        <v>236</v>
      </c>
      <c r="D267" s="29"/>
      <c r="E267" s="29"/>
      <c r="F267" s="30"/>
      <c r="G267" s="27" t="str">
        <f>IF((qipa+qopa)&gt;0,(iopah+icpah+oopah+ocpah)/(qipa+qopa), "Need lb. Duct")</f>
        <v>Need lb. Duct</v>
      </c>
      <c r="H267" s="28"/>
    </row>
    <row r="268" ht="12.75" customHeight="1">
      <c r="A268" s="13"/>
      <c r="C268" s="24" t="s">
        <v>237</v>
      </c>
      <c r="D268" s="29"/>
      <c r="E268" s="29"/>
      <c r="F268" s="30"/>
      <c r="G268" s="27" t="str">
        <f>IF((qiell+qoell)&gt;0,(iollh+icllh+oollh+ocllh)/(qiell+qoell),"Need ft.Raceway")</f>
        <v>Need ft.Raceway</v>
      </c>
      <c r="H268" s="28"/>
    </row>
    <row r="269" ht="12.75" customHeight="1">
      <c r="A269" s="13"/>
      <c r="C269" s="24" t="s">
        <v>238</v>
      </c>
      <c r="D269" s="29"/>
      <c r="E269" s="29"/>
      <c r="F269" s="30"/>
      <c r="G269" s="27" t="str">
        <f>IF((qielc+qoelc)&gt;0,(iollh+icllh+oollh+ocllh)/(qielc+qoelc), "Need KVA Load")</f>
        <v>Need KVA Load</v>
      </c>
      <c r="H269" s="28"/>
    </row>
    <row r="270" ht="12.75" customHeight="1">
      <c r="A270" s="13"/>
      <c r="C270" s="24" t="s">
        <v>239</v>
      </c>
      <c r="D270" s="29"/>
      <c r="E270" s="29"/>
      <c r="F270" s="30"/>
      <c r="G270" s="27" t="str">
        <f>IF((qiini+qoini)&gt;0,(ioplh+icplh+ooplh+ocplh)/(qiini+qoini), "Need I/O Count")</f>
        <v>Need I/O Count</v>
      </c>
      <c r="H270" s="28"/>
    </row>
    <row r="271" ht="12.75" customHeight="1">
      <c r="A271" s="13"/>
      <c r="C271" s="24" t="s">
        <v>240</v>
      </c>
      <c r="D271" s="29"/>
      <c r="E271" s="29"/>
      <c r="F271" s="30"/>
      <c r="G271" s="27" t="str">
        <f>IF((qiinn+qoinn)&gt;0,(ioplh+icplh+ooplh+ocplh)/(qiinn+qoinn),"Need Ins. Count")</f>
        <v>Need Ins. Count</v>
      </c>
      <c r="H271" s="28"/>
    </row>
    <row r="272" ht="12.75" customHeight="1">
      <c r="A272" s="13"/>
      <c r="C272" s="24" t="s">
        <v>241</v>
      </c>
      <c r="D272" s="29"/>
      <c r="E272" s="29"/>
      <c r="F272" s="30"/>
      <c r="G272" s="27" t="str">
        <f>IF((qipil+qopil)&gt;0,(iopfh+icpfh+oopfh+ocpfh)/(qipil+qopil), "Need Ft. Pipe")</f>
        <v>Need Ft. Pipe</v>
      </c>
      <c r="H272" s="28"/>
    </row>
    <row r="273" ht="12.75" customHeight="1">
      <c r="A273" s="13"/>
      <c r="B273" s="6"/>
      <c r="C273" s="46"/>
      <c r="D273" s="47"/>
      <c r="E273" s="47"/>
      <c r="F273" s="48"/>
      <c r="G273" s="49"/>
      <c r="H273" s="50"/>
    </row>
    <row r="274" ht="8.85" customHeight="1">
      <c r="A274" s="11"/>
      <c r="B274" s="11"/>
      <c r="C274" s="14"/>
      <c r="D274" s="15"/>
      <c r="E274" s="15"/>
      <c r="F274" s="16"/>
      <c r="G274" s="17"/>
      <c r="H274" s="18"/>
    </row>
    <row r="275" ht="8.85" customHeight="1">
      <c r="A275" s="11"/>
      <c r="B275" s="11"/>
      <c r="C275" s="14"/>
      <c r="D275" s="15"/>
      <c r="E275" s="15"/>
      <c r="F275" s="16"/>
      <c r="G275" s="17"/>
      <c r="H275" s="18"/>
    </row>
    <row r="276" ht="22.5" customHeight="1" thickBot="1">
      <c r="A276" s="13"/>
      <c r="B276" s="39" t="s">
        <v>242</v>
      </c>
      <c r="C276" s="40"/>
      <c r="D276" s="40"/>
      <c r="E276" s="40"/>
      <c r="F276" s="40"/>
      <c r="G276" s="40"/>
      <c r="H276" s="41"/>
    </row>
    <row r="277" ht="18.75" customHeight="1" thickTop="1">
      <c r="A277" s="13"/>
      <c r="B277" s="19"/>
      <c r="C277" s="51" t="s">
        <v>22</v>
      </c>
      <c r="D277" s="52"/>
      <c r="E277" s="52"/>
      <c r="F277" s="52"/>
      <c r="G277" s="53" t="s">
        <v>23</v>
      </c>
      <c r="H277" s="54"/>
    </row>
    <row r="278" ht="12.75" customHeight="1">
      <c r="A278" s="13"/>
      <c r="C278" s="24" t="s">
        <v>243</v>
      </c>
      <c r="D278" s="29"/>
      <c r="E278" s="29"/>
      <c r="F278" s="30"/>
      <c r="G278" s="27" t="str">
        <f>IF((qiewn+qoewn)&gt;0,((iocsm+iccsm+oocsm+occsm)*1000000)/(qiewn+qoewn),"Need Eqp.Count")</f>
        <v>Need Eqp.Count</v>
      </c>
      <c r="H278" s="28"/>
    </row>
    <row r="279" ht="12.75" customHeight="1">
      <c r="A279" s="13"/>
      <c r="C279" s="24" t="s">
        <v>244</v>
      </c>
      <c r="D279" s="29"/>
      <c r="E279" s="29"/>
      <c r="F279" s="30"/>
      <c r="G279" s="27" t="str">
        <f>IF((qist+qost)&gt;0,((iocsm+iccsm+oocsm+occsm)*1000000)/(qist+qost), "Need Ton Steel")</f>
        <v>Need Ton Steel</v>
      </c>
      <c r="H279" s="28"/>
    </row>
    <row r="280" ht="12.75" customHeight="1">
      <c r="A280" s="13"/>
      <c r="C280" s="24" t="s">
        <v>245</v>
      </c>
      <c r="D280" s="29"/>
      <c r="E280" s="29"/>
      <c r="F280" s="30"/>
      <c r="G280" s="27" t="str">
        <f>IF((qico+qoco)&gt;0,((iocom+iccom+oocom+occom)*1000000)/(qico+qoco),"Need Yd.Conc.")</f>
        <v>Need Yd.Conc.</v>
      </c>
      <c r="H280" s="28"/>
    </row>
    <row r="281" ht="12.75" customHeight="1">
      <c r="A281" s="13"/>
      <c r="C281" s="24" t="s">
        <v>246</v>
      </c>
      <c r="D281" s="29"/>
      <c r="E281" s="29"/>
      <c r="F281" s="30"/>
      <c r="G281" s="27" t="str">
        <f>IF((qist+qost)&gt;0,((iostm+icstm+oostm+ocstm)*1000000)/(qist+qost), "Need Ton Steel")</f>
        <v>Need Ton Steel</v>
      </c>
      <c r="H281" s="28"/>
    </row>
    <row r="282" ht="12.75" customHeight="1">
      <c r="A282" s="13"/>
      <c r="C282" s="24" t="s">
        <v>247</v>
      </c>
      <c r="D282" s="29"/>
      <c r="E282" s="29"/>
      <c r="F282" s="30"/>
      <c r="G282" s="27" t="str">
        <f>IF((qibl+qobl)&gt;0,((ioblm+icblm+ooblm+ocblm)*1000000)/(qibl+qobl),"Need Sq. Feet")</f>
        <v>Need Sq. Feet</v>
      </c>
      <c r="H282" s="28"/>
    </row>
    <row r="283" ht="12.75" customHeight="1">
      <c r="A283" s="13"/>
      <c r="C283" s="24" t="s">
        <v>248</v>
      </c>
      <c r="D283" s="29"/>
      <c r="E283" s="29"/>
      <c r="F283" s="30"/>
      <c r="G283" s="27" t="str">
        <f>IF((qiewn+qoewn)&gt;0,((ioemm+ioefm+ioeom+icemm+icefm+iceom+ooemm+ooefm+ooeom+ocemm+ocefm+oceom)*1000000)/(qiewn+qoewn),"Need Eqp.Count")</f>
        <v>Need Eqp.Count</v>
      </c>
      <c r="H283" s="28"/>
    </row>
    <row r="284" ht="12.75" customHeight="1">
      <c r="A284" s="13"/>
      <c r="C284" s="24" t="s">
        <v>249</v>
      </c>
      <c r="D284" s="29"/>
      <c r="E284" s="29"/>
      <c r="F284" s="30"/>
      <c r="G284" s="27" t="str">
        <f>IF((qipil+qopil)&gt;0,((iopim+icpim+oopim+ocpim)*1000000)/(qipil+qopil),"Need Ft. Pipe")</f>
        <v>Need Ft. Pipe</v>
      </c>
      <c r="H284" s="28"/>
    </row>
    <row r="285" ht="12.75" customHeight="1">
      <c r="A285" s="13"/>
      <c r="C285" s="24" t="s">
        <v>250</v>
      </c>
      <c r="D285" s="29"/>
      <c r="E285" s="29"/>
      <c r="F285" s="30"/>
      <c r="G285" s="27" t="str">
        <f>IF((qipiw+qopiw)&gt;0,((iopim+icpim+oopim+ocpim)*1000000)/(qipiw+qopiw), "Need lb. Pipe")</f>
        <v>Need lb. Pipe</v>
      </c>
      <c r="H285" s="28"/>
    </row>
    <row r="286" ht="12.75" customHeight="1">
      <c r="A286" s="13"/>
      <c r="C286" s="24" t="s">
        <v>251</v>
      </c>
      <c r="D286" s="29"/>
      <c r="E286" s="29"/>
      <c r="F286" s="30"/>
      <c r="G286" s="27" t="str">
        <f>IF((qipa+qopa)&gt;0,((iopam+icpam+oopam+ocpam)*1000000)/(qipa+qopa),"Need lb. Duct")</f>
        <v>Need lb. Duct</v>
      </c>
      <c r="H286" s="28"/>
    </row>
    <row r="287" ht="12.75" customHeight="1">
      <c r="A287" s="13"/>
      <c r="C287" s="24" t="s">
        <v>252</v>
      </c>
      <c r="D287" s="29"/>
      <c r="E287" s="29"/>
      <c r="F287" s="30"/>
      <c r="G287" s="27" t="str">
        <f>IF((qiell+qoell)&gt;0,((iolbm+iclbm+oolbm+oclbm)*1000000)/(qiell+qoell), "Need ft.Raceway")</f>
        <v>Need ft.Raceway</v>
      </c>
      <c r="H287" s="28"/>
    </row>
    <row r="288" ht="12.75" customHeight="1">
      <c r="A288" s="13"/>
      <c r="C288" s="24" t="s">
        <v>253</v>
      </c>
      <c r="D288" s="29"/>
      <c r="E288" s="29"/>
      <c r="F288" s="30"/>
      <c r="G288" s="27" t="str">
        <f>IF((qielc+qoelc)&gt;0,((iolem+iclem+oolem+oclem)*1000000)/(qielc+qoelc), "Need KVA Load")</f>
        <v>Need KVA Load</v>
      </c>
      <c r="H288" s="28"/>
    </row>
    <row r="289" ht="12.75" customHeight="1">
      <c r="A289" s="13"/>
      <c r="C289" s="24" t="s">
        <v>254</v>
      </c>
      <c r="D289" s="29"/>
      <c r="E289" s="29"/>
      <c r="F289" s="30"/>
      <c r="G289" s="27" t="str">
        <f>IF((qiewn+qoewn)&gt;0,((iolem+iclem+oolem+oclem)*1000000)/(qiewn+qoewn),"Need Eqp.Count")</f>
        <v>Need Eqp.Count</v>
      </c>
      <c r="H289" s="28"/>
    </row>
    <row r="290" ht="12.75" customHeight="1">
      <c r="A290" s="13"/>
      <c r="C290" s="24" t="s">
        <v>255</v>
      </c>
      <c r="D290" s="29"/>
      <c r="E290" s="29"/>
      <c r="F290" s="30"/>
      <c r="G290" s="27" t="str">
        <f>IF((qiinn+qoinn)&gt;0,((iopbm+icpbm+oopbm+ocpbm)*1000000)/(qiinn+qoinn),"Need Ins. Count")</f>
        <v>Need Ins. Count</v>
      </c>
      <c r="H290" s="28"/>
    </row>
    <row r="291" ht="12.75" customHeight="1">
      <c r="A291" s="13"/>
      <c r="C291" s="24" t="s">
        <v>256</v>
      </c>
      <c r="D291" s="29"/>
      <c r="E291" s="29"/>
      <c r="F291" s="30"/>
      <c r="G291" s="27" t="str">
        <f>IF((qiini+qoini)&gt;0,((iopem+icpem+oopem+ocpem)*1000000)/(qiini+qoini), "Need I/O Count")</f>
        <v>Need I/O Count</v>
      </c>
      <c r="H291" s="28"/>
    </row>
    <row r="292" ht="12.75" customHeight="1">
      <c r="A292" s="13"/>
      <c r="C292" s="24" t="s">
        <v>257</v>
      </c>
      <c r="D292" s="29"/>
      <c r="E292" s="29"/>
      <c r="F292" s="30"/>
      <c r="G292" s="27" t="str">
        <f>IF((qiewn+qoewn)&gt;0,((iopem+icpem+oopem+ocpem)*1000000)/(qiewn+qoewn),"Need Eqp.Count")</f>
        <v>Need Eqp.Count</v>
      </c>
      <c r="H292" s="28"/>
    </row>
    <row r="293" ht="12.75" customHeight="1">
      <c r="A293" s="13"/>
      <c r="C293" s="24" t="s">
        <v>258</v>
      </c>
      <c r="D293" s="29"/>
      <c r="E293" s="29"/>
      <c r="F293" s="30"/>
      <c r="G293" s="27" t="str">
        <f>IF((qiinn+qoinn)&gt;0,((iopem+iopbm+icpem+icpbm+oopem+oopbm+ocpem+ocpbm)*1000000)/(qiinn+qoinn), "Need Ins. Count")</f>
        <v>Need Ins. Count</v>
      </c>
      <c r="H293" s="28"/>
    </row>
    <row r="294" ht="12.75" customHeight="1">
      <c r="A294" s="13"/>
      <c r="C294" s="24" t="s">
        <v>259</v>
      </c>
      <c r="D294" s="29"/>
      <c r="E294" s="29"/>
      <c r="F294" s="30"/>
      <c r="G294" s="27" t="str">
        <f>IF((qipil+qopil)&gt;0,((iopfm+icpfm+oopfm+ocpfm)*1000000)/(qipil+qopil),"Need Ft. Pipe")</f>
        <v>Need Ft. Pipe</v>
      </c>
      <c r="H294" s="28"/>
    </row>
    <row r="295" ht="12.75" customHeight="1">
      <c r="A295" s="13"/>
      <c r="B295" s="6"/>
      <c r="C295" s="46"/>
      <c r="D295" s="47"/>
      <c r="E295" s="47"/>
      <c r="F295" s="48"/>
      <c r="G295" s="49"/>
      <c r="H295" s="50"/>
    </row>
    <row r="296" ht="8.85" customHeight="1">
      <c r="A296" s="11"/>
      <c r="B296" s="11"/>
      <c r="C296" s="14"/>
      <c r="D296" s="15"/>
      <c r="E296" s="15"/>
      <c r="F296" s="16"/>
      <c r="G296" s="17"/>
      <c r="H296" s="18"/>
    </row>
    <row r="297" ht="8.85" customHeight="1">
      <c r="A297" s="11"/>
      <c r="B297" s="11"/>
      <c r="C297" s="14"/>
      <c r="D297" s="15"/>
      <c r="E297" s="15"/>
      <c r="F297" s="16"/>
      <c r="G297" s="17"/>
      <c r="H297" s="18"/>
    </row>
    <row r="298" ht="22.5" customHeight="1" thickBot="1">
      <c r="A298" s="13"/>
      <c r="B298" s="39" t="s">
        <v>260</v>
      </c>
      <c r="C298" s="40"/>
      <c r="D298" s="40"/>
      <c r="E298" s="40"/>
      <c r="F298" s="40"/>
      <c r="G298" s="40"/>
      <c r="H298" s="41"/>
    </row>
    <row r="299" ht="18.75" customHeight="1" thickTop="1">
      <c r="A299" s="13"/>
      <c r="B299" s="19"/>
      <c r="C299" s="51" t="s">
        <v>22</v>
      </c>
      <c r="D299" s="52"/>
      <c r="E299" s="52"/>
      <c r="F299" s="52"/>
      <c r="G299" s="53" t="s">
        <v>23</v>
      </c>
      <c r="H299" s="54"/>
    </row>
    <row r="300" ht="12.75" customHeight="1">
      <c r="A300" s="13"/>
      <c r="C300" s="24" t="s">
        <v>261</v>
      </c>
      <c r="D300" s="29"/>
      <c r="E300" s="29"/>
      <c r="F300" s="30"/>
      <c r="G300" s="27" t="str">
        <f>IF((qiewn+qoewn)&gt;0,((iocsl+iccsl+oocsl+occsl)*1000000)/(qiewn+qoewn),"Need Eqp.Count")</f>
        <v>Need Eqp.Count</v>
      </c>
      <c r="H300" s="28"/>
    </row>
    <row r="301" ht="12.75" customHeight="1">
      <c r="A301" s="13"/>
      <c r="C301" s="24" t="s">
        <v>262</v>
      </c>
      <c r="D301" s="29"/>
      <c r="E301" s="29"/>
      <c r="F301" s="30"/>
      <c r="G301" s="27" t="str">
        <f>IF((qist+qost)&gt;0,((iocsl+iccsl+oocsl+occsl)*1000000)/(qist+qost),"Need Ton Steel")</f>
        <v>Need Ton Steel</v>
      </c>
      <c r="H301" s="28"/>
    </row>
    <row r="302" ht="12.75" customHeight="1">
      <c r="A302" s="13"/>
      <c r="C302" s="24" t="s">
        <v>263</v>
      </c>
      <c r="D302" s="29"/>
      <c r="E302" s="29"/>
      <c r="F302" s="30"/>
      <c r="G302" s="27" t="str">
        <f>IF((qico+qoco)&gt;0,((iocol+iccol+oocol+occol)*1000000)/(qico+qoco), "Need Yd. Conc.")</f>
        <v>Need Yd. Conc.</v>
      </c>
      <c r="H302" s="28"/>
    </row>
    <row r="303" ht="12.75" customHeight="1">
      <c r="A303" s="13"/>
      <c r="C303" s="24" t="s">
        <v>264</v>
      </c>
      <c r="D303" s="29"/>
      <c r="E303" s="29"/>
      <c r="F303" s="30"/>
      <c r="G303" s="27" t="str">
        <f>IF((qist+qost)&gt;0,((iostl+icstl+oostl+ocstl)*1000000)/(qist+qost), "Need Ton Steel")</f>
        <v>Need Ton Steel</v>
      </c>
      <c r="H303" s="28"/>
    </row>
    <row r="304" ht="12.75" customHeight="1">
      <c r="A304" s="13"/>
      <c r="C304" s="24" t="s">
        <v>265</v>
      </c>
      <c r="D304" s="29"/>
      <c r="E304" s="29"/>
      <c r="F304" s="30"/>
      <c r="G304" s="27" t="str">
        <f>IF((qibl+qobl)&gt;0,((iobll+icbll+oobll+ocbll)*1000000)/(qibl+qobl), "Need Sq. Feet")</f>
        <v>Need Sq. Feet</v>
      </c>
      <c r="H304" s="28"/>
    </row>
    <row r="305" ht="12.75" customHeight="1">
      <c r="A305" s="13"/>
      <c r="C305" s="24" t="s">
        <v>266</v>
      </c>
      <c r="D305" s="29"/>
      <c r="E305" s="29"/>
      <c r="F305" s="30"/>
      <c r="G305" s="27" t="str">
        <f>IF((qiewn+qoewn)&gt;0,((iocsl+iocol+iostl+iobll+iccsl+iccol+icstl+icbll+oocsl+oocol+oostl+oobll+occsl+occol+ocstl+ocbll)*1000000)/(qiewn+qoewn),"Need Eqp.Count")</f>
        <v>Need Eqp.Count</v>
      </c>
      <c r="H305" s="28"/>
    </row>
    <row r="306" ht="12.75" customHeight="1">
      <c r="A306" s="13"/>
      <c r="C306" s="24" t="s">
        <v>267</v>
      </c>
      <c r="D306" s="29"/>
      <c r="E306" s="29"/>
      <c r="F306" s="30"/>
      <c r="G306" s="27" t="str">
        <f>IF((qiewn+qoewn)&gt;0,((ioell+icell+ooell+ocell)*1000000)/(qiewn+qoewn),"Need Eqp.Count")</f>
        <v>Need Eqp.Count</v>
      </c>
      <c r="H306" s="28"/>
    </row>
    <row r="307" ht="12.75" customHeight="1">
      <c r="A307" s="13"/>
      <c r="C307" s="24" t="s">
        <v>268</v>
      </c>
      <c r="D307" s="29"/>
      <c r="E307" s="29"/>
      <c r="F307" s="30"/>
      <c r="G307" s="27" t="str">
        <f>IF((qipil+qopil)&gt;0,((iopil+icpil+oopil+ocpil)*1000000)/(qipil+qopil), "Need Ft. Pipe")</f>
        <v>Need Ft. Pipe</v>
      </c>
      <c r="H307" s="28"/>
    </row>
    <row r="308" ht="12.75" customHeight="1">
      <c r="A308" s="13"/>
      <c r="C308" s="24" t="s">
        <v>269</v>
      </c>
      <c r="D308" s="29"/>
      <c r="E308" s="29"/>
      <c r="F308" s="30"/>
      <c r="G308" s="27" t="str">
        <f>IF((qipiw+qopiw)&gt;0,((iopil+icpil+oopil+ocpil)*1000000)/(qipiw+qopiw), "Need lb. Pipe")</f>
        <v>Need lb. Pipe</v>
      </c>
      <c r="H308" s="28"/>
    </row>
    <row r="309" ht="12.75" customHeight="1">
      <c r="A309" s="13"/>
      <c r="C309" s="24" t="s">
        <v>270</v>
      </c>
      <c r="D309" s="29"/>
      <c r="E309" s="29"/>
      <c r="F309" s="30"/>
      <c r="G309" s="27" t="str">
        <f>IF((qiell+qoell)&gt;0,((iolll+iclll+oolll+oclll)*1000000)/(qiell+qoell), "Need ft.Raceway")</f>
        <v>Need ft.Raceway</v>
      </c>
      <c r="H309" s="28"/>
    </row>
    <row r="310" ht="12.75" customHeight="1">
      <c r="A310" s="13"/>
      <c r="C310" s="24" t="s">
        <v>271</v>
      </c>
      <c r="D310" s="29"/>
      <c r="E310" s="29"/>
      <c r="F310" s="30"/>
      <c r="G310" s="27" t="str">
        <f>IF((qiini+qoini)&gt;0,((iopll+icpll+oopll+ocpll)*1000000)/(qiini+qoini), "Need I/O Count")</f>
        <v>Need I/O Count</v>
      </c>
      <c r="H310" s="28"/>
    </row>
    <row r="311" ht="12.75" customHeight="1">
      <c r="A311" s="13"/>
      <c r="C311" s="24" t="s">
        <v>272</v>
      </c>
      <c r="D311" s="29"/>
      <c r="E311" s="29"/>
      <c r="F311" s="30"/>
      <c r="G311" s="27" t="str">
        <f>IF((qiinn+qoinn)&gt;0,((iopll+icpll+oopll+ocpll)*1000000)/(qiinn+qoinn), "Need Ins. Count")</f>
        <v>Need Ins. Count</v>
      </c>
      <c r="H311" s="28"/>
    </row>
    <row r="312" ht="12.75" customHeight="1">
      <c r="A312" s="13"/>
      <c r="C312" s="24" t="s">
        <v>273</v>
      </c>
      <c r="D312" s="29"/>
      <c r="E312" s="29"/>
      <c r="F312" s="30"/>
      <c r="G312" s="27" t="str">
        <f>IF((qiinn+qoinn)&gt;0,((iopll+icpll+oopll+ocpll)*1000000)/(qiinn+qoinn), "Need Ins. Count")</f>
        <v>Need Ins. Count</v>
      </c>
      <c r="H312" s="28"/>
    </row>
    <row r="313" ht="12.75" customHeight="1">
      <c r="A313" s="13"/>
      <c r="C313" s="24" t="s">
        <v>274</v>
      </c>
      <c r="D313" s="29"/>
      <c r="E313" s="29"/>
      <c r="F313" s="30"/>
      <c r="G313" s="27" t="str">
        <f>IF((qipil+qopil)&gt;0,((iopfl+icpfl+oopfl+ocpfl)*1000000)/(qipil+qopil), "Need Ft. Pipe")</f>
        <v>Need Ft. Pipe</v>
      </c>
      <c r="H313" s="28"/>
    </row>
    <row r="314" ht="12.75" customHeight="1">
      <c r="A314" s="13"/>
      <c r="B314" s="6"/>
      <c r="C314" s="46"/>
      <c r="D314" s="47"/>
      <c r="E314" s="47"/>
      <c r="F314" s="48"/>
      <c r="G314" s="49"/>
      <c r="H314" s="50"/>
    </row>
    <row r="315" ht="8.85" customHeight="1">
      <c r="A315" s="11"/>
      <c r="B315" s="11"/>
      <c r="C315" s="14"/>
      <c r="D315" s="15"/>
      <c r="E315" s="15"/>
      <c r="F315" s="16"/>
      <c r="G315" s="17"/>
      <c r="H315" s="18"/>
    </row>
    <row r="316" ht="8.85" customHeight="1">
      <c r="A316" s="11"/>
      <c r="B316" s="11"/>
      <c r="C316" s="14"/>
      <c r="D316" s="15"/>
      <c r="E316" s="15"/>
      <c r="F316" s="16"/>
      <c r="G316" s="17"/>
      <c r="H316" s="18"/>
    </row>
    <row r="317" ht="22.5" customHeight="1" thickBot="1">
      <c r="A317" s="13"/>
      <c r="B317" s="39" t="s">
        <v>275</v>
      </c>
      <c r="C317" s="40"/>
      <c r="D317" s="40"/>
      <c r="E317" s="40"/>
      <c r="F317" s="40"/>
      <c r="G317" s="40"/>
      <c r="H317" s="41"/>
    </row>
    <row r="318" ht="18.75" customHeight="1" thickTop="1">
      <c r="A318" s="13"/>
      <c r="B318" s="19"/>
      <c r="C318" s="51" t="s">
        <v>22</v>
      </c>
      <c r="D318" s="52"/>
      <c r="E318" s="52"/>
      <c r="F318" s="52"/>
      <c r="G318" s="53" t="s">
        <v>23</v>
      </c>
      <c r="H318" s="54"/>
    </row>
    <row r="319" ht="12.75" customHeight="1">
      <c r="A319" s="13"/>
      <c r="C319" s="24" t="s">
        <v>276</v>
      </c>
      <c r="D319" s="29"/>
      <c r="E319" s="29"/>
      <c r="F319" s="30"/>
      <c r="G319" s="27" t="str">
        <f>IF((qiewn+qoewa)&gt;0,(qico+qoco)/(qiewn+qoewa),"Need Eqp.Count")</f>
        <v>Need Eqp.Count</v>
      </c>
      <c r="H319" s="28"/>
    </row>
    <row r="320" ht="12.75" customHeight="1">
      <c r="A320" s="13"/>
      <c r="C320" s="24" t="s">
        <v>277</v>
      </c>
      <c r="D320" s="29"/>
      <c r="E320" s="29"/>
      <c r="F320" s="30"/>
      <c r="G320" s="27" t="str">
        <f>IF((qipil+qopil)&gt;0,(qico+qoco)/(qipil+qopil), "Need Ft. Pipe")</f>
        <v>Need Ft. Pipe</v>
      </c>
      <c r="H320" s="28"/>
    </row>
    <row r="321" ht="12.75" customHeight="1">
      <c r="A321" s="13"/>
      <c r="C321" s="24" t="s">
        <v>278</v>
      </c>
      <c r="D321" s="29"/>
      <c r="E321" s="29"/>
      <c r="F321" s="30"/>
      <c r="G321" s="27" t="str">
        <f>IF((qist+qost)&gt;0,(qico+qoco)/(qist+qost), "Need Ton Steel")</f>
        <v>Need Ton Steel</v>
      </c>
      <c r="H321" s="28"/>
    </row>
    <row r="322" ht="12.75" customHeight="1">
      <c r="A322" s="13"/>
      <c r="C322" s="24" t="s">
        <v>279</v>
      </c>
      <c r="D322" s="29"/>
      <c r="E322" s="29"/>
      <c r="F322" s="30"/>
      <c r="G322" s="27" t="str">
        <f>IF((qiewn+qoewn)&gt;0,(qist+qost)/(qiewn+qoewn),"Need Eqp.Count")</f>
        <v>Need Eqp.Count</v>
      </c>
      <c r="H322" s="28"/>
    </row>
    <row r="323" ht="12.75" customHeight="1">
      <c r="A323" s="13"/>
      <c r="C323" s="24" t="s">
        <v>280</v>
      </c>
      <c r="D323" s="29"/>
      <c r="E323" s="29"/>
      <c r="F323" s="30"/>
      <c r="G323" s="27" t="str">
        <f>IF((qipil+qopil)&gt;0,(qist+qost)/(qipil+qopil),"Need Ft. Pipe")</f>
        <v>Need Ft. Pipe</v>
      </c>
      <c r="H323" s="28"/>
    </row>
    <row r="324" ht="12.75" customHeight="1">
      <c r="A324" s="13"/>
      <c r="C324" s="24" t="s">
        <v>281</v>
      </c>
      <c r="D324" s="29"/>
      <c r="E324" s="29"/>
      <c r="F324" s="30"/>
      <c r="G324" s="27" t="str">
        <f>IF((qiewn+qoewn)&gt;0,(qipil+qopil)/(qiewn+qoewn),"Need Eqp.Count")</f>
        <v>Need Eqp.Count</v>
      </c>
      <c r="H324" s="28"/>
    </row>
    <row r="325" ht="12.75" customHeight="1">
      <c r="A325" s="13"/>
      <c r="C325" s="24" t="s">
        <v>282</v>
      </c>
      <c r="D325" s="29"/>
      <c r="E325" s="29"/>
      <c r="F325" s="30"/>
      <c r="G325" s="27" t="str">
        <f>IF((qiewn+qoewn)&gt;0,(qipiw+qopiw)/(qiewn+qoewn),"Need Eqp.Count")</f>
        <v>Need Eqp.Count</v>
      </c>
      <c r="H325" s="28"/>
    </row>
    <row r="326" ht="12.75" customHeight="1">
      <c r="A326" s="13"/>
      <c r="C326" s="24" t="s">
        <v>283</v>
      </c>
      <c r="D326" s="29"/>
      <c r="E326" s="29"/>
      <c r="F326" s="30"/>
      <c r="G326" s="27" t="str">
        <f>IF((qipil+qopil)&gt;0,(qipiw+qopiw)/(qipil+qopil), "Need Ft. Pipe")</f>
        <v>Need Ft. Pipe</v>
      </c>
      <c r="H326" s="28"/>
    </row>
    <row r="327" ht="12.75" customHeight="1">
      <c r="A327" s="13"/>
      <c r="C327" s="24" t="s">
        <v>284</v>
      </c>
      <c r="D327" s="29"/>
      <c r="E327" s="29"/>
      <c r="F327" s="30"/>
      <c r="G327" s="27" t="str">
        <f>IF((qiewn+qoewn)&gt;0,(qiell+qoell)/(qiewn+qoewn), "Need Eqp.Count")</f>
        <v>Need Eqp.Count</v>
      </c>
      <c r="H327" s="28"/>
    </row>
    <row r="328" ht="12.75" customHeight="1">
      <c r="A328" s="13"/>
      <c r="C328" s="24" t="s">
        <v>285</v>
      </c>
      <c r="D328" s="29"/>
      <c r="E328" s="29"/>
      <c r="F328" s="30"/>
      <c r="G328" s="27" t="str">
        <f>IF((qipil+qopil)&gt;0,(qiell+qoell)/(qipil+qopil), "Need Ft. Pipe")</f>
        <v>Need Ft. Pipe</v>
      </c>
      <c r="H328" s="28"/>
    </row>
    <row r="329" ht="12.75" customHeight="1">
      <c r="A329" s="13"/>
      <c r="C329" s="24" t="s">
        <v>286</v>
      </c>
      <c r="D329" s="29"/>
      <c r="E329" s="29"/>
      <c r="F329" s="30"/>
      <c r="G329" s="27" t="str">
        <f>IF((qielc+qoelc)&gt;0,(qiell+qoell)/(qielc+qoelc), "Need KVA Load")</f>
        <v>Need KVA Load</v>
      </c>
      <c r="H329" s="28"/>
    </row>
    <row r="330" ht="12.75" customHeight="1">
      <c r="A330" s="13"/>
      <c r="C330" s="24" t="s">
        <v>287</v>
      </c>
      <c r="D330" s="29"/>
      <c r="E330" s="29"/>
      <c r="F330" s="30"/>
      <c r="G330" s="27" t="str">
        <f>IF((qiewn+qoewn)&gt;0,(qielc+qoelc)/(qiewn+qoewn), "Need Eqp.Count")</f>
        <v>Need Eqp.Count</v>
      </c>
      <c r="H330" s="28"/>
    </row>
    <row r="331" ht="12.75" customHeight="1">
      <c r="A331" s="13"/>
      <c r="C331" s="24" t="s">
        <v>288</v>
      </c>
      <c r="D331" s="29"/>
      <c r="E331" s="29"/>
      <c r="F331" s="30"/>
      <c r="G331" s="27" t="str">
        <f>IF((qiewn+qoewn)&gt;0,(qiinn+qoinn)/(qiewn+qoewn),"Need Eqp.Count")</f>
        <v>Need Eqp.Count</v>
      </c>
      <c r="H331" s="28"/>
    </row>
    <row r="332" ht="12.75" customHeight="1">
      <c r="A332" s="13"/>
      <c r="C332" s="24" t="s">
        <v>289</v>
      </c>
      <c r="D332" s="29"/>
      <c r="E332" s="29"/>
      <c r="F332" s="30"/>
      <c r="G332" s="27" t="str">
        <f>IF((qipil+qopil)&gt;0,(qiinn+qoinn)/(qipil+qopil), "Need Ft. Pipe")</f>
        <v>Need Ft. Pipe</v>
      </c>
      <c r="H332" s="28"/>
    </row>
    <row r="333" ht="12.75" customHeight="1">
      <c r="A333" s="13"/>
      <c r="C333" s="24" t="s">
        <v>290</v>
      </c>
      <c r="D333" s="29"/>
      <c r="E333" s="29"/>
      <c r="F333" s="30"/>
      <c r="G333" s="27" t="str">
        <f>IF((qiewn+qoewn)&gt;0,(qiini+qoini)/(qiewn+qoewn),"Need Eqp.Count")</f>
        <v>Need Eqp.Count</v>
      </c>
      <c r="H333" s="28"/>
    </row>
    <row r="334" ht="12.75" customHeight="1">
      <c r="A334" s="13"/>
      <c r="C334" s="24" t="s">
        <v>291</v>
      </c>
      <c r="D334" s="29"/>
      <c r="E334" s="29"/>
      <c r="F334" s="30"/>
      <c r="G334" s="27" t="str">
        <f>IF((qipil+qopil)&gt;0,(qiini+qoini)/(qipil+qopil), "Need Ft. Pipe")</f>
        <v>Need Ft. Pipe</v>
      </c>
      <c r="H334" s="28"/>
    </row>
    <row r="335" ht="12.75" customHeight="1">
      <c r="A335" s="13"/>
      <c r="B335" s="6"/>
      <c r="C335" s="46"/>
      <c r="D335" s="47"/>
      <c r="E335" s="47"/>
      <c r="F335" s="48"/>
      <c r="G335" s="49"/>
      <c r="H335" s="50"/>
    </row>
    <row r="336" ht="8.85" customHeight="1">
      <c r="A336" s="11"/>
      <c r="B336" s="11"/>
      <c r="C336" s="14"/>
      <c r="D336" s="15"/>
      <c r="E336" s="15"/>
      <c r="F336" s="16"/>
      <c r="G336" s="17"/>
      <c r="H336" s="18"/>
    </row>
    <row r="337" ht="8.85" customHeight="1">
      <c r="A337" s="11"/>
      <c r="B337" s="11"/>
      <c r="C337" s="14"/>
      <c r="D337" s="15"/>
      <c r="E337" s="15"/>
      <c r="F337" s="16"/>
      <c r="G337" s="17"/>
      <c r="H337" s="18"/>
    </row>
    <row r="338" ht="22.5" customHeight="1" thickBot="1">
      <c r="A338" s="13"/>
      <c r="B338" s="39" t="s">
        <v>292</v>
      </c>
      <c r="C338" s="40"/>
      <c r="D338" s="40"/>
      <c r="E338" s="40"/>
      <c r="F338" s="40"/>
      <c r="G338" s="40"/>
      <c r="H338" s="41"/>
    </row>
    <row r="339" ht="18.75" customHeight="1" thickTop="1">
      <c r="A339" s="13"/>
      <c r="B339" s="19"/>
      <c r="C339" s="51" t="s">
        <v>22</v>
      </c>
      <c r="D339" s="52"/>
      <c r="E339" s="52"/>
      <c r="F339" s="52"/>
      <c r="G339" s="53" t="s">
        <v>23</v>
      </c>
      <c r="H339" s="54"/>
    </row>
    <row r="340" ht="12.75" customHeight="1">
      <c r="A340" s="13"/>
      <c r="C340" s="24" t="s">
        <v>293</v>
      </c>
      <c r="D340" s="29"/>
      <c r="E340" s="29"/>
      <c r="F340" s="30"/>
      <c r="G340" s="27" t="e">
        <f>(motth+mctth+eotth+ectth)/(otth+ctth+cotth+cctth)</f>
        <v>#DIV/0!</v>
      </c>
      <c r="H340" s="28"/>
    </row>
    <row r="341" ht="12.75" customHeight="1">
      <c r="A341" s="13"/>
      <c r="C341" s="64" t="s">
        <v>294</v>
      </c>
      <c r="D341" s="65"/>
      <c r="E341" s="65"/>
      <c r="F341" s="66"/>
      <c r="G341" s="67" t="e">
        <f>(motth+mctth+eotth+ectth)/(dctot)</f>
        <v>#DIV/0!</v>
      </c>
      <c r="H341" s="68"/>
    </row>
    <row r="342" ht="12.75" customHeight="1">
      <c r="A342" s="13"/>
      <c r="C342" s="24" t="s">
        <v>295</v>
      </c>
      <c r="D342" s="29"/>
      <c r="E342" s="29"/>
      <c r="F342" s="30"/>
      <c r="G342" s="27" t="str">
        <f>IF((qiewn+qoewn)&gt;0,(motth+mctth+eotth+ectth)/(qiewn+qoewn),"Need Eqp.Count")</f>
        <v>Need Eqp.Count</v>
      </c>
      <c r="H342" s="28"/>
    </row>
    <row r="343" ht="12.75" customHeight="1">
      <c r="A343" s="13"/>
      <c r="C343" s="24" t="s">
        <v>296</v>
      </c>
      <c r="D343" s="29"/>
      <c r="E343" s="29"/>
      <c r="F343" s="30"/>
      <c r="G343" s="27" t="str">
        <f>IF((qipil+qopil)&gt;0, (motth+mctth+eotth+ectth)/(qipil+qopil), "Need Ft. Pipe")</f>
        <v>Need Ft. Pipe</v>
      </c>
      <c r="H343" s="28"/>
    </row>
    <row r="344" ht="12.75" customHeight="1">
      <c r="A344" s="13"/>
      <c r="C344" s="24" t="s">
        <v>297</v>
      </c>
      <c r="D344" s="29"/>
      <c r="E344" s="29"/>
      <c r="F344" s="30"/>
      <c r="G344" s="27" t="str">
        <f>IF((qiewn+qoewn)&gt;0,(motth+mctth)/(qiewn+qoewn),"Need Eqp.Count")</f>
        <v>Need Eqp.Count</v>
      </c>
      <c r="H344" s="28"/>
    </row>
    <row r="345" ht="12.75" customHeight="1">
      <c r="A345" s="13"/>
      <c r="C345" s="24" t="s">
        <v>298</v>
      </c>
      <c r="D345" s="29"/>
      <c r="E345" s="29"/>
      <c r="F345" s="30"/>
      <c r="G345" s="27" t="str">
        <f>IF((qipil+qopil)&gt;0,(motth+mctth)/(qipil+qopil), "Need Ft. Pipe")</f>
        <v>Need Ft. Pipe</v>
      </c>
      <c r="H345" s="28"/>
    </row>
    <row r="346" ht="12.75" customHeight="1">
      <c r="A346" s="13"/>
      <c r="C346" s="64" t="s">
        <v>299</v>
      </c>
      <c r="D346" s="65"/>
      <c r="E346" s="65"/>
      <c r="F346" s="66"/>
      <c r="G346" s="67" t="e">
        <f>(otth+ctth+cotth+cctth)/dctot</f>
        <v>#DIV/0!</v>
      </c>
      <c r="H346" s="68"/>
    </row>
    <row r="347" ht="12.75" customHeight="1">
      <c r="A347" s="13"/>
      <c r="C347" s="24" t="s">
        <v>300</v>
      </c>
      <c r="D347" s="29"/>
      <c r="E347" s="29"/>
      <c r="F347" s="30"/>
      <c r="G347" s="27" t="str">
        <f>IF((qiewn+qoewn)&gt;0,(otth+ctth+cotth+cctth)/(qiewn+qoewn),"Need Eqp.Count")</f>
        <v>Need Eqp.Count</v>
      </c>
      <c r="H347" s="28"/>
    </row>
    <row r="348" ht="12.75" customHeight="1">
      <c r="A348" s="13"/>
      <c r="C348" s="24" t="s">
        <v>301</v>
      </c>
      <c r="D348" s="29"/>
      <c r="E348" s="29"/>
      <c r="F348" s="30"/>
      <c r="G348" s="27" t="str">
        <f>IF((qipil+qopil)&gt;0,(otth+ctth+cotth+cctth)/(qipil+qopil), "Need Ft. Pipe")</f>
        <v>Need Ft. Pipe</v>
      </c>
      <c r="H348" s="28"/>
    </row>
    <row r="349" ht="12.75" customHeight="1">
      <c r="A349" s="13"/>
      <c r="C349" s="24" t="s">
        <v>302</v>
      </c>
      <c r="D349" s="29"/>
      <c r="E349" s="29"/>
      <c r="F349" s="30"/>
      <c r="G349" s="27" t="e">
        <f>(cocmh+cccmh)/(coceh+cotfh+ccceh+cctfh+otth+ctth)</f>
        <v>#DIV/0!</v>
      </c>
      <c r="H349" s="28"/>
    </row>
    <row r="350">
      <c r="A350" s="13"/>
      <c r="B350" s="7"/>
      <c r="C350" s="69"/>
      <c r="D350" s="69"/>
      <c r="E350" s="69"/>
      <c r="F350" s="69"/>
      <c r="G350" s="70"/>
      <c r="H350" s="71"/>
    </row>
  </sheetData>
  <mergeCells>
    <mergeCell ref="C348:F348"/>
    <mergeCell ref="G348:H348"/>
    <mergeCell ref="C349:F349"/>
    <mergeCell ref="G349:H349"/>
    <mergeCell ref="C350:F350"/>
    <mergeCell ref="G350:H350"/>
    <mergeCell ref="C345:F345"/>
    <mergeCell ref="G345:H345"/>
    <mergeCell ref="C346:F346"/>
    <mergeCell ref="G346:H346"/>
    <mergeCell ref="C347:F347"/>
    <mergeCell ref="G347:H347"/>
    <mergeCell ref="C342:F342"/>
    <mergeCell ref="G342:H342"/>
    <mergeCell ref="C343:F343"/>
    <mergeCell ref="G343:H343"/>
    <mergeCell ref="C344:F344"/>
    <mergeCell ref="G344:H344"/>
    <mergeCell ref="B338:H338"/>
    <mergeCell ref="C339:F339"/>
    <mergeCell ref="G339:H339"/>
    <mergeCell ref="C340:F340"/>
    <mergeCell ref="G340:H340"/>
    <mergeCell ref="C341:F341"/>
    <mergeCell ref="G341:H341"/>
    <mergeCell ref="C333:F333"/>
    <mergeCell ref="G333:H333"/>
    <mergeCell ref="C334:F334"/>
    <mergeCell ref="G334:H334"/>
    <mergeCell ref="C335:F335"/>
    <mergeCell ref="G335:H335"/>
    <mergeCell ref="C330:F330"/>
    <mergeCell ref="G330:H330"/>
    <mergeCell ref="C331:F331"/>
    <mergeCell ref="G331:H331"/>
    <mergeCell ref="C332:F332"/>
    <mergeCell ref="G332:H332"/>
    <mergeCell ref="C327:F327"/>
    <mergeCell ref="G327:H327"/>
    <mergeCell ref="C328:F328"/>
    <mergeCell ref="G328:H328"/>
    <mergeCell ref="C329:F329"/>
    <mergeCell ref="G329:H329"/>
    <mergeCell ref="C324:F324"/>
    <mergeCell ref="G324:H324"/>
    <mergeCell ref="C325:F325"/>
    <mergeCell ref="G325:H325"/>
    <mergeCell ref="C326:F326"/>
    <mergeCell ref="G326:H326"/>
    <mergeCell ref="C321:F321"/>
    <mergeCell ref="G321:H321"/>
    <mergeCell ref="C322:F322"/>
    <mergeCell ref="G322:H322"/>
    <mergeCell ref="C323:F323"/>
    <mergeCell ref="G323:H323"/>
    <mergeCell ref="B317:H317"/>
    <mergeCell ref="C318:F318"/>
    <mergeCell ref="G318:H318"/>
    <mergeCell ref="C319:F319"/>
    <mergeCell ref="G319:H319"/>
    <mergeCell ref="C320:F320"/>
    <mergeCell ref="G320:H320"/>
    <mergeCell ref="C312:F312"/>
    <mergeCell ref="G312:H312"/>
    <mergeCell ref="C313:F313"/>
    <mergeCell ref="G313:H313"/>
    <mergeCell ref="C314:F314"/>
    <mergeCell ref="G314:H314"/>
    <mergeCell ref="C309:F309"/>
    <mergeCell ref="G309:H309"/>
    <mergeCell ref="C310:F310"/>
    <mergeCell ref="G310:H310"/>
    <mergeCell ref="C311:F311"/>
    <mergeCell ref="G311:H311"/>
    <mergeCell ref="C306:F306"/>
    <mergeCell ref="G306:H306"/>
    <mergeCell ref="C307:F307"/>
    <mergeCell ref="G307:H307"/>
    <mergeCell ref="C308:F308"/>
    <mergeCell ref="G308:H308"/>
    <mergeCell ref="C303:F303"/>
    <mergeCell ref="G303:H303"/>
    <mergeCell ref="C304:F304"/>
    <mergeCell ref="G304:H304"/>
    <mergeCell ref="C305:F305"/>
    <mergeCell ref="G305:H305"/>
    <mergeCell ref="C300:F300"/>
    <mergeCell ref="G300:H300"/>
    <mergeCell ref="C301:F301"/>
    <mergeCell ref="G301:H301"/>
    <mergeCell ref="C302:F302"/>
    <mergeCell ref="G302:H302"/>
    <mergeCell ref="C294:F294"/>
    <mergeCell ref="G294:H294"/>
    <mergeCell ref="C295:F295"/>
    <mergeCell ref="G295:H295"/>
    <mergeCell ref="B298:H298"/>
    <mergeCell ref="C299:F299"/>
    <mergeCell ref="G299:H299"/>
    <mergeCell ref="C291:F291"/>
    <mergeCell ref="G291:H291"/>
    <mergeCell ref="C292:F292"/>
    <mergeCell ref="G292:H292"/>
    <mergeCell ref="C293:F293"/>
    <mergeCell ref="G293:H293"/>
    <mergeCell ref="C288:F288"/>
    <mergeCell ref="G288:H288"/>
    <mergeCell ref="C289:F289"/>
    <mergeCell ref="G289:H289"/>
    <mergeCell ref="C290:F290"/>
    <mergeCell ref="G290:H290"/>
    <mergeCell ref="C285:F285"/>
    <mergeCell ref="G285:H285"/>
    <mergeCell ref="C286:F286"/>
    <mergeCell ref="G286:H286"/>
    <mergeCell ref="C287:F287"/>
    <mergeCell ref="G287:H287"/>
    <mergeCell ref="C282:F282"/>
    <mergeCell ref="G282:H282"/>
    <mergeCell ref="C283:F283"/>
    <mergeCell ref="G283:H283"/>
    <mergeCell ref="C284:F284"/>
    <mergeCell ref="G284:H284"/>
    <mergeCell ref="C279:F279"/>
    <mergeCell ref="G279:H279"/>
    <mergeCell ref="C280:F280"/>
    <mergeCell ref="G280:H280"/>
    <mergeCell ref="C281:F281"/>
    <mergeCell ref="G281:H281"/>
    <mergeCell ref="C273:F273"/>
    <mergeCell ref="G273:H273"/>
    <mergeCell ref="B276:H276"/>
    <mergeCell ref="C277:F277"/>
    <mergeCell ref="G277:H277"/>
    <mergeCell ref="C278:F278"/>
    <mergeCell ref="G278:H278"/>
    <mergeCell ref="C270:F270"/>
    <mergeCell ref="G270:H270"/>
    <mergeCell ref="C271:F271"/>
    <mergeCell ref="G271:H271"/>
    <mergeCell ref="C272:F272"/>
    <mergeCell ref="G272:H272"/>
    <mergeCell ref="C267:F267"/>
    <mergeCell ref="G267:H267"/>
    <mergeCell ref="C268:F268"/>
    <mergeCell ref="G268:H268"/>
    <mergeCell ref="C269:F269"/>
    <mergeCell ref="G269:H269"/>
    <mergeCell ref="C264:F264"/>
    <mergeCell ref="G264:H264"/>
    <mergeCell ref="C265:F265"/>
    <mergeCell ref="G265:H265"/>
    <mergeCell ref="C266:F266"/>
    <mergeCell ref="G266:H266"/>
    <mergeCell ref="C261:F261"/>
    <mergeCell ref="G261:H261"/>
    <mergeCell ref="C262:F262"/>
    <mergeCell ref="G262:H262"/>
    <mergeCell ref="C263:F263"/>
    <mergeCell ref="G263:H263"/>
    <mergeCell ref="B257:H257"/>
    <mergeCell ref="C258:F258"/>
    <mergeCell ref="G258:H258"/>
    <mergeCell ref="C259:F259"/>
    <mergeCell ref="G259:H259"/>
    <mergeCell ref="C260:F260"/>
    <mergeCell ref="G260:H260"/>
    <mergeCell ref="C252:F252"/>
    <mergeCell ref="G252:H252"/>
    <mergeCell ref="C253:F253"/>
    <mergeCell ref="G253:H253"/>
    <mergeCell ref="C254:F254"/>
    <mergeCell ref="G254:H254"/>
    <mergeCell ref="C249:F249"/>
    <mergeCell ref="G249:H249"/>
    <mergeCell ref="C250:F250"/>
    <mergeCell ref="G250:H250"/>
    <mergeCell ref="C251:F251"/>
    <mergeCell ref="G251:H251"/>
    <mergeCell ref="C246:F246"/>
    <mergeCell ref="G246:H246"/>
    <mergeCell ref="C247:F247"/>
    <mergeCell ref="G247:H247"/>
    <mergeCell ref="C248:F248"/>
    <mergeCell ref="G248:H248"/>
    <mergeCell ref="C243:F243"/>
    <mergeCell ref="G243:H243"/>
    <mergeCell ref="C244:F244"/>
    <mergeCell ref="G244:H244"/>
    <mergeCell ref="C245:F245"/>
    <mergeCell ref="G245:H245"/>
    <mergeCell ref="C240:F240"/>
    <mergeCell ref="G240:H240"/>
    <mergeCell ref="C241:F241"/>
    <mergeCell ref="G241:H241"/>
    <mergeCell ref="C242:F242"/>
    <mergeCell ref="G242:H242"/>
    <mergeCell ref="B236:H236"/>
    <mergeCell ref="C237:F237"/>
    <mergeCell ref="G237:H237"/>
    <mergeCell ref="C238:F238"/>
    <mergeCell ref="G238:H238"/>
    <mergeCell ref="C239:F239"/>
    <mergeCell ref="G239:H239"/>
    <mergeCell ref="C231:F231"/>
    <mergeCell ref="G231:H231"/>
    <mergeCell ref="C232:F232"/>
    <mergeCell ref="G232:H232"/>
    <mergeCell ref="C233:F233"/>
    <mergeCell ref="G233:H233"/>
    <mergeCell ref="C228:F228"/>
    <mergeCell ref="G228:H228"/>
    <mergeCell ref="C229:F229"/>
    <mergeCell ref="G229:H229"/>
    <mergeCell ref="C230:F230"/>
    <mergeCell ref="G230:H230"/>
    <mergeCell ref="C225:F225"/>
    <mergeCell ref="G225:H225"/>
    <mergeCell ref="C226:F226"/>
    <mergeCell ref="G226:H226"/>
    <mergeCell ref="C227:F227"/>
    <mergeCell ref="G227:H227"/>
    <mergeCell ref="C222:F222"/>
    <mergeCell ref="G222:H222"/>
    <mergeCell ref="C223:F223"/>
    <mergeCell ref="G223:H223"/>
    <mergeCell ref="C224:F224"/>
    <mergeCell ref="G224:H224"/>
    <mergeCell ref="C216:F216"/>
    <mergeCell ref="G216:H216"/>
    <mergeCell ref="B219:H219"/>
    <mergeCell ref="C220:F220"/>
    <mergeCell ref="G220:H220"/>
    <mergeCell ref="C221:F221"/>
    <mergeCell ref="G221:H221"/>
    <mergeCell ref="C213:F213"/>
    <mergeCell ref="G213:H213"/>
    <mergeCell ref="C214:F214"/>
    <mergeCell ref="G214:H214"/>
    <mergeCell ref="C215:F215"/>
    <mergeCell ref="G215:H215"/>
    <mergeCell ref="C210:F210"/>
    <mergeCell ref="G210:H210"/>
    <mergeCell ref="C211:F211"/>
    <mergeCell ref="G211:H211"/>
    <mergeCell ref="C212:F212"/>
    <mergeCell ref="G212:H212"/>
    <mergeCell ref="C207:F207"/>
    <mergeCell ref="G207:H207"/>
    <mergeCell ref="C208:F208"/>
    <mergeCell ref="G208:H208"/>
    <mergeCell ref="C209:F209"/>
    <mergeCell ref="G209:H209"/>
    <mergeCell ref="C204:F204"/>
    <mergeCell ref="G204:H204"/>
    <mergeCell ref="C205:F205"/>
    <mergeCell ref="G205:H205"/>
    <mergeCell ref="C206:F206"/>
    <mergeCell ref="G206:H206"/>
    <mergeCell ref="C201:F201"/>
    <mergeCell ref="G201:H201"/>
    <mergeCell ref="C202:F202"/>
    <mergeCell ref="G202:H202"/>
    <mergeCell ref="C203:F203"/>
    <mergeCell ref="G203:H203"/>
    <mergeCell ref="C198:F198"/>
    <mergeCell ref="G198:H198"/>
    <mergeCell ref="C199:F199"/>
    <mergeCell ref="G199:H199"/>
    <mergeCell ref="C200:F200"/>
    <mergeCell ref="G200:H200"/>
    <mergeCell ref="C195:F195"/>
    <mergeCell ref="G195:H195"/>
    <mergeCell ref="C196:F196"/>
    <mergeCell ref="G196:H196"/>
    <mergeCell ref="C197:F197"/>
    <mergeCell ref="G197:H197"/>
    <mergeCell ref="C189:F189"/>
    <mergeCell ref="G189:H189"/>
    <mergeCell ref="B192:H192"/>
    <mergeCell ref="C193:F193"/>
    <mergeCell ref="G193:H193"/>
    <mergeCell ref="C194:F194"/>
    <mergeCell ref="G194:H194"/>
    <mergeCell ref="C186:F186"/>
    <mergeCell ref="G186:H186"/>
    <mergeCell ref="C187:F187"/>
    <mergeCell ref="G187:H187"/>
    <mergeCell ref="C188:F188"/>
    <mergeCell ref="G188:H188"/>
    <mergeCell ref="C183:F183"/>
    <mergeCell ref="G183:H183"/>
    <mergeCell ref="C184:F184"/>
    <mergeCell ref="G184:H184"/>
    <mergeCell ref="C185:F185"/>
    <mergeCell ref="G185:H185"/>
    <mergeCell ref="C180:F180"/>
    <mergeCell ref="G180:H180"/>
    <mergeCell ref="C181:F181"/>
    <mergeCell ref="G181:H181"/>
    <mergeCell ref="C182:F182"/>
    <mergeCell ref="G182:H182"/>
    <mergeCell ref="C177:F177"/>
    <mergeCell ref="G177:H177"/>
    <mergeCell ref="C178:F178"/>
    <mergeCell ref="G178:H178"/>
    <mergeCell ref="C179:F179"/>
    <mergeCell ref="G179:H179"/>
    <mergeCell ref="C174:F174"/>
    <mergeCell ref="G174:H174"/>
    <mergeCell ref="C175:F175"/>
    <mergeCell ref="G175:H175"/>
    <mergeCell ref="C176:F176"/>
    <mergeCell ref="G176:H176"/>
    <mergeCell ref="C171:F171"/>
    <mergeCell ref="G171:H171"/>
    <mergeCell ref="C172:F172"/>
    <mergeCell ref="G172:H172"/>
    <mergeCell ref="C173:F173"/>
    <mergeCell ref="G173:H173"/>
    <mergeCell ref="C168:F168"/>
    <mergeCell ref="G168:H168"/>
    <mergeCell ref="C169:F169"/>
    <mergeCell ref="G169:H169"/>
    <mergeCell ref="C170:F170"/>
    <mergeCell ref="G170:H170"/>
    <mergeCell ref="C162:F162"/>
    <mergeCell ref="G162:H162"/>
    <mergeCell ref="B165:H165"/>
    <mergeCell ref="C166:F166"/>
    <mergeCell ref="G166:H166"/>
    <mergeCell ref="C167:F167"/>
    <mergeCell ref="G167:H167"/>
    <mergeCell ref="C159:F159"/>
    <mergeCell ref="G159:H159"/>
    <mergeCell ref="C160:F160"/>
    <mergeCell ref="G160:H160"/>
    <mergeCell ref="C161:F161"/>
    <mergeCell ref="G161:H161"/>
    <mergeCell ref="C156:F156"/>
    <mergeCell ref="G156:H156"/>
    <mergeCell ref="C157:F157"/>
    <mergeCell ref="G157:H157"/>
    <mergeCell ref="C158:F158"/>
    <mergeCell ref="G158:H158"/>
    <mergeCell ref="B152:H152"/>
    <mergeCell ref="C153:F153"/>
    <mergeCell ref="G153:H153"/>
    <mergeCell ref="C154:F154"/>
    <mergeCell ref="G154:H154"/>
    <mergeCell ref="C155:F155"/>
    <mergeCell ref="G155:H155"/>
    <mergeCell ref="C147:F147"/>
    <mergeCell ref="G147:H147"/>
    <mergeCell ref="C148:F148"/>
    <mergeCell ref="G148:H148"/>
    <mergeCell ref="C149:F149"/>
    <mergeCell ref="G149:H149"/>
    <mergeCell ref="C144:F144"/>
    <mergeCell ref="G144:H144"/>
    <mergeCell ref="C145:F145"/>
    <mergeCell ref="G145:H145"/>
    <mergeCell ref="C146:F146"/>
    <mergeCell ref="G146:H146"/>
    <mergeCell ref="C141:F141"/>
    <mergeCell ref="G141:H141"/>
    <mergeCell ref="C142:F142"/>
    <mergeCell ref="G142:H142"/>
    <mergeCell ref="C143:F143"/>
    <mergeCell ref="G143:H143"/>
    <mergeCell ref="C138:F138"/>
    <mergeCell ref="G138:H138"/>
    <mergeCell ref="C139:F139"/>
    <mergeCell ref="G139:H139"/>
    <mergeCell ref="C140:F140"/>
    <mergeCell ref="G140:H140"/>
    <mergeCell ref="C135:F135"/>
    <mergeCell ref="G135:H135"/>
    <mergeCell ref="C136:F136"/>
    <mergeCell ref="G136:H136"/>
    <mergeCell ref="C137:F137"/>
    <mergeCell ref="G137:H137"/>
    <mergeCell ref="C129:F129"/>
    <mergeCell ref="G129:H129"/>
    <mergeCell ref="C130:F130"/>
    <mergeCell ref="G130:H130"/>
    <mergeCell ref="B133:H133"/>
    <mergeCell ref="C134:F134"/>
    <mergeCell ref="G134:H134"/>
    <mergeCell ref="C126:F126"/>
    <mergeCell ref="G126:H126"/>
    <mergeCell ref="C127:F127"/>
    <mergeCell ref="G127:H127"/>
    <mergeCell ref="C128:F128"/>
    <mergeCell ref="G128:H128"/>
    <mergeCell ref="C123:F123"/>
    <mergeCell ref="G123:H123"/>
    <mergeCell ref="C124:F124"/>
    <mergeCell ref="G124:H124"/>
    <mergeCell ref="C125:F125"/>
    <mergeCell ref="G125:H125"/>
    <mergeCell ref="C120:F120"/>
    <mergeCell ref="G120:H120"/>
    <mergeCell ref="C121:F121"/>
    <mergeCell ref="G121:H121"/>
    <mergeCell ref="C122:F122"/>
    <mergeCell ref="G122:H122"/>
    <mergeCell ref="C117:F117"/>
    <mergeCell ref="G117:H117"/>
    <mergeCell ref="C118:F118"/>
    <mergeCell ref="G118:H118"/>
    <mergeCell ref="C119:F119"/>
    <mergeCell ref="G119:H119"/>
    <mergeCell ref="C114:F114"/>
    <mergeCell ref="G114:H114"/>
    <mergeCell ref="C115:F115"/>
    <mergeCell ref="G115:H115"/>
    <mergeCell ref="C116:F116"/>
    <mergeCell ref="G116:H116"/>
    <mergeCell ref="C108:F108"/>
    <mergeCell ref="G108:H108"/>
    <mergeCell ref="C109:F109"/>
    <mergeCell ref="G109:H109"/>
    <mergeCell ref="B112:H112"/>
    <mergeCell ref="C113:F113"/>
    <mergeCell ref="G113:H113"/>
    <mergeCell ref="C105:F105"/>
    <mergeCell ref="G105:H105"/>
    <mergeCell ref="C106:F106"/>
    <mergeCell ref="G106:H106"/>
    <mergeCell ref="C107:F107"/>
    <mergeCell ref="G107:H107"/>
    <mergeCell ref="C102:F102"/>
    <mergeCell ref="G102:H102"/>
    <mergeCell ref="C103:F103"/>
    <mergeCell ref="G103:H103"/>
    <mergeCell ref="C104:F104"/>
    <mergeCell ref="G104:H104"/>
    <mergeCell ref="C99:F99"/>
    <mergeCell ref="G99:H99"/>
    <mergeCell ref="C100:F100"/>
    <mergeCell ref="G100:H100"/>
    <mergeCell ref="C101:F101"/>
    <mergeCell ref="G101:H101"/>
    <mergeCell ref="C96:F96"/>
    <mergeCell ref="G96:H96"/>
    <mergeCell ref="C97:F97"/>
    <mergeCell ref="G97:H97"/>
    <mergeCell ref="C98:F98"/>
    <mergeCell ref="G98:H98"/>
    <mergeCell ref="C93:F93"/>
    <mergeCell ref="G93:H93"/>
    <mergeCell ref="C94:F94"/>
    <mergeCell ref="G94:H94"/>
    <mergeCell ref="C95:F95"/>
    <mergeCell ref="G95:H95"/>
    <mergeCell ref="C90:F90"/>
    <mergeCell ref="G90:H90"/>
    <mergeCell ref="C91:F91"/>
    <mergeCell ref="G91:H91"/>
    <mergeCell ref="C92:F92"/>
    <mergeCell ref="G92:H92"/>
    <mergeCell ref="C87:F87"/>
    <mergeCell ref="G87:H87"/>
    <mergeCell ref="C88:F88"/>
    <mergeCell ref="G88:H88"/>
    <mergeCell ref="C89:F89"/>
    <mergeCell ref="G89:H89"/>
    <mergeCell ref="C84:F84"/>
    <mergeCell ref="G84:H84"/>
    <mergeCell ref="C85:F85"/>
    <mergeCell ref="G85:H85"/>
    <mergeCell ref="C86:F86"/>
    <mergeCell ref="G86:H86"/>
    <mergeCell ref="C81:F81"/>
    <mergeCell ref="G81:H81"/>
    <mergeCell ref="C82:F82"/>
    <mergeCell ref="G82:H82"/>
    <mergeCell ref="C83:F83"/>
    <mergeCell ref="G83:H83"/>
    <mergeCell ref="C78:F78"/>
    <mergeCell ref="G78:H78"/>
    <mergeCell ref="C79:F79"/>
    <mergeCell ref="G79:H79"/>
    <mergeCell ref="C80:F80"/>
    <mergeCell ref="G80:H80"/>
    <mergeCell ref="C75:F75"/>
    <mergeCell ref="G75:H75"/>
    <mergeCell ref="C76:F76"/>
    <mergeCell ref="G76:H76"/>
    <mergeCell ref="C77:F77"/>
    <mergeCell ref="G77:H77"/>
    <mergeCell ref="C72:F72"/>
    <mergeCell ref="G72:H72"/>
    <mergeCell ref="C73:F73"/>
    <mergeCell ref="G73:H73"/>
    <mergeCell ref="C74:F74"/>
    <mergeCell ref="G74:H74"/>
    <mergeCell ref="C69:F69"/>
    <mergeCell ref="G69:H69"/>
    <mergeCell ref="C70:F70"/>
    <mergeCell ref="G70:H70"/>
    <mergeCell ref="C71:F71"/>
    <mergeCell ref="G71:H71"/>
    <mergeCell ref="C66:F66"/>
    <mergeCell ref="G66:H66"/>
    <mergeCell ref="C67:F67"/>
    <mergeCell ref="G67:H67"/>
    <mergeCell ref="C68:F68"/>
    <mergeCell ref="G68:H68"/>
    <mergeCell ref="C63:F63"/>
    <mergeCell ref="G63:H63"/>
    <mergeCell ref="C64:F64"/>
    <mergeCell ref="G64:H64"/>
    <mergeCell ref="C65:F65"/>
    <mergeCell ref="G65:H65"/>
    <mergeCell ref="C60:F60"/>
    <mergeCell ref="G60:H60"/>
    <mergeCell ref="C61:F61"/>
    <mergeCell ref="G61:H61"/>
    <mergeCell ref="C62:F62"/>
    <mergeCell ref="G62:H62"/>
    <mergeCell ref="C57:F57"/>
    <mergeCell ref="G57:H57"/>
    <mergeCell ref="C58:F58"/>
    <mergeCell ref="G58:H58"/>
    <mergeCell ref="C59:F59"/>
    <mergeCell ref="G59:H59"/>
    <mergeCell ref="B53:H53"/>
    <mergeCell ref="C54:F54"/>
    <mergeCell ref="G54:H54"/>
    <mergeCell ref="C55:F55"/>
    <mergeCell ref="G55:H55"/>
    <mergeCell ref="C56:F56"/>
    <mergeCell ref="G56:H56"/>
    <mergeCell ref="C48:F48"/>
    <mergeCell ref="G48:H48"/>
    <mergeCell ref="C49:F49"/>
    <mergeCell ref="G49:H49"/>
    <mergeCell ref="C52:F52"/>
    <mergeCell ref="G52:H52"/>
    <mergeCell ref="C45:F45"/>
    <mergeCell ref="G45:H45"/>
    <mergeCell ref="C46:F46"/>
    <mergeCell ref="G46:H46"/>
    <mergeCell ref="C47:F47"/>
    <mergeCell ref="G47:H47"/>
    <mergeCell ref="C42:F42"/>
    <mergeCell ref="G42:H42"/>
    <mergeCell ref="C43:F43"/>
    <mergeCell ref="G43:H43"/>
    <mergeCell ref="C44:F44"/>
    <mergeCell ref="G44:H44"/>
    <mergeCell ref="C39:F39"/>
    <mergeCell ref="G39:H39"/>
    <mergeCell ref="C40:F40"/>
    <mergeCell ref="G40:H40"/>
    <mergeCell ref="C41:F41"/>
    <mergeCell ref="G41:H41"/>
    <mergeCell ref="C36:F36"/>
    <mergeCell ref="G36:H36"/>
    <mergeCell ref="C37:F37"/>
    <mergeCell ref="G37:H37"/>
    <mergeCell ref="C38:F38"/>
    <mergeCell ref="G38:H38"/>
    <mergeCell ref="C30:F30"/>
    <mergeCell ref="G30:H30"/>
    <mergeCell ref="C31:F31"/>
    <mergeCell ref="G31:H31"/>
    <mergeCell ref="B34:H34"/>
    <mergeCell ref="C35:F35"/>
    <mergeCell ref="G35:H35"/>
    <mergeCell ref="C27:F27"/>
    <mergeCell ref="G27:H27"/>
    <mergeCell ref="C28:F28"/>
    <mergeCell ref="G28:H28"/>
    <mergeCell ref="C29:F29"/>
    <mergeCell ref="G29:H29"/>
    <mergeCell ref="C24:F24"/>
    <mergeCell ref="G24:H24"/>
    <mergeCell ref="C25:F25"/>
    <mergeCell ref="G25:H25"/>
    <mergeCell ref="C26:F26"/>
    <mergeCell ref="G26:H26"/>
    <mergeCell ref="C21:F21"/>
    <mergeCell ref="G21:H21"/>
    <mergeCell ref="C22:F22"/>
    <mergeCell ref="G22:H22"/>
    <mergeCell ref="C23:F23"/>
    <mergeCell ref="G23:H23"/>
    <mergeCell ref="C18:F18"/>
    <mergeCell ref="G18:H18"/>
    <mergeCell ref="C19:F19"/>
    <mergeCell ref="G19:H19"/>
    <mergeCell ref="C20:F20"/>
    <mergeCell ref="G20:H20"/>
    <mergeCell ref="C15:F15"/>
    <mergeCell ref="G15:H15"/>
    <mergeCell ref="C16:F16"/>
    <mergeCell ref="G16:H16"/>
    <mergeCell ref="C17:F17"/>
    <mergeCell ref="G17:H17"/>
    <mergeCell ref="C12:F12"/>
    <mergeCell ref="G12:H12"/>
    <mergeCell ref="C13:F13"/>
    <mergeCell ref="G13:H13"/>
    <mergeCell ref="C14:F14"/>
    <mergeCell ref="G14:H14"/>
    <mergeCell ref="C1:H1"/>
    <mergeCell ref="C2:H2"/>
    <mergeCell ref="D3:F3"/>
    <mergeCell ref="C8:H8"/>
    <mergeCell ref="B10:H10"/>
    <mergeCell ref="C11:F11"/>
    <mergeCell ref="G11:H11"/>
  </mergeCells>
  <pageMargins left="0.7" right="0.7" top="0.75" bottom="0.75" header="0.3" footer="0.3"/>
  <pageSetup scale="90" orientation="portrait" horizontalDpi="0" verticalDpi="0" r:id="flId1"/>
  <headerFooter>
    <oddFooter>&amp;L&amp;D&amp;R&amp;P/&amp;N</oddFooter>
  </headerFooter>
  <rowBreaks count="14" manualBreakCount="14">
    <brk man="1" id="32" max="16383"/>
    <brk man="1" id="50" max="16383"/>
    <brk man="1" id="110" max="16383"/>
    <brk man="1" id="131" max="16383"/>
    <brk man="1" id="150" max="16383"/>
    <brk man="1" id="163" max="16383"/>
    <brk man="1" id="190" max="16383"/>
    <brk man="1" id="217" max="16383"/>
    <brk man="1" id="234" max="16383"/>
    <brk man="1" id="255" max="16383"/>
    <brk man="1" id="274" max="16383"/>
    <brk man="1" id="296" max="16383"/>
    <brk man="1" id="315" max="7"/>
    <brk man="1" id="336" max="7"/>
  </rowBreaks>
  <drawing r:id="flId2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IPA Detail Cost</vt:lpstr>
      <vt:lpstr>IPA Metrics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2022-10-20T20:30:24Z</dcterms:created>
  <dcterms:modified xsi:type="dcterms:W3CDTF">2022-10-20T20:30:24Z</dcterms:modified>
</cp:coreProperties>
</file>