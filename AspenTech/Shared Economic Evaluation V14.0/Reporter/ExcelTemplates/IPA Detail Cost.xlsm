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openxmlformats-officedocument.spreadsheetml.printerSettings"/>
  <Default Extension="png" ContentType="image/png"/>
  <Override PartName="/xl/workbook.xml" ContentType="application/vnd.ms-excel.sheet.macroEnabled.main+xml"/>
  <Override PartName="/xl/sharedStrings.xml" ContentType="application/vnd.openxmlformats-officedocument.spreadsheetml.sharedStrings+xml"/>
  <Override PartName="/xl/theme/theme1.xml" ContentType="application/vnd.openxmlformats-officedocument.theme+xml"/>
  <Override PartName="/xl/styles.xml" ContentType="application/vnd.openxmlformats-officedocument.spreadsheetml.styl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&#65279;<?xml version="1.0" encoding="utf-8" standalone="yes"?><Relationships xmlns="http://schemas.openxmlformats.org/package/2006/relationships"><Relationship Id="flId1" Type="http://schemas.openxmlformats.org/officeDocument/2006/relationships/officeDocument" Target="xl/workbook.xml" /><Relationship Id="flId2" Type="http://schemas.openxmlformats.org/package/2006/relationships/metadata/core-properties" Target="docProps/core.xml" /><Relationship Id="flId3" Type="http://schemas.openxmlformats.org/officeDocument/2006/relationships/extended-properties" Target="docProps/app.xml" /></Relationships>
</file>

<file path=xl/workbook.xml><?xml version="1.0" encoding="utf-8"?>
<workbook xmlns:r="http://schemas.openxmlformats.org/officeDocument/2006/relationships" xmlns="http://schemas.openxmlformats.org/spreadsheetml/2006/main">
  <fileVersion appName="xl" rupBuild="4506" lastEdited="4" lowestEdited="4" codeName="{1AED2BDD-1FA3-CEF2-32D4-FBADEFEB71EE}"/>
  <workbookPr codeName="ThisWorkbook"/>
  <bookViews>
    <workbookView xWindow="-120" yWindow="-120" windowWidth="19440" windowHeight="10440"/>
  </bookViews>
  <sheets>
    <sheet name="IPA Detail Cost" sheetId="1" r:id="flId1"/>
    <sheet name="&lt;#Config&gt;" sheetId="5" r:id="flId2"/>
  </sheets>
  <definedNames>
    <definedName name="_0_IPA_Contingency_FIXED">'IPA Detail Cost'!$M$124</definedName>
    <definedName name="_0_IPA_CostType_FIXED">'IPA Detail Cost'!$D$5</definedName>
    <definedName name="_0_IPA_CurrencyUsed_FIXED">'IPA Detail Cost'!$D$32</definedName>
    <definedName name="_0_IPA_Escalation_FIXED">'IPA Detail Cost'!$M$126</definedName>
    <definedName name="_0_IPA_Startup_FIXED">'IPA Detail Cost'!$M$138</definedName>
    <definedName name="_TBL_0_IPA_ConstrIndirects_Contr_FIXED">'IPA Detail Cost'!$J$61:$M$61</definedName>
    <definedName name="_TBL_0_IPA_ConstrIndirects_Side_FIXED">'IPA Detail Cost'!$N$61</definedName>
    <definedName name="_TBL_0_IPA_Engineering_Contr_FIXED">'IPA Detail Cost'!$J$47:$M$47</definedName>
    <definedName name="_TBL_0_IPA_IsblConstr_Contr_FIXED">'IPA Detail Cost'!$J$73:$L$73</definedName>
    <definedName name="_TBL_0_IPA_IsblConstr_Side_FIXED">'IPA Detail Cost'!$N$73</definedName>
    <definedName name="_TBL_0_IPA_IsblMaterialQty_FIXED">'IPA Detail Cost'!$G$147</definedName>
    <definedName name="_TBL_0_IPA_IsblMaterialQty1_FIXED">'IPA Detail Cost'!$G$154</definedName>
    <definedName name="_TBL_0_IPA_MaterialQtyUnits_FIXED">'IPA Detail Cost'!$I$147</definedName>
    <definedName name="_TBL_0_IPA_OsblConstr_Contr_FIXED">'IPA Detail Cost'!$J$96:$L$96</definedName>
    <definedName name="_TBL_0_IPA_OsblMaterialQty_FIXED">'IPA Detail Cost'!$H$147</definedName>
    <definedName name="_TBL_0_IPA_OsblMaterialQty1_FIXED">'IPA Detail Cost'!$H$154</definedName>
    <definedName name="_TBL_0_IPA_ProjMgmt_Contr_FIXED">'IPA Detail Cost'!$J$39:$M$39</definedName>
    <definedName name="_TBL_0_IPA_Special_FIXED">'IPA Detail Cost'!$M$131</definedName>
    <definedName name="ccceh">'IPA Detail Cost'!$J$62</definedName>
    <definedName name="cccel">'IPA Detail Cost'!$K$62</definedName>
    <definedName name="cccem">'IPA Detail Cost'!$L$62</definedName>
    <definedName name="cccet">'IPA Detail Cost'!$M$62</definedName>
    <definedName name="cccmh">'IPA Detail Cost'!$J$61</definedName>
    <definedName name="cccml">'IPA Detail Cost'!$K$61</definedName>
    <definedName name="cccmm">'IPA Detail Cost'!$L$61</definedName>
    <definedName name="cccmt">'IPA Detail Cost'!$M$61</definedName>
    <definedName name="cctfh">'IPA Detail Cost'!$J$63</definedName>
    <definedName name="cctfl">'IPA Detail Cost'!$K$63</definedName>
    <definedName name="cctfm">'IPA Detail Cost'!$L$63</definedName>
    <definedName name="cctft">'IPA Detail Cost'!$M$63</definedName>
    <definedName name="cctth">'IPA Detail Cost'!$J$64</definedName>
    <definedName name="ccttl">'IPA Detail Cost'!$K$64</definedName>
    <definedName name="ccttm">'IPA Detail Cost'!$L$64</definedName>
    <definedName name="ccttt">'IPA Detail Cost'!$M$64</definedName>
    <definedName name="coceh">'IPA Detail Cost'!$F$62</definedName>
    <definedName name="cocel">'IPA Detail Cost'!$G$62</definedName>
    <definedName name="cocem">'IPA Detail Cost'!$H$62</definedName>
    <definedName name="cocet">'IPA Detail Cost'!$I$62</definedName>
    <definedName name="cocmh">'IPA Detail Cost'!$F$61</definedName>
    <definedName name="cocml">'IPA Detail Cost'!$G$61</definedName>
    <definedName name="cocmm">'IPA Detail Cost'!$H$61</definedName>
    <definedName name="cocmt">'IPA Detail Cost'!$I$61</definedName>
    <definedName name="cont">'IPA Detail Cost'!$M$124</definedName>
    <definedName name="costtype">'IPA Detail Cost'!$D$5</definedName>
    <definedName name="cotfh">'IPA Detail Cost'!$F$63</definedName>
    <definedName name="cotfl">'IPA Detail Cost'!$G$63</definedName>
    <definedName name="cotfm">'IPA Detail Cost'!$H$63</definedName>
    <definedName name="cotft">'IPA Detail Cost'!$I$63</definedName>
    <definedName name="cotth">'IPA Detail Cost'!$F$64</definedName>
    <definedName name="cottl">'IPA Detail Cost'!$G$64</definedName>
    <definedName name="cottm">'IPA Detail Cost'!$H$64</definedName>
    <definedName name="cottt">'IPA Detail Cost'!$I$64</definedName>
    <definedName name="ctctt">'IPA Detail Cost'!$M$118</definedName>
    <definedName name="ctth">'IPA Detail Cost'!$J$118</definedName>
    <definedName name="cttl">'IPA Detail Cost'!$K$118</definedName>
    <definedName name="cttm">'IPA Detail Cost'!$L$118</definedName>
    <definedName name="dctot">'IPA Detail Cost'!$M$128</definedName>
    <definedName name="ecaph">'IPA Detail Cost'!$J$49</definedName>
    <definedName name="ecapl">'IPA Detail Cost'!$K$49</definedName>
    <definedName name="eccih">'IPA Detail Cost'!$J$47</definedName>
    <definedName name="eccil">'IPA Detail Cost'!$K$47</definedName>
    <definedName name="ecelh">'IPA Detail Cost'!$J$54</definedName>
    <definedName name="ecell">'IPA Detail Cost'!$K$54</definedName>
    <definedName name="ecmeh">'IPA Detail Cost'!$J$51</definedName>
    <definedName name="ecmel">'IPA Detail Cost'!$K$51</definedName>
    <definedName name="ecmih">'IPA Detail Cost'!$J$56</definedName>
    <definedName name="ecmil">'IPA Detail Cost'!$K$56</definedName>
    <definedName name="ecmim">'IPA Detail Cost'!$L$56</definedName>
    <definedName name="ecmit">'IPA Detail Cost'!$M$56</definedName>
    <definedName name="ecpch">'IPA Detail Cost'!$J$53</definedName>
    <definedName name="ecpcl">'IPA Detail Cost'!$K$53</definedName>
    <definedName name="ecpih">'IPA Detail Cost'!$J$50</definedName>
    <definedName name="ecpil">'IPA Detail Cost'!$K$50</definedName>
    <definedName name="ecpmh">'IPA Detail Cost'!$J$52</definedName>
    <definedName name="ecpml">'IPA Detail Cost'!$K$52</definedName>
    <definedName name="ecprh">'IPA Detail Cost'!$J$55</definedName>
    <definedName name="ecprl">'IPA Detail Cost'!$K$55</definedName>
    <definedName name="ecsth">'IPA Detail Cost'!$J$48</definedName>
    <definedName name="ecstl">'IPA Detail Cost'!$K$48</definedName>
    <definedName name="ectth">'IPA Detail Cost'!$J$57</definedName>
    <definedName name="ecttl">'IPA Detail Cost'!$K$57</definedName>
    <definedName name="ecttt">'IPA Detail Cost'!$M$57</definedName>
    <definedName name="eoaph">'IPA Detail Cost'!$F$49</definedName>
    <definedName name="eoapl">'IPA Detail Cost'!$G$49</definedName>
    <definedName name="eocih">'IPA Detail Cost'!$F$47</definedName>
    <definedName name="eocil">'IPA Detail Cost'!$G$47</definedName>
    <definedName name="eoelh">'IPA Detail Cost'!$F$54</definedName>
    <definedName name="eoell">'IPA Detail Cost'!$G$54</definedName>
    <definedName name="eomeh">'IPA Detail Cost'!$F$51</definedName>
    <definedName name="eomel">'IPA Detail Cost'!$G$51</definedName>
    <definedName name="eomih">'IPA Detail Cost'!$F$56</definedName>
    <definedName name="eomil">'IPA Detail Cost'!$G$56</definedName>
    <definedName name="eomim">'IPA Detail Cost'!$H$56</definedName>
    <definedName name="eomit">'IPA Detail Cost'!$I$56</definedName>
    <definedName name="eopch">'IPA Detail Cost'!$F$53</definedName>
    <definedName name="eopcl">'IPA Detail Cost'!$G$53</definedName>
    <definedName name="eopih">'IPA Detail Cost'!$F$50</definedName>
    <definedName name="eopil">'IPA Detail Cost'!$G$50</definedName>
    <definedName name="eopmh">'IPA Detail Cost'!$F$52</definedName>
    <definedName name="eopml">'IPA Detail Cost'!$G$52</definedName>
    <definedName name="eoprh">'IPA Detail Cost'!$F$55</definedName>
    <definedName name="eoprl">'IPA Detail Cost'!$G$55</definedName>
    <definedName name="eosth">'IPA Detail Cost'!$F$48</definedName>
    <definedName name="eostl">'IPA Detail Cost'!$G$48</definedName>
    <definedName name="eotth">'IPA Detail Cost'!$F$57</definedName>
    <definedName name="eottl">'IPA Detail Cost'!$G$57</definedName>
    <definedName name="eottt">'IPA Detail Cost'!$I$57</definedName>
    <definedName name="esca">'IPA Detail Cost'!$M$126</definedName>
    <definedName name="finance">'IPA Detail Cost'!$D$11</definedName>
    <definedName name="icblh">'IPA Detail Cost'!$J$76</definedName>
    <definedName name="icbll">'IPA Detail Cost'!$K$76</definedName>
    <definedName name="icblm">'IPA Detail Cost'!$L$76</definedName>
    <definedName name="icblt">'IPA Detail Cost'!$M$76</definedName>
    <definedName name="iccoh">'IPA Detail Cost'!$J$74</definedName>
    <definedName name="iccol">'IPA Detail Cost'!$K$74</definedName>
    <definedName name="iccom">'IPA Detail Cost'!$L$74</definedName>
    <definedName name="iccot">'IPA Detail Cost'!$M$74</definedName>
    <definedName name="iccsh">'IPA Detail Cost'!$J$73</definedName>
    <definedName name="iccsl">'IPA Detail Cost'!$K$73</definedName>
    <definedName name="iccsm">'IPA Detail Cost'!$L$73</definedName>
    <definedName name="iccst">'IPA Detail Cost'!$M$73</definedName>
    <definedName name="icefm">'IPA Detail Cost'!$L$79</definedName>
    <definedName name="icelh">'IPA Detail Cost'!$J$77</definedName>
    <definedName name="icell">'IPA Detail Cost'!$K$77</definedName>
    <definedName name="icemm">'IPA Detail Cost'!$L$78</definedName>
    <definedName name="iceom">'IPA Detail Cost'!$L$80</definedName>
    <definedName name="icett">'IPA Detail Cost'!$M$81</definedName>
    <definedName name="iclbm">'IPA Detail Cost'!$L$86</definedName>
    <definedName name="iclem">'IPA Detail Cost'!$L$85</definedName>
    <definedName name="icllh">'IPA Detail Cost'!$J$84</definedName>
    <definedName name="iclll">'IPA Detail Cost'!$K$84</definedName>
    <definedName name="icltt">'IPA Detail Cost'!$M$87</definedName>
    <definedName name="icpah">'IPA Detail Cost'!$J$83</definedName>
    <definedName name="icpal">'IPA Detail Cost'!$K$83</definedName>
    <definedName name="icpam">'IPA Detail Cost'!$L$83</definedName>
    <definedName name="icpat">'IPA Detail Cost'!$M$83</definedName>
    <definedName name="icpbm">'IPA Detail Cost'!$L$90</definedName>
    <definedName name="icpem">'IPA Detail Cost'!$L$89</definedName>
    <definedName name="icpfh">'IPA Detail Cost'!$J$92</definedName>
    <definedName name="icpfl">'IPA Detail Cost'!$K$92</definedName>
    <definedName name="icpfm">'IPA Detail Cost'!$L$92</definedName>
    <definedName name="icpft">'IPA Detail Cost'!$M$92</definedName>
    <definedName name="icpih">'IPA Detail Cost'!$J$82</definedName>
    <definedName name="icpil">'IPA Detail Cost'!$K$82</definedName>
    <definedName name="icpim">'IPA Detail Cost'!$L$82</definedName>
    <definedName name="icpit">'IPA Detail Cost'!$M$82</definedName>
    <definedName name="icplh">'IPA Detail Cost'!$J$88</definedName>
    <definedName name="icpll">'IPA Detail Cost'!$K$88</definedName>
    <definedName name="icplt">'IPA Detail Cost'!$M$91</definedName>
    <definedName name="icsth">'IPA Detail Cost'!$J$75</definedName>
    <definedName name="icstl">'IPA Detail Cost'!$K$75</definedName>
    <definedName name="icstm">'IPA Detail Cost'!$L$75</definedName>
    <definedName name="icstt">'IPA Detail Cost'!$M$75</definedName>
    <definedName name="ictth">'IPA Detail Cost'!$J$93</definedName>
    <definedName name="icttl">'IPA Detail Cost'!$K$93</definedName>
    <definedName name="icttm">'IPA Detail Cost'!$L$93</definedName>
    <definedName name="icttt">'IPA Detail Cost'!$M$93</definedName>
    <definedName name="ioblh">'IPA Detail Cost'!$F$76</definedName>
    <definedName name="iobll">'IPA Detail Cost'!$G$76</definedName>
    <definedName name="ioblm">'IPA Detail Cost'!$H$76</definedName>
    <definedName name="ioblt">'IPA Detail Cost'!$I$76</definedName>
    <definedName name="iocoh">'IPA Detail Cost'!$F$74</definedName>
    <definedName name="iocol">'IPA Detail Cost'!$G$74</definedName>
    <definedName name="iocom">'IPA Detail Cost'!$H$74</definedName>
    <definedName name="iocot">'IPA Detail Cost'!$I$74</definedName>
    <definedName name="iocsh">'IPA Detail Cost'!$F$73</definedName>
    <definedName name="iocsl">'IPA Detail Cost'!$G$73</definedName>
    <definedName name="iocsm">'IPA Detail Cost'!$H$73</definedName>
    <definedName name="iocst">'IPA Detail Cost'!$I$73</definedName>
    <definedName name="ioefm">'IPA Detail Cost'!$H$79</definedName>
    <definedName name="ioelh">'IPA Detail Cost'!$F$77</definedName>
    <definedName name="ioell">'IPA Detail Cost'!$G$77</definedName>
    <definedName name="ioemm">'IPA Detail Cost'!$H$78</definedName>
    <definedName name="ioeom">'IPA Detail Cost'!$H$80</definedName>
    <definedName name="ioett">'IPA Detail Cost'!$I$81</definedName>
    <definedName name="iolbm">'IPA Detail Cost'!$H$86</definedName>
    <definedName name="iolem">'IPA Detail Cost'!$H$85</definedName>
    <definedName name="iollh">'IPA Detail Cost'!$F$84</definedName>
    <definedName name="iolll">'IPA Detail Cost'!$G$84</definedName>
    <definedName name="ioltt">'IPA Detail Cost'!$I$87</definedName>
    <definedName name="iopah">'IPA Detail Cost'!$F$83</definedName>
    <definedName name="iopal">'IPA Detail Cost'!$G$83</definedName>
    <definedName name="iopam">'IPA Detail Cost'!$H$83</definedName>
    <definedName name="iopat">'IPA Detail Cost'!$I$83</definedName>
    <definedName name="iopbm">'IPA Detail Cost'!$H$90</definedName>
    <definedName name="iopem">'IPA Detail Cost'!$H$89</definedName>
    <definedName name="iopfh">'IPA Detail Cost'!$F$92</definedName>
    <definedName name="iopfl">'IPA Detail Cost'!$G$92</definedName>
    <definedName name="iopfm">'IPA Detail Cost'!$H$92</definedName>
    <definedName name="iopft">'IPA Detail Cost'!$I$92</definedName>
    <definedName name="iopih">'IPA Detail Cost'!$F$82</definedName>
    <definedName name="iopil">'IPA Detail Cost'!$G$82</definedName>
    <definedName name="iopim">'IPA Detail Cost'!$H$82</definedName>
    <definedName name="iopit">'IPA Detail Cost'!$I$82</definedName>
    <definedName name="ioplh">'IPA Detail Cost'!$F$88</definedName>
    <definedName name="iopll">'IPA Detail Cost'!$G$88</definedName>
    <definedName name="ioplt">'IPA Detail Cost'!$I$91</definedName>
    <definedName name="iosth">'IPA Detail Cost'!$F$75</definedName>
    <definedName name="iostl">'IPA Detail Cost'!$G$75</definedName>
    <definedName name="iostm">'IPA Detail Cost'!$H$75</definedName>
    <definedName name="iostt">'IPA Detail Cost'!$I$75</definedName>
    <definedName name="iotth">'IPA Detail Cost'!$F$93</definedName>
    <definedName name="iottl">'IPA Detail Cost'!$G$93</definedName>
    <definedName name="iottm">'IPA Detail Cost'!$H$93</definedName>
    <definedName name="iottt">'IPA Detail Cost'!$I$93</definedName>
    <definedName name="labor">'IPA Detail Cost'!$D$18</definedName>
    <definedName name="mccsh">'IPA Detail Cost'!$J$40</definedName>
    <definedName name="mccsl">'IPA Detail Cost'!$K$40</definedName>
    <definedName name="mcmsh">'IPA Detail Cost'!$J$42</definedName>
    <definedName name="mcmsl">'IPA Detail Cost'!$K$42</definedName>
    <definedName name="mcmsm">'IPA Detail Cost'!$L$42</definedName>
    <definedName name="mcmst">'IPA Detail Cost'!$M$42</definedName>
    <definedName name="mcpch">'IPA Detail Cost'!$J$41</definedName>
    <definedName name="mcpcl">'IPA Detail Cost'!$K$41</definedName>
    <definedName name="mcpmh">'IPA Detail Cost'!$J$39</definedName>
    <definedName name="mcpml">'IPA Detail Cost'!$K$39</definedName>
    <definedName name="mctth">'IPA Detail Cost'!$J$43</definedName>
    <definedName name="mcttl">'IPA Detail Cost'!$K$43</definedName>
    <definedName name="mcttt">'IPA Detail Cost'!$M$43</definedName>
    <definedName name="mocsh">'IPA Detail Cost'!$F$40</definedName>
    <definedName name="mocsl">'IPA Detail Cost'!$G$40</definedName>
    <definedName name="modular">'IPA Detail Cost'!$D$9</definedName>
    <definedName name="momsh">'IPA Detail Cost'!$F$42</definedName>
    <definedName name="momsl">'IPA Detail Cost'!$G$42</definedName>
    <definedName name="momsm">'IPA Detail Cost'!$H$42</definedName>
    <definedName name="momst">'IPA Detail Cost'!$I$42</definedName>
    <definedName name="mopch">'IPA Detail Cost'!$F$41</definedName>
    <definedName name="mopcl">'IPA Detail Cost'!$G$41</definedName>
    <definedName name="mopmh">'IPA Detail Cost'!$F$39</definedName>
    <definedName name="mopml">'IPA Detail Cost'!$G$39</definedName>
    <definedName name="motth">'IPA Detail Cost'!$F$43</definedName>
    <definedName name="mottl">'IPA Detail Cost'!$G$43</definedName>
    <definedName name="mottt">'IPA Detail Cost'!$I$43</definedName>
    <definedName name="ocblh">'IPA Detail Cost'!$J$99</definedName>
    <definedName name="ocbll">'IPA Detail Cost'!$K$99</definedName>
    <definedName name="ocblm">'IPA Detail Cost'!$L$99</definedName>
    <definedName name="ocblt">'IPA Detail Cost'!$M$99</definedName>
    <definedName name="occoh">'IPA Detail Cost'!$J$97</definedName>
    <definedName name="occol">'IPA Detail Cost'!$K$97</definedName>
    <definedName name="occom">'IPA Detail Cost'!$L$97</definedName>
    <definedName name="occot">'IPA Detail Cost'!$M$97</definedName>
    <definedName name="occsh">'IPA Detail Cost'!$J$96</definedName>
    <definedName name="occsl">'IPA Detail Cost'!$K$96</definedName>
    <definedName name="occsm">'IPA Detail Cost'!$L$96</definedName>
    <definedName name="occst">'IPA Detail Cost'!$M$96</definedName>
    <definedName name="ocefm">'IPA Detail Cost'!$L$102</definedName>
    <definedName name="ocelh">'IPA Detail Cost'!$J$100</definedName>
    <definedName name="ocell">'IPA Detail Cost'!$K$100</definedName>
    <definedName name="ocemm">'IPA Detail Cost'!$L$101</definedName>
    <definedName name="oceom">'IPA Detail Cost'!$L$103</definedName>
    <definedName name="ocett">'IPA Detail Cost'!$M$104</definedName>
    <definedName name="oclbm">'IPA Detail Cost'!$L$109</definedName>
    <definedName name="oclem">'IPA Detail Cost'!$L$108</definedName>
    <definedName name="ocllh">'IPA Detail Cost'!$J$107</definedName>
    <definedName name="oclll">'IPA Detail Cost'!$K$107</definedName>
    <definedName name="ocltt">'IPA Detail Cost'!$M$110</definedName>
    <definedName name="ocpah">'IPA Detail Cost'!$J$106</definedName>
    <definedName name="ocpal">'IPA Detail Cost'!$K$106</definedName>
    <definedName name="ocpam">'IPA Detail Cost'!$L$106</definedName>
    <definedName name="ocpat">'IPA Detail Cost'!$M$106</definedName>
    <definedName name="ocpbm">'IPA Detail Cost'!$L$113</definedName>
    <definedName name="ocpem">'IPA Detail Cost'!$L$112</definedName>
    <definedName name="ocpfh">'IPA Detail Cost'!$J$115</definedName>
    <definedName name="ocpfl">'IPA Detail Cost'!$K$115</definedName>
    <definedName name="ocpfm">'IPA Detail Cost'!$L$115</definedName>
    <definedName name="ocpft">'IPA Detail Cost'!$M$115</definedName>
    <definedName name="ocpih">'IPA Detail Cost'!$J$105</definedName>
    <definedName name="ocpil">'IPA Detail Cost'!$K$105</definedName>
    <definedName name="ocpim">'IPA Detail Cost'!$L$105</definedName>
    <definedName name="ocpit">'IPA Detail Cost'!$M$105</definedName>
    <definedName name="ocplh">'IPA Detail Cost'!$J$111</definedName>
    <definedName name="ocpll">'IPA Detail Cost'!$K$111</definedName>
    <definedName name="ocplt">'IPA Detail Cost'!$M$114</definedName>
    <definedName name="ocsth">'IPA Detail Cost'!$J$98</definedName>
    <definedName name="ocstl">'IPA Detail Cost'!$K$98</definedName>
    <definedName name="ocstm">'IPA Detail Cost'!$L$98</definedName>
    <definedName name="ocstt">'IPA Detail Cost'!$M$98</definedName>
    <definedName name="octth">'IPA Detail Cost'!$J$116</definedName>
    <definedName name="octtl">'IPA Detail Cost'!$K$116</definedName>
    <definedName name="octtm">'IPA Detail Cost'!$L$116</definedName>
    <definedName name="octtt">'IPA Detail Cost'!$M$116</definedName>
    <definedName name="ooblh">'IPA Detail Cost'!$F$99</definedName>
    <definedName name="oobll">'IPA Detail Cost'!$G$99</definedName>
    <definedName name="ooblm">'IPA Detail Cost'!$H$99</definedName>
    <definedName name="ooblt">'IPA Detail Cost'!$I$99</definedName>
    <definedName name="oocoh">'IPA Detail Cost'!$F$97</definedName>
    <definedName name="oocol">'IPA Detail Cost'!$G$97</definedName>
    <definedName name="oocom">'IPA Detail Cost'!$H$97</definedName>
    <definedName name="oocot">'IPA Detail Cost'!$I$97</definedName>
    <definedName name="oocsh">'IPA Detail Cost'!$F$96</definedName>
    <definedName name="oocsl">'IPA Detail Cost'!$G$96</definedName>
    <definedName name="oocsm">'IPA Detail Cost'!$H$96</definedName>
    <definedName name="oocst">'IPA Detail Cost'!$I$96</definedName>
    <definedName name="ooefm">'IPA Detail Cost'!$H$102</definedName>
    <definedName name="ooelh">'IPA Detail Cost'!$F$100</definedName>
    <definedName name="ooell">'IPA Detail Cost'!$G$100</definedName>
    <definedName name="ooemm">'IPA Detail Cost'!$H$101</definedName>
    <definedName name="ooeom">'IPA Detail Cost'!$H$103</definedName>
    <definedName name="ooett">'IPA Detail Cost'!$I$104</definedName>
    <definedName name="oolbm">'IPA Detail Cost'!$H$109</definedName>
    <definedName name="oolem">'IPA Detail Cost'!$H$108</definedName>
    <definedName name="oollh">'IPA Detail Cost'!$F$107</definedName>
    <definedName name="oolll">'IPA Detail Cost'!$G$107</definedName>
    <definedName name="ooltt">'IPA Detail Cost'!$I$110</definedName>
    <definedName name="oopah">'IPA Detail Cost'!$F$106</definedName>
    <definedName name="oopal">'IPA Detail Cost'!$G$106</definedName>
    <definedName name="oopam">'IPA Detail Cost'!$H$106</definedName>
    <definedName name="oopat">'IPA Detail Cost'!$I$106</definedName>
    <definedName name="oopbm">'IPA Detail Cost'!$H$113</definedName>
    <definedName name="oopem">'IPA Detail Cost'!$H$112</definedName>
    <definedName name="oopfh">'IPA Detail Cost'!$F$115</definedName>
    <definedName name="oopfl">'IPA Detail Cost'!$G$115</definedName>
    <definedName name="oopfm">'IPA Detail Cost'!$H$115</definedName>
    <definedName name="oopft">'IPA Detail Cost'!$I$115</definedName>
    <definedName name="oopih">'IPA Detail Cost'!$F$105</definedName>
    <definedName name="oopil">'IPA Detail Cost'!$G$105</definedName>
    <definedName name="oopim">'IPA Detail Cost'!$H$105</definedName>
    <definedName name="oopit">'IPA Detail Cost'!$I$105</definedName>
    <definedName name="ooplh">'IPA Detail Cost'!$F$111</definedName>
    <definedName name="oopll">'IPA Detail Cost'!$G$111</definedName>
    <definedName name="ooplt">'IPA Detail Cost'!$I$114</definedName>
    <definedName name="oosth">'IPA Detail Cost'!$F$98</definedName>
    <definedName name="oostl">'IPA Detail Cost'!$G$98</definedName>
    <definedName name="oostm">'IPA Detail Cost'!$H$98</definedName>
    <definedName name="oostt">'IPA Detail Cost'!$I$98</definedName>
    <definedName name="ootth">'IPA Detail Cost'!$F$116</definedName>
    <definedName name="oottl">'IPA Detail Cost'!$G$116</definedName>
    <definedName name="oottm">'IPA Detail Cost'!$H$116</definedName>
    <definedName name="oottt">'IPA Detail Cost'!$I$116</definedName>
    <definedName name="otctt">'IPA Detail Cost'!$I$118</definedName>
    <definedName name="otth">'IPA Detail Cost'!$F$118</definedName>
    <definedName name="ottl">'IPA Detail Cost'!$G$118</definedName>
    <definedName name="ottm">'IPA Detail Cost'!$H$118</definedName>
    <definedName name="pcteqp">'IPA Detail Cost'!$J$9</definedName>
    <definedName name="pctexp">'IPA Detail Cost'!$J$13</definedName>
    <definedName name="pctlab">'IPA Detail Cost'!$J$7</definedName>
    <definedName name="pctmat">'IPA Detail Cost'!$J$8</definedName>
    <definedName name="pctpipe">'IPA Detail Cost'!$J$19</definedName>
    <definedName name="pctstore">'IPA Detail Cost'!$J$17</definedName>
    <definedName name="pctsupp">'IPA Detail Cost'!$J$21</definedName>
    <definedName name="pctutil">'IPA Detail Cost'!$J$18</definedName>
    <definedName name="_xlnm.Print_Area" localSheetId="0">'IPA Detail Cost'!$A$1:$M$161</definedName>
    <definedName name="prtot">'IPA Detail Cost'!$M$140</definedName>
    <definedName name="qibl">'IPA Detail Cost'!$F$169</definedName>
    <definedName name="qico">'IPA Detail Cost'!$F$167</definedName>
    <definedName name="qielc">'IPA Detail Cost'!$G$159</definedName>
    <definedName name="qiell">'IPA Detail Cost'!$F$174</definedName>
    <definedName name="qiewa">'IPA Detail Cost'!$G$151</definedName>
    <definedName name="qiewn">'IPA Detail Cost'!$G$150</definedName>
    <definedName name="qiini">'IPA Detail Cost'!$G$160</definedName>
    <definedName name="qiinn">'IPA Detail Cost'!$G$161</definedName>
    <definedName name="qipa">'IPA Detail Cost'!$F$173</definedName>
    <definedName name="qipia">'IPA Detail Cost'!$G$154</definedName>
    <definedName name="qipid">'IPA Detail Cost'!$F$172</definedName>
    <definedName name="qipif">'IPA Detail Cost'!$G$156</definedName>
    <definedName name="qipil">'IPA Detail Cost'!$F$170</definedName>
    <definedName name="qipiw">'IPA Detail Cost'!$F$171</definedName>
    <definedName name="qist">'IPA Detail Cost'!$F$168</definedName>
    <definedName name="qobl">'IPA Detail Cost'!$G$169</definedName>
    <definedName name="qoco">'IPA Detail Cost'!$G$167</definedName>
    <definedName name="qoelc">'IPA Detail Cost'!$H$159</definedName>
    <definedName name="qoell">'IPA Detail Cost'!$G$174</definedName>
    <definedName name="qoewa">'IPA Detail Cost'!$H$151</definedName>
    <definedName name="qoewn">'IPA Detail Cost'!$H$150</definedName>
    <definedName name="qoini">'IPA Detail Cost'!$H$160</definedName>
    <definedName name="qoinn">'IPA Detail Cost'!$H$161</definedName>
    <definedName name="qopa">'IPA Detail Cost'!$G$173</definedName>
    <definedName name="qopia">'IPA Detail Cost'!$H$154</definedName>
    <definedName name="qopid">'IPA Detail Cost'!$G$172</definedName>
    <definedName name="qopif">'IPA Detail Cost'!$H$156</definedName>
    <definedName name="qopil">'IPA Detail Cost'!$G$170</definedName>
    <definedName name="qopiw">'IPA Detail Cost'!$G$171</definedName>
    <definedName name="qost">'IPA Detail Cost'!$G$168</definedName>
    <definedName name="schdtype">'IPA Detail Cost'!$D$13</definedName>
    <definedName name="sco">'IPA Detail Cost'!$M$132</definedName>
    <definedName name="sdr">'IPA Detail Cost'!$M$134</definedName>
    <definedName name="soc">'IPA Detail Cost'!$M$135</definedName>
    <definedName name="sod">'IPA Detail Cost'!$M$131</definedName>
    <definedName name="spec">'IPA Detail Cost'!$M$136</definedName>
    <definedName name="sun">'IPA Detail Cost'!$M$133</definedName>
    <definedName name="tstp">'IPA Detail Cost'!$M$138</definedName>
    <definedName name="union">'IPA Detail Cost'!$D$10</definedName>
  </definedNames>
  <extLst>
    <ext xmlns:xcalcf="http://schemas.microsoft.com/office/spreadsheetml/2018/calcfeatures" xmlns="http://schemas.openxmlformats.org/spreadsheetml/2006/main"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<sst xmlns="http://schemas.openxmlformats.org/spreadsheetml/2006/main" count="346" uniqueCount="261">
  <si>
    <t>COST TYPE:</t>
  </si>
  <si>
    <t>Enter the % of construction item costs imported into the</t>
  </si>
  <si>
    <t>1=Estimate</t>
  </si>
  <si>
    <t>project country (ISBL &amp; OSBL construction combined):</t>
  </si>
  <si>
    <t>2=Actual</t>
  </si>
  <si>
    <t>LABOR</t>
  </si>
  <si>
    <t>GENERAL INFO:</t>
  </si>
  <si>
    <t>1=yes,0=no</t>
  </si>
  <si>
    <t>MATERIAL (other than Equipment)</t>
  </si>
  <si>
    <t>Primarily Modular?:</t>
  </si>
  <si>
    <t>PROCESS EQUIPMENT</t>
  </si>
  <si>
    <t>Primarily Union?:</t>
  </si>
  <si>
    <t>Financier Involved?:</t>
  </si>
  <si>
    <t>Enter the % of Project Management and Engineering costs</t>
  </si>
  <si>
    <t>that were expended through the Project Definition Phase:</t>
  </si>
  <si>
    <t>SCHEDULE TYPE:</t>
  </si>
  <si>
    <t>Enter the % of OSBL costs by general function category</t>
  </si>
  <si>
    <t>(must sum to 100%)</t>
  </si>
  <si>
    <t>STORAGE &amp; HANDLING</t>
  </si>
  <si>
    <t>LABOR TYPE:</t>
  </si>
  <si>
    <t>UTILITY PLANT &amp; DISTRIBUTION</t>
  </si>
  <si>
    <t>INTER-BATTERY PROCESS PIPING</t>
  </si>
  <si>
    <t>NON-PROCESS SUPPORT &amp; SERVICE FACILITIES</t>
  </si>
  <si>
    <t>COST ITEM</t>
  </si>
  <si>
    <t>HOURS</t>
  </si>
  <si>
    <t>All-in Labor</t>
  </si>
  <si>
    <t>Material</t>
  </si>
  <si>
    <t>Total</t>
  </si>
  <si>
    <t>PROJECT MANAGEMENT</t>
  </si>
  <si>
    <t>Project &amp; Eng. Management</t>
  </si>
  <si>
    <t>Cost/Sched/Est/Acctng/Clerical</t>
  </si>
  <si>
    <t>Procurement/Contracts</t>
  </si>
  <si>
    <t>Misc Proj. Mgmt. Services/Expenses</t>
  </si>
  <si>
    <t>Civil</t>
  </si>
  <si>
    <t>Structural</t>
  </si>
  <si>
    <t>Architectural</t>
  </si>
  <si>
    <t>Piping</t>
  </si>
  <si>
    <t>Mechanical</t>
  </si>
  <si>
    <t>Process - Machine</t>
  </si>
  <si>
    <t>Process - Chemical</t>
  </si>
  <si>
    <t>Electrical</t>
  </si>
  <si>
    <t>Process Control/Instrumentation</t>
  </si>
  <si>
    <t>Misc Eng. Services/Expenses</t>
  </si>
  <si>
    <t>TOTAL ENGINEERING</t>
  </si>
  <si>
    <t>CONSTRUCTION INDIRECTS</t>
  </si>
  <si>
    <t>Construction Mgmt (incl CM fee)</t>
  </si>
  <si>
    <t>Constr. Eqmt (not provided by subs)</t>
  </si>
  <si>
    <t>Temp. Facilities/Services/Utilities</t>
  </si>
  <si>
    <t>TOTAL CONSTR. INDIRECTS</t>
  </si>
  <si>
    <t>COST AND RESOURCE DATA COLLECTION FORM (page 2 of 3)</t>
  </si>
  <si>
    <t>ISBL CONSTRUCTION</t>
  </si>
  <si>
    <t>Civil/Site</t>
  </si>
  <si>
    <t>Concrete</t>
  </si>
  <si>
    <t>Steel</t>
  </si>
  <si>
    <t>Buildings (all-in)</t>
  </si>
  <si>
    <t>Equipment</t>
  </si>
  <si>
    <t>Labor</t>
  </si>
  <si>
    <t>Process Air</t>
  </si>
  <si>
    <t>Equipment*</t>
  </si>
  <si>
    <t>Bulks</t>
  </si>
  <si>
    <t>Process</t>
  </si>
  <si>
    <t>Control</t>
  </si>
  <si>
    <t>Paint/Insulation/Fireproofing</t>
  </si>
  <si>
    <t>TOTAL - ISBL CONSTRUCTION</t>
  </si>
  <si>
    <t>OSBL CONSTRUCTION</t>
  </si>
  <si>
    <t>TOTAL - OSBL CONSTRUCTION</t>
  </si>
  <si>
    <t>TOTAL CONSTRUCTION</t>
  </si>
  <si>
    <t>COST AND RESOURCE DATA COLLECTION FORM (page 3 of 3)</t>
  </si>
  <si>
    <t>SUBTOTAL PREVIOUS PAGES</t>
  </si>
  <si>
    <t>CONTINGENCY (for estimates only)</t>
  </si>
  <si>
    <t>ESCALATION (for estimates only)</t>
  </si>
  <si>
    <t>TOTAL DESIGN &amp; CONSTRUCTION</t>
  </si>
  <si>
    <t>START-UP</t>
  </si>
  <si>
    <t xml:space="preserve">SPECIAL </t>
  </si>
  <si>
    <t>TOTAL PROJECT</t>
  </si>
  <si>
    <t>ISBL</t>
  </si>
  <si>
    <t>OSBL</t>
  </si>
  <si>
    <t>ITEM</t>
  </si>
  <si>
    <t>UNITS OF MEASURE</t>
  </si>
  <si>
    <t>QUANTITY</t>
  </si>
  <si>
    <t>2 Concrete</t>
  </si>
  <si>
    <t>Cubic Yards</t>
  </si>
  <si>
    <t>7 Process Air</t>
  </si>
  <si>
    <t>Pounds of Duct</t>
  </si>
  <si>
    <t>3 Steel</t>
  </si>
  <si>
    <t>8 Electrical</t>
  </si>
  <si>
    <t>Lineal Feet of Raceway</t>
  </si>
  <si>
    <t>4 Buildings</t>
  </si>
  <si>
    <t>Square Feet</t>
  </si>
  <si>
    <t>Connected KVA</t>
  </si>
  <si>
    <t>5 Equipment</t>
  </si>
  <si>
    <t xml:space="preserve">9 Instrumentation </t>
  </si>
  <si>
    <t>I/O count</t>
  </si>
  <si>
    <t>6 Piping</t>
  </si>
  <si>
    <t>Average inches diameter</t>
  </si>
  <si>
    <t>2 Catalyst &amp; Other Initial Fills</t>
  </si>
  <si>
    <t>3 Uninstalled Spare Parts</t>
  </si>
  <si>
    <t>4 Demolition and Removals</t>
  </si>
  <si>
    <t>TOTAL SPECIAL COSTS</t>
  </si>
  <si>
    <t>COST AND RESOURCE DATA COLLECTION FORM</t>
  </si>
  <si>
    <t>TOTAL PROJECT MANAGEMENT</t>
  </si>
  <si>
    <t>COSTS (Millions)</t>
  </si>
  <si>
    <t>1=Primarily Subcontract</t>
  </si>
  <si>
    <t>2=Primarily Direct Hire</t>
  </si>
  <si>
    <t>1=Primarily Standard</t>
  </si>
  <si>
    <t>2=Primarily Aggressive (lots of O.T.)</t>
  </si>
  <si>
    <t>3=Primarily Fast Track (O.T. and parallel activities)</t>
  </si>
  <si>
    <t>4=Primarily Shut-down/Turnaround</t>
  </si>
  <si>
    <r>
      <t>COSTS (</t>
    </r>
    <r>
      <rPr>
        <sz val="10"/>
        <color indexed="10"/>
        <rFont val="Helvetica"/>
        <family val="2"/>
      </rPr>
      <t>Millions</t>
    </r>
    <r>
      <rPr>
        <sz val="10"/>
        <color auto="1"/>
        <rFont val="Helvetica"/>
        <family val="2"/>
      </rPr>
      <t>)</t>
    </r>
  </si>
  <si>
    <t>* Electrical equipment includes transformers, MCCs, switchgear, etc. Control equipment includes central DCS hardware, PLCs, control panels, etc.</t>
  </si>
  <si>
    <t>5 Other Special Costs (interest, etc.)</t>
  </si>
  <si>
    <r>
      <t xml:space="preserve">PAGE 1 - Enter </t>
    </r>
    <r>
      <rPr>
        <b/>
        <u/>
        <sz val="14"/>
        <color auto="1"/>
        <rFont val="Helvetica"/>
        <family val="2"/>
      </rPr>
      <t>ALL</t>
    </r>
    <r>
      <rPr>
        <b/>
        <sz val="14"/>
        <color auto="1"/>
        <rFont val="Helvetica"/>
        <family val="2"/>
      </rPr>
      <t xml:space="preserve"> Project Costs (includes capital and expense)</t>
    </r>
  </si>
  <si>
    <t>(I.e., through authorization):</t>
  </si>
  <si>
    <t>Note: All-in construction labor costs above should include direct labor, first-line craft supervision (foreman), overhead, and profit</t>
  </si>
  <si>
    <t>(All costs on this page are entered as totals for the project)</t>
  </si>
  <si>
    <t>Cubic Meters</t>
  </si>
  <si>
    <t>Metric Tons</t>
  </si>
  <si>
    <t>Feet</t>
  </si>
  <si>
    <t>Meters</t>
  </si>
  <si>
    <t>Kg</t>
  </si>
  <si>
    <t>Weight</t>
  </si>
  <si>
    <t>Avg. Diam.</t>
  </si>
  <si>
    <t>cm</t>
  </si>
  <si>
    <t>% Alloy (weighted by item cost)</t>
  </si>
  <si>
    <t>Length</t>
  </si>
  <si>
    <t>Number of New Pieces of Equipment</t>
  </si>
  <si>
    <t>Volume</t>
  </si>
  <si>
    <t>Area</t>
  </si>
  <si>
    <t>Sq. Meters</t>
  </si>
  <si>
    <t>% Alloy Pipe (weighted by length)</t>
  </si>
  <si>
    <t>% Shop Fab Pipe (weighted by length)</t>
  </si>
  <si>
    <t>Measure</t>
  </si>
  <si>
    <t>Item</t>
  </si>
  <si>
    <t>Units of Measure</t>
  </si>
  <si>
    <r>
      <t xml:space="preserve">English </t>
    </r>
    <r>
      <rPr>
        <i/>
        <sz val="8"/>
        <color indexed="10"/>
        <rFont val="Helvetica"/>
        <family val="2"/>
      </rPr>
      <t>(0)</t>
    </r>
  </si>
  <si>
    <r>
      <t xml:space="preserve">Metric </t>
    </r>
    <r>
      <rPr>
        <i/>
        <sz val="8"/>
        <color indexed="10"/>
        <rFont val="Helvetica"/>
        <family val="2"/>
      </rPr>
      <t>(1)</t>
    </r>
  </si>
  <si>
    <t>7 Process Air (duct)</t>
  </si>
  <si>
    <t>*raceway length includes conduit, cable tray, etc.</t>
  </si>
  <si>
    <t>Raceway L*</t>
  </si>
  <si>
    <t>Short Tons</t>
  </si>
  <si>
    <t>Pound</t>
  </si>
  <si>
    <t>Inch</t>
  </si>
  <si>
    <t xml:space="preserve">Pounds </t>
  </si>
  <si>
    <t xml:space="preserve">Lineal Feet </t>
  </si>
  <si>
    <t>Enter Currency Used:</t>
  </si>
  <si>
    <t>Instrument count (exclude existing instr.)</t>
  </si>
  <si>
    <t>Enter Quantities Here:</t>
  </si>
  <si>
    <t>Equipment Rental</t>
  </si>
  <si>
    <t>Vendor Reps</t>
  </si>
  <si>
    <r>
      <t>OWNER COSTS</t>
    </r>
    <r>
      <rPr>
        <b/>
        <vertAlign val="superscript"/>
        <sz val="10"/>
        <color indexed="12"/>
        <rFont val="Helvetica"/>
      </rPr>
      <t>1</t>
    </r>
  </si>
  <si>
    <r>
      <t>CONTRACTOR COSTS</t>
    </r>
    <r>
      <rPr>
        <b/>
        <vertAlign val="superscript"/>
        <sz val="10"/>
        <color indexed="12"/>
        <rFont val="Helvetica"/>
      </rPr>
      <t>1</t>
    </r>
  </si>
  <si>
    <r>
      <t>1</t>
    </r>
    <r>
      <rPr>
        <sz val="8"/>
        <color auto="1"/>
        <rFont val="Helvetica"/>
        <family val="2"/>
      </rPr>
      <t>All Costs Go Under Contractor by Default.</t>
    </r>
  </si>
  <si>
    <r>
      <t xml:space="preserve">1 </t>
    </r>
    <r>
      <rPr>
        <sz val="8"/>
        <color auto="1"/>
        <rFont val="Helvetica"/>
        <family val="2"/>
      </rPr>
      <t>All Costs Go Under Contractor by Default.</t>
    </r>
  </si>
  <si>
    <r>
      <t>ENGINEERING</t>
    </r>
    <r>
      <rPr>
        <b/>
        <vertAlign val="superscript"/>
        <sz val="10"/>
        <color indexed="12"/>
        <rFont val="Helvetica"/>
      </rPr>
      <t>2</t>
    </r>
  </si>
  <si>
    <r>
      <t>2</t>
    </r>
    <r>
      <rPr>
        <sz val="8"/>
        <color auto="1"/>
        <rFont val="Helvetica"/>
        <family val="2"/>
      </rPr>
      <t xml:space="preserve"> Engineering costs are not broken down into discipline subaccounts</t>
    </r>
  </si>
  <si>
    <r>
      <t>Equipment*</t>
    </r>
    <r>
      <rPr>
        <sz val="8"/>
        <color indexed="10"/>
        <rFont val="Helvetica"/>
        <family val="2"/>
      </rPr>
      <t xml:space="preserve"> </t>
    </r>
  </si>
  <si>
    <t>Project Name:</t>
  </si>
  <si>
    <t xml:space="preserve">Equipment* </t>
  </si>
  <si>
    <r>
      <t xml:space="preserve">Bulks </t>
    </r>
    <r>
      <rPr>
        <vertAlign val="superscript"/>
        <sz val="8"/>
        <color indexed="10"/>
        <rFont val="Helvetica"/>
      </rPr>
      <t>3</t>
    </r>
    <r>
      <rPr>
        <sz val="8"/>
        <color indexed="10"/>
        <rFont val="Helvetica"/>
        <family val="2"/>
      </rPr>
      <t xml:space="preserve"> </t>
    </r>
  </si>
  <si>
    <r>
      <t>3</t>
    </r>
    <r>
      <rPr>
        <sz val="8"/>
        <color auto="1"/>
        <rFont val="Helvetica"/>
        <family val="2"/>
      </rPr>
      <t xml:space="preserve"> Includes COAs: 634-635 (PIPING), 636-639 (ELECTRICAL)</t>
    </r>
  </si>
  <si>
    <t>Fabricated</t>
  </si>
  <si>
    <t>(IPA form last revised August 10, 2012)</t>
  </si>
  <si>
    <t>After completing the worksheet, please review the resulting summary cost allocation at the bottom of the worksheet.</t>
  </si>
  <si>
    <t>PROJECT MANAGEMENT:</t>
  </si>
  <si>
    <t>ENGINEERING:</t>
  </si>
  <si>
    <t>1 Unusual Duty/Shipping/Infrastructure</t>
  </si>
  <si>
    <r>
      <t>Enter</t>
    </r>
    <r>
      <rPr>
        <b/>
        <sz val="8"/>
        <color indexed="10"/>
        <rFont val="Helvetica"/>
        <family val="2"/>
      </rPr>
      <t xml:space="preserve"> 1 </t>
    </r>
    <r>
      <rPr>
        <b/>
        <sz val="8"/>
        <color auto="1"/>
        <rFont val="Helvetica"/>
        <family val="2"/>
      </rPr>
      <t>below</t>
    </r>
  </si>
  <si>
    <r>
      <t xml:space="preserve">if </t>
    </r>
    <r>
      <rPr>
        <b/>
        <u/>
        <sz val="8"/>
        <color indexed="10"/>
        <rFont val="Helvetica"/>
        <family val="2"/>
      </rPr>
      <t>metric</t>
    </r>
    <r>
      <rPr>
        <b/>
        <sz val="8"/>
        <color auto="1"/>
        <rFont val="Helvetica"/>
        <family val="2"/>
      </rPr>
      <t xml:space="preserve"> units</t>
    </r>
  </si>
  <si>
    <t>were used:</t>
  </si>
  <si>
    <t>Converted to english (do not enter values here):</t>
  </si>
  <si>
    <r>
      <t xml:space="preserve">Material Quantity Information: </t>
    </r>
    <r>
      <rPr>
        <sz val="10"/>
        <color auto="1"/>
        <rFont val="Helvetica"/>
        <family val="2"/>
      </rPr>
      <t>(if ISBL and OSBL construction costs were segregated, quantities must also be segregated)</t>
    </r>
  </si>
  <si>
    <r>
      <rPr>
        <b/>
        <sz val="10"/>
        <color auto="1"/>
        <rFont val="Helvetica"/>
      </rPr>
      <t>Note on Project Definition:</t>
    </r>
    <r>
      <rPr>
        <sz val="10"/>
        <color auto="1"/>
        <rFont val="Helvetica"/>
        <family val="2"/>
      </rPr>
      <t xml:space="preserve"> This form collects all costs by discipline regardless of project phase (i.e., from the time that a core project team is formed through startup). 
To determine the cost of "Project Definition" (i.e., cost spent prior to authorization), please provide below the percentage of 
Project Management and Engineering Costs that will be or were spent prior to authorization.</t>
    </r>
  </si>
  <si>
    <t xml:space="preserve">Note: When using this form, subcontract and lump-sum costs must be allocated to the appropriate discipline and labor/material accounts </t>
  </si>
  <si>
    <t>Domestic &amp; Other Freight</t>
  </si>
  <si>
    <t>&lt;#0_IPA_ConstrIndirects_Own.*;&gt;</t>
  </si>
  <si>
    <t>&lt;#0_IPA_Contingency.*;&gt;</t>
  </si>
  <si>
    <t>&lt;#0_IPA_CostType.*;&gt;</t>
  </si>
  <si>
    <t>&lt;#0_IPA_ProjMgmt_Own.*;&gt;</t>
  </si>
  <si>
    <t>&lt;#0_IPA_Engineering_own.*;&gt;</t>
  </si>
  <si>
    <t>&lt;#0_IPA_IsblConstr_Own.*;&gt;</t>
  </si>
  <si>
    <t>&lt;#0_IPA_OsblConstr_Own.*;&gt;</t>
  </si>
  <si>
    <t>&lt;#0_IPA_Escalation.*;&gt;</t>
  </si>
  <si>
    <t>&lt;#0_IPA_Startup.*;&gt;</t>
  </si>
  <si>
    <t>Included Configs:</t>
  </si>
  <si>
    <t>Data Sources:</t>
  </si>
  <si>
    <t>Application to run:</t>
  </si>
  <si>
    <t>Data</t>
  </si>
  <si>
    <t>Format</t>
  </si>
  <si>
    <t>Expressions</t>
  </si>
  <si>
    <t>Table Name</t>
  </si>
  <si>
    <t>Source Name</t>
  </si>
  <si>
    <t>Filter</t>
  </si>
  <si>
    <t>Sort Fields ("," separated) ASC or DESC</t>
  </si>
  <si>
    <t>Format Name</t>
  </si>
  <si>
    <t>Format Def</t>
  </si>
  <si>
    <t>Name</t>
  </si>
  <si>
    <t>Expression</t>
  </si>
  <si>
    <t>NumVal(Border;NumericFormat;TextAlign)</t>
  </si>
  <si>
    <t>Desc(Border;TextAlign)</t>
  </si>
  <si>
    <t>Test</t>
  </si>
  <si>
    <t>Desc1(TextAlign)</t>
  </si>
  <si>
    <t>NumVal1(NumericFormat;TextAlign)</t>
  </si>
  <si>
    <t>TBL_0_IPA_IsblMaterialQty</t>
  </si>
  <si>
    <t>0_IPA_IsblMaterialQty</t>
  </si>
  <si>
    <t>GroupID</t>
  </si>
  <si>
    <t>&lt;#TBL_0_IPA_IsblMaterialQty.ISBL;&gt;</t>
  </si>
  <si>
    <t>0_IPA_ProjMgmt_Contr</t>
  </si>
  <si>
    <t>TBL_0_IPA_ProjMgmt_Contr</t>
  </si>
  <si>
    <t>&lt;#TBL_0_IPA_ProjMgmt_Contr.HOURS;&gt;</t>
  </si>
  <si>
    <t>&lt;#TBL_0_IPA_ProjMgmt_Contr.All-in Labor;&gt;</t>
  </si>
  <si>
    <t>&lt;#TBL_0_IPA_ProjMgmt_Contr.Material;&gt;</t>
  </si>
  <si>
    <t>&lt;#TBL_0_IPA_ProjMgmt_Contr.Total;&gt;</t>
  </si>
  <si>
    <t>TBL_0_IPA_Engineering_Contr</t>
  </si>
  <si>
    <t>0_IPA_Engineering_Contr</t>
  </si>
  <si>
    <t>&lt;#TBL_0_IPA_Engineering_Contr.HOURS;&gt;</t>
  </si>
  <si>
    <t>&lt;#TBL_0_IPA_Engineering_Contr.All-in Labor;&gt;</t>
  </si>
  <si>
    <t>&lt;#TBL_0_IPA_Engineering_Contr.Material;&gt;</t>
  </si>
  <si>
    <t>&lt;#TBL_0_IPA_Engineering_Contr.Total;&gt;</t>
  </si>
  <si>
    <t>TBL_0_IPA_ConstrIndirects_Contr</t>
  </si>
  <si>
    <t>0_IPA_ConstrIndirects_Contr</t>
  </si>
  <si>
    <t>&lt;#TBL_0_IPA_ConstrIndirects_Contr.HOURS;&gt;</t>
  </si>
  <si>
    <t>&lt;#TBL_0_IPA_ConstrIndirects_Contr.All-in Labor;&gt;</t>
  </si>
  <si>
    <t>&lt;#TBL_0_IPA_ConstrIndirects_Contr.Material;&gt;</t>
  </si>
  <si>
    <t>&lt;#TBL_0_IPA_ConstrIndirects_Contr.Total;&gt;</t>
  </si>
  <si>
    <t>TBL_0_IPA_IsblConstr_Contr</t>
  </si>
  <si>
    <t>0_IPA_IsblConstr_Contr</t>
  </si>
  <si>
    <t>&lt;#TBL_0_IPA_IsblConstr_Contr.HOURS;&gt;</t>
  </si>
  <si>
    <t>&lt;#TBL_0_IPA_IsblConstr_Contr.All-in Labor;&gt;</t>
  </si>
  <si>
    <t>&lt;#TBL_0_IPA_IsblConstr_Contr.Material;&gt;</t>
  </si>
  <si>
    <t>TBL_0_IPA_OsblConstr_Contr</t>
  </si>
  <si>
    <t>0_IPA_OsblConstr_Contr</t>
  </si>
  <si>
    <t>&lt;#TBL_0_IPA_osblConstr_Contr.HOURS;&gt;</t>
  </si>
  <si>
    <t>&lt;#TBL_0_IPA_osblConstr_Contr.All-in Labor;&gt;</t>
  </si>
  <si>
    <t>&lt;#TBL_0_IPA_osblConstr_Contr.Material;&gt;</t>
  </si>
  <si>
    <t>TBL_0_IPA_Special</t>
  </si>
  <si>
    <t>0_IPA_Special</t>
  </si>
  <si>
    <t>&lt;#TBL_0_IPA_Special.Total;&gt;</t>
  </si>
  <si>
    <t>&lt;#TBL_0_IPA_OsblMaterialQty.OSBL;&gt;</t>
  </si>
  <si>
    <t>TBL_0_IPA_OsblMaterialQty</t>
  </si>
  <si>
    <t>0_IPA_OsblMaterialQty</t>
  </si>
  <si>
    <t>&lt;#TBL_0_IPA_IsblMaterialQty1.ISBL;&gt;</t>
  </si>
  <si>
    <t>&lt;#TBL_0_IPA_osblMaterialQty1.OSBL;&gt;</t>
  </si>
  <si>
    <t>TBL_0_IPA_osblMaterialQty1</t>
  </si>
  <si>
    <t>0_IPA_IsblMaterialQty1</t>
  </si>
  <si>
    <t>0_IPA_osblMaterialQty1</t>
  </si>
  <si>
    <t>TBL_0_IPA_IsblMaterialQty1</t>
  </si>
  <si>
    <t>&lt;#TBL_0_IPA_MaterialQtyUnits.UNIT;&gt;</t>
  </si>
  <si>
    <t>TBL_0_IPA_MaterialQtyUnits</t>
  </si>
  <si>
    <t>0_IPA_MaterialQtyUnits</t>
  </si>
  <si>
    <t>&lt;#TBL_0_IPA_ConstrIndirects_Side.Total;&gt;</t>
  </si>
  <si>
    <t>TBL_0_IPA_ConstrIndirects_Side</t>
  </si>
  <si>
    <t>0_IPA_ConstrIndirects_Side</t>
  </si>
  <si>
    <t>&lt;#TBL_0_IPA_IsblConstr_Side.Total;&gt;</t>
  </si>
  <si>
    <t>TBL_0_IPA_IsblConstr_Side</t>
  </si>
  <si>
    <t>0_IPA_IsblConstr_Side</t>
  </si>
  <si>
    <t>0_IPA_CurrencyUsed</t>
  </si>
  <si>
    <t>&lt;#0_IPA_CurrencyUsed.*;&gt;</t>
  </si>
  <si>
    <t>&lt;#ProjectName&gt;</t>
  </si>
  <si>
    <t>Scenario Name:</t>
  </si>
  <si>
    <t>&lt;#ScenarioName&gt;</t>
  </si>
  <si>
    <t>Gray(Background)</t>
  </si>
</sst>
</file>

<file path=xl/styles.xml><?xml version="1.0" encoding="utf-8"?>
<styleSheet xmlns="http://schemas.openxmlformats.org/spreadsheetml/2006/main">
  <numFmts count="2">
    <numFmt numFmtId="164" formatCode="&quot;$&quot;#,##0.000"/>
    <numFmt numFmtId="165" formatCode="#,##0.0000"/>
  </numFmts>
  <fonts count="46">
    <font>
      <sz val="10"/>
      <color auto="1"/>
      <name val="MS Sans Serif"/>
    </font>
    <font>
      <sz val="11"/>
      <color theme="1"/>
      <name val="Calibri"/>
      <family val="2"/>
      <scheme val="minor"/>
    </font>
    <font>
      <sz val="11"/>
      <color theme="1"/>
      <name val="Calibri"/>
      <family val="2"/>
      <scheme val="minor"/>
    </font>
    <font>
      <sz val="11"/>
      <color theme="1"/>
      <name val="Calibri"/>
      <family val="2"/>
      <scheme val="minor"/>
    </font>
    <font>
      <sz val="10"/>
      <color auto="1"/>
      <name val="MS Sans Serif"/>
      <family val="2"/>
    </font>
    <font>
      <u/>
      <sz val="10"/>
      <color indexed="12"/>
      <name val="MS Sans Serif"/>
      <family val="2"/>
    </font>
    <font>
      <b/>
      <sz val="14"/>
      <color auto="1"/>
      <name val="Helvetica"/>
      <family val="2"/>
    </font>
    <font>
      <sz val="8"/>
      <color auto="1"/>
      <name val="Helvetica"/>
      <family val="2"/>
    </font>
    <font>
      <sz val="10"/>
      <color auto="1"/>
      <name val="Helvetica"/>
      <family val="2"/>
    </font>
    <font>
      <b/>
      <sz val="10"/>
      <color auto="1"/>
      <name val="Helvetica"/>
      <family val="2"/>
    </font>
    <font>
      <sz val="14"/>
      <color auto="1"/>
      <name val="Helvetica"/>
      <family val="2"/>
    </font>
    <font>
      <sz val="9"/>
      <color auto="1"/>
      <name val="Helvetica"/>
      <family val="2"/>
    </font>
    <font>
      <sz val="7"/>
      <color auto="1"/>
      <name val="Helvetica"/>
      <family val="2"/>
    </font>
    <font>
      <b/>
      <sz val="10"/>
      <color indexed="12"/>
      <name val="Helvetica"/>
      <family val="2"/>
    </font>
    <font>
      <sz val="10"/>
      <color indexed="10"/>
      <name val="Helvetica"/>
      <family val="2"/>
    </font>
    <font>
      <i/>
      <sz val="8"/>
      <color auto="1"/>
      <name val="Helvetica"/>
      <family val="2"/>
    </font>
    <font>
      <sz val="8"/>
      <color indexed="10"/>
      <name val="Helvetica"/>
      <family val="2"/>
    </font>
    <font>
      <u/>
      <sz val="10"/>
      <color indexed="12"/>
      <name val="Helvetica"/>
      <family val="2"/>
    </font>
    <font>
      <sz val="8.5"/>
      <color auto="1"/>
      <name val="Helvetica"/>
      <family val="2"/>
    </font>
    <font>
      <i/>
      <sz val="10"/>
      <color auto="1"/>
      <name val="Helvetica"/>
      <family val="2"/>
    </font>
    <font>
      <b/>
      <sz val="12"/>
      <color auto="1"/>
      <name val="Helvetica"/>
      <family val="2"/>
    </font>
    <font>
      <sz val="12"/>
      <color auto="1"/>
      <name val="Helvetica"/>
      <family val="2"/>
    </font>
    <font>
      <b/>
      <sz val="8"/>
      <color auto="1"/>
      <name val="Helvetica"/>
      <family val="2"/>
    </font>
    <font>
      <i/>
      <sz val="10"/>
      <color indexed="10"/>
      <name val="Helvetica"/>
      <family val="2"/>
    </font>
    <font>
      <i/>
      <sz val="9"/>
      <color indexed="10"/>
      <name val="Helvetica"/>
      <family val="2"/>
    </font>
    <font>
      <b/>
      <u/>
      <sz val="14"/>
      <color auto="1"/>
      <name val="Helvetica"/>
      <family val="2"/>
    </font>
    <font>
      <b/>
      <i/>
      <sz val="10"/>
      <color auto="1"/>
      <name val="Helvetica"/>
      <family val="2"/>
    </font>
    <font>
      <i/>
      <sz val="8"/>
      <color indexed="10"/>
      <name val="Helvetica"/>
      <family val="2"/>
    </font>
    <font>
      <sz val="8"/>
      <color indexed="8"/>
      <name val="Helvetica"/>
      <family val="2"/>
    </font>
    <font>
      <b/>
      <sz val="9"/>
      <color indexed="10"/>
      <name val="Helvetica"/>
      <family val="2"/>
    </font>
    <font>
      <b/>
      <sz val="10"/>
      <color indexed="10"/>
      <name val="Helvetica"/>
      <family val="2"/>
    </font>
    <font>
      <b/>
      <vertAlign val="superscript"/>
      <sz val="10"/>
      <color indexed="12"/>
      <name val="Helvetica"/>
    </font>
    <font>
      <vertAlign val="superscript"/>
      <sz val="8"/>
      <color auto="1"/>
      <name val="Helvetica"/>
    </font>
    <font>
      <vertAlign val="superscript"/>
      <sz val="8"/>
      <color indexed="10"/>
      <name val="Helvetica"/>
    </font>
    <font>
      <b/>
      <sz val="10"/>
      <color auto="1"/>
      <name val="Helvetica"/>
    </font>
    <font>
      <sz val="10"/>
      <color auto="1"/>
      <name val="Helvetica"/>
    </font>
    <font>
      <i/>
      <sz val="10"/>
      <color rgb="FFFF0000"/>
      <name val="Helvetica"/>
      <family val="2"/>
    </font>
    <font>
      <b/>
      <sz val="10"/>
      <color auto="1"/>
      <name val="MS Sans Serif"/>
    </font>
    <font>
      <sz val="10"/>
      <color auto="1"/>
      <name val="MS Sans Serif"/>
    </font>
    <font>
      <b/>
      <sz val="8"/>
      <color indexed="10"/>
      <name val="Helvetica"/>
      <family val="2"/>
    </font>
    <font>
      <b/>
      <u/>
      <sz val="8"/>
      <color indexed="10"/>
      <name val="Helvetica"/>
      <family val="2"/>
    </font>
    <font>
      <b/>
      <sz val="16"/>
      <color auto="1"/>
      <name val="Helvetica"/>
    </font>
    <font>
      <sz val="10"/>
      <color indexed="12"/>
      <name val="Helvetica"/>
    </font>
    <font>
      <sz val="11"/>
      <color theme="1"/>
      <name val="Calibri"/>
      <family val="2"/>
      <scheme val="minor"/>
    </font>
    <font>
      <sz val="11"/>
      <color theme="0"/>
      <name val="Calibri"/>
      <family val="2"/>
      <scheme val="minor"/>
    </font>
    <font>
      <sz val="11"/>
      <color auto="1"/>
      <name val="Calibri"/>
      <family val="2"/>
      <scheme val="minor"/>
    </font>
  </fonts>
  <fills count="9">
    <fill>
      <patternFill patternType="none"/>
    </fill>
    <fill>
      <patternFill patternType="gray125"/>
    </fill>
    <fill>
      <patternFill patternType="solid">
        <fgColor indexed="22"/>
        <bgColor auto="1"/>
      </patternFill>
    </fill>
    <fill>
      <patternFill patternType="solid">
        <fgColor indexed="27"/>
        <bgColor auto="1"/>
      </patternFill>
    </fill>
    <fill>
      <patternFill patternType="solid">
        <fgColor indexed="26"/>
        <bgColor auto="1"/>
      </patternFill>
    </fill>
    <fill>
      <patternFill patternType="solid">
        <fgColor indexed="9"/>
        <bgColor auto="1"/>
      </patternFill>
    </fill>
    <fill>
      <patternFill patternType="solid">
        <fgColor tint="0.399975585192419" theme="4"/>
        <bgColor auto="1"/>
      </patternFill>
    </fill>
    <fill>
      <patternFill patternType="solid">
        <fgColor theme="8"/>
      </patternFill>
    </fill>
    <fill>
      <patternFill patternType="solid">
        <fgColor tint="0.799981688894314" theme="8"/>
        <bgColor auto="1"/>
      </patternFill>
    </fill>
  </fills>
  <borders count="83">
    <border>
      <left/>
      <right/>
      <top/>
      <bottom/>
      <diagonal/>
    </border>
    <border>
      <left/>
      <right/>
      <top/>
      <bottom style="double">
        <color auto="1"/>
      </bottom>
      <diagonal/>
    </border>
    <border>
      <left style="thin">
        <color auto="1"/>
      </left>
      <right style="thin">
        <color auto="1"/>
      </right>
      <top style="thin">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thin">
        <color auto="1"/>
      </top>
      <bottom/>
      <diagonal/>
    </border>
    <border>
      <left style="double">
        <color auto="1"/>
      </left>
      <right/>
      <top style="thin">
        <color auto="1"/>
      </top>
      <bottom style="thin">
        <color auto="1"/>
      </bottom>
      <diagonal/>
    </border>
    <border>
      <left style="thin">
        <color auto="1"/>
      </left>
      <right/>
      <top style="thin">
        <color auto="1"/>
      </top>
      <bottom style="double">
        <color auto="1"/>
      </bottom>
      <diagonal/>
    </border>
    <border>
      <left/>
      <right/>
      <top style="thin">
        <color auto="1"/>
      </top>
      <bottom style="double">
        <color auto="1"/>
      </bottom>
      <diagonal/>
    </border>
    <border>
      <left style="medium">
        <color auto="1"/>
      </left>
      <right style="thin">
        <color auto="1"/>
      </right>
      <top/>
      <bottom style="double">
        <color auto="1"/>
      </bottom>
      <diagonal/>
    </border>
    <border>
      <left style="double">
        <color auto="1"/>
      </left>
      <right style="thin">
        <color auto="1"/>
      </right>
      <top/>
      <bottom style="double">
        <color auto="1"/>
      </bottom>
      <diagonal/>
    </border>
    <border>
      <left style="thin">
        <color auto="1"/>
      </left>
      <right style="thin">
        <color auto="1"/>
      </right>
      <top/>
      <bottom style="double">
        <color auto="1"/>
      </bottom>
      <diagonal/>
    </border>
    <border>
      <left style="double">
        <color auto="1"/>
      </left>
      <right/>
      <top/>
      <bottom style="double">
        <color auto="1"/>
      </bottom>
      <diagonal/>
    </border>
    <border>
      <left/>
      <right/>
      <top style="double">
        <color auto="1"/>
      </top>
      <bottom/>
      <diagonal/>
    </border>
    <border>
      <left/>
      <right/>
      <top/>
      <bottom style="thin">
        <color auto="1"/>
      </bottom>
      <diagonal/>
    </border>
    <border>
      <left style="thin">
        <color auto="1"/>
      </left>
      <right/>
      <top style="thin">
        <color auto="1"/>
      </top>
      <bottom style="thin">
        <color auto="1"/>
      </bottom>
      <diagonal/>
    </border>
    <border>
      <left style="medium">
        <color auto="1"/>
      </left>
      <right/>
      <top/>
      <bottom/>
      <diagonal/>
    </border>
    <border>
      <left style="thin">
        <color auto="1"/>
      </left>
      <right/>
      <top style="thin">
        <color auto="1"/>
      </top>
      <bottom/>
      <diagonal/>
    </border>
    <border>
      <left style="medium">
        <color auto="1"/>
      </left>
      <right style="thin">
        <color auto="1"/>
      </right>
      <top style="thin">
        <color auto="1"/>
      </top>
      <bottom style="thin">
        <color auto="1"/>
      </bottom>
      <diagonal/>
    </border>
    <border>
      <left style="double">
        <color auto="1"/>
      </left>
      <right style="thin">
        <color auto="1"/>
      </right>
      <top style="thin">
        <color auto="1"/>
      </top>
      <bottom style="thin">
        <color auto="1"/>
      </bottom>
      <diagonal/>
    </border>
    <border>
      <left style="thin">
        <color auto="1"/>
      </left>
      <right/>
      <top/>
      <bottom/>
      <diagonal/>
    </border>
    <border>
      <left style="medium">
        <color auto="1"/>
      </left>
      <right style="thin">
        <color auto="1"/>
      </right>
      <top/>
      <bottom style="thin">
        <color auto="1"/>
      </bottom>
      <diagonal/>
    </border>
    <border>
      <left style="double">
        <color auto="1"/>
      </left>
      <right style="thin">
        <color auto="1"/>
      </right>
      <top/>
      <bottom style="thin">
        <color auto="1"/>
      </bottom>
      <diagonal/>
    </border>
    <border>
      <left style="thin">
        <color auto="1"/>
      </left>
      <right style="thin">
        <color auto="1"/>
      </right>
      <top/>
      <bottom style="thin">
        <color auto="1"/>
      </bottom>
      <diagonal/>
    </border>
    <border>
      <left style="double">
        <color auto="1"/>
      </left>
      <right/>
      <top/>
      <bottom style="thin">
        <color auto="1"/>
      </bottom>
      <diagonal/>
    </border>
    <border>
      <left style="thin">
        <color auto="1"/>
      </left>
      <right/>
      <top style="double">
        <color auto="1"/>
      </top>
      <bottom style="medium">
        <color auto="1"/>
      </bottom>
      <diagonal/>
    </border>
    <border>
      <left/>
      <right/>
      <top style="double">
        <color auto="1"/>
      </top>
      <bottom style="medium">
        <color auto="1"/>
      </bottom>
      <diagonal/>
    </border>
    <border>
      <left style="medium">
        <color auto="1"/>
      </left>
      <right style="thin">
        <color auto="1"/>
      </right>
      <top style="double">
        <color auto="1"/>
      </top>
      <bottom style="medium">
        <color auto="1"/>
      </bottom>
      <diagonal/>
    </border>
    <border>
      <left style="double">
        <color auto="1"/>
      </left>
      <right style="thin">
        <color auto="1"/>
      </right>
      <top style="double">
        <color auto="1"/>
      </top>
      <bottom style="medium">
        <color auto="1"/>
      </bottom>
      <diagonal/>
    </border>
    <border>
      <left style="thin">
        <color auto="1"/>
      </left>
      <right style="thin">
        <color auto="1"/>
      </right>
      <top style="double">
        <color auto="1"/>
      </top>
      <bottom style="medium">
        <color auto="1"/>
      </bottom>
      <diagonal/>
    </border>
    <border>
      <left style="double">
        <color auto="1"/>
      </left>
      <right/>
      <top style="double">
        <color auto="1"/>
      </top>
      <bottom style="medium">
        <color auto="1"/>
      </bottom>
      <diagonal/>
    </border>
    <border>
      <left/>
      <right/>
      <top style="thin">
        <color auto="1"/>
      </top>
      <bottom/>
      <diagonal/>
    </border>
    <border>
      <left style="thin">
        <color auto="1"/>
      </left>
      <right/>
      <top/>
      <bottom style="thin">
        <color auto="1"/>
      </bottom>
      <diagonal/>
    </border>
    <border>
      <left style="double">
        <color auto="1"/>
      </left>
      <right/>
      <top/>
      <bottom/>
      <diagonal/>
    </border>
    <border>
      <left style="double">
        <color auto="1"/>
      </left>
      <right style="thin">
        <color auto="1"/>
      </right>
      <top/>
      <bottom/>
      <diagonal/>
    </border>
    <border>
      <left/>
      <right style="thin">
        <color auto="1"/>
      </right>
      <top/>
      <bottom/>
      <diagonal/>
    </border>
    <border>
      <left style="medium">
        <color auto="1"/>
      </left>
      <right/>
      <top/>
      <bottom style="thin">
        <color auto="1"/>
      </bottom>
      <diagonal/>
    </border>
    <border>
      <left/>
      <right style="thin">
        <color auto="1"/>
      </right>
      <top/>
      <bottom style="thin">
        <color auto="1"/>
      </bottom>
      <diagonal/>
    </border>
    <border>
      <left style="thin">
        <color auto="1"/>
      </left>
      <right/>
      <top/>
      <bottom style="double">
        <color auto="1"/>
      </bottom>
      <diagonal/>
    </border>
    <border>
      <left style="medium">
        <color auto="1"/>
      </left>
      <right style="thin">
        <color auto="1"/>
      </right>
      <top/>
      <bottom/>
      <diagonal/>
    </border>
    <border>
      <left style="thin">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style="thin">
        <color auto="1"/>
      </right>
      <top style="medium">
        <color auto="1"/>
      </top>
      <bottom style="medium">
        <color auto="1"/>
      </bottom>
      <diagonal/>
    </border>
    <border>
      <left style="double">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double">
        <color auto="1"/>
      </left>
      <right/>
      <top style="medium">
        <color auto="1"/>
      </top>
      <bottom style="medium">
        <color auto="1"/>
      </bottom>
      <diagonal/>
    </border>
    <border>
      <left style="double">
        <color auto="1"/>
      </left>
      <right style="medium">
        <color auto="1"/>
      </right>
      <top style="medium">
        <color auto="1"/>
      </top>
      <bottom style="medium">
        <color auto="1"/>
      </bottom>
      <diagonal/>
    </border>
    <border>
      <left/>
      <right style="medium">
        <color auto="1"/>
      </right>
      <top style="medium">
        <color auto="1"/>
      </top>
      <bottom style="medium">
        <color auto="1"/>
      </bottom>
      <diagonal/>
    </border>
    <border>
      <left style="medium">
        <color auto="1"/>
      </left>
      <right/>
      <top/>
      <bottom style="medium">
        <color auto="1"/>
      </bottom>
      <diagonal/>
    </border>
    <border>
      <left style="thin">
        <color auto="1"/>
      </left>
      <right style="thin">
        <color auto="1"/>
      </right>
      <top style="thin">
        <color auto="1"/>
      </top>
      <bottom/>
      <diagonal/>
    </border>
    <border>
      <left style="thin">
        <color auto="1"/>
      </left>
      <right style="double">
        <color auto="1"/>
      </right>
      <top style="thin">
        <color auto="1"/>
      </top>
      <bottom style="thin">
        <color auto="1"/>
      </bottom>
      <diagonal/>
    </border>
    <border>
      <left style="thin">
        <color auto="1"/>
      </left>
      <right style="double">
        <color auto="1"/>
      </right>
      <top/>
      <bottom style="thin">
        <color auto="1"/>
      </bottom>
      <diagonal/>
    </border>
    <border>
      <left style="thin">
        <color auto="1"/>
      </left>
      <right style="double">
        <color auto="1"/>
      </right>
      <top style="thin">
        <color auto="1"/>
      </top>
      <bottom style="double">
        <color auto="1"/>
      </bottom>
      <diagonal/>
    </border>
    <border>
      <left/>
      <right style="double">
        <color auto="1"/>
      </right>
      <top style="thin">
        <color auto="1"/>
      </top>
      <bottom style="thin">
        <color auto="1"/>
      </bottom>
      <diagonal/>
    </border>
    <border>
      <left/>
      <right style="thin">
        <color auto="1"/>
      </right>
      <top style="medium">
        <color auto="1"/>
      </top>
      <bottom style="medium">
        <color auto="1"/>
      </bottom>
      <diagonal/>
    </border>
    <border>
      <left/>
      <right style="double">
        <color auto="1"/>
      </right>
      <top/>
      <bottom/>
      <diagonal/>
    </border>
    <border>
      <left/>
      <right style="double">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double">
        <color auto="1"/>
      </right>
      <top style="medium">
        <color auto="1"/>
      </top>
      <bottom/>
      <diagonal/>
    </border>
    <border>
      <left style="double">
        <color auto="1"/>
      </left>
      <right style="medium">
        <color auto="1"/>
      </right>
      <top style="medium">
        <color auto="1"/>
      </top>
      <bottom style="thin">
        <color auto="1"/>
      </bottom>
      <diagonal/>
    </border>
    <border>
      <left style="double">
        <color auto="1"/>
      </left>
      <right style="medium">
        <color auto="1"/>
      </right>
      <top style="thin">
        <color auto="1"/>
      </top>
      <bottom style="thin">
        <color auto="1"/>
      </bottom>
      <diagonal/>
    </border>
    <border>
      <left style="double">
        <color auto="1"/>
      </left>
      <right style="medium">
        <color auto="1"/>
      </right>
      <top style="thin">
        <color auto="1"/>
      </top>
      <bottom style="medium">
        <color auto="1"/>
      </bottom>
      <diagonal/>
    </border>
    <border>
      <left/>
      <right style="thin">
        <color auto="1"/>
      </right>
      <top style="thin">
        <color auto="1"/>
      </top>
      <bottom style="double">
        <color auto="1"/>
      </bottom>
      <diagonal/>
    </border>
    <border>
      <left style="double">
        <color auto="1"/>
      </left>
      <right style="thin">
        <color auto="1"/>
      </right>
      <top style="thin">
        <color auto="1"/>
      </top>
      <bottom/>
      <diagonal/>
    </border>
    <border>
      <left style="thin">
        <color auto="1"/>
      </left>
      <right style="thin">
        <color auto="1"/>
      </right>
      <top style="double">
        <color auto="1"/>
      </top>
      <bottom style="thin">
        <color auto="1"/>
      </bottom>
      <diagonal/>
    </border>
    <border>
      <left style="thick">
        <color auto="1"/>
      </left>
      <right style="thin">
        <color auto="1"/>
      </right>
      <top style="thin">
        <color auto="1"/>
      </top>
      <bottom style="thin">
        <color auto="1"/>
      </bottom>
      <diagonal/>
    </border>
    <border>
      <left/>
      <right style="thin">
        <color auto="1"/>
      </right>
      <top style="thin">
        <color auto="1"/>
      </top>
      <bottom/>
      <diagonal/>
    </border>
    <border>
      <left/>
      <right style="thin">
        <color auto="1"/>
      </right>
      <top/>
      <bottom style="double">
        <color auto="1"/>
      </bottom>
      <diagonal/>
    </border>
    <border>
      <left/>
      <right style="thick">
        <color auto="1"/>
      </right>
      <top style="thin">
        <color auto="1"/>
      </top>
      <bottom style="thin">
        <color auto="1"/>
      </bottom>
      <diagonal/>
    </border>
    <border>
      <left style="thick">
        <color auto="1"/>
      </left>
      <right style="thin">
        <color auto="1"/>
      </right>
      <top/>
      <bottom style="double">
        <color auto="1"/>
      </bottom>
      <diagonal/>
    </border>
    <border>
      <left style="thick">
        <color auto="1"/>
      </left>
      <right/>
      <top style="thick">
        <color auto="1"/>
      </top>
      <bottom style="thin">
        <color auto="1"/>
      </bottom>
      <diagonal/>
    </border>
    <border>
      <left/>
      <right style="thick">
        <color auto="1"/>
      </right>
      <top style="thick">
        <color auto="1"/>
      </top>
      <bottom style="thin">
        <color auto="1"/>
      </bottom>
      <diagonal/>
    </border>
    <border>
      <left style="thin">
        <color auto="1"/>
      </left>
      <right style="thick">
        <color auto="1"/>
      </right>
      <top/>
      <bottom style="double">
        <color auto="1"/>
      </bottom>
      <diagonal/>
    </border>
    <border>
      <left style="thin">
        <color auto="1"/>
      </left>
      <right style="thick">
        <color auto="1"/>
      </right>
      <top style="thin">
        <color auto="1"/>
      </top>
      <bottom style="thin">
        <color auto="1"/>
      </bottom>
      <diagonal/>
    </border>
    <border>
      <left style="thick">
        <color auto="1"/>
      </left>
      <right style="thin">
        <color auto="1"/>
      </right>
      <top style="thin">
        <color auto="1"/>
      </top>
      <bottom style="thick">
        <color auto="1"/>
      </bottom>
      <diagonal/>
    </border>
    <border>
      <left style="thin">
        <color auto="1"/>
      </left>
      <right style="thick">
        <color auto="1"/>
      </right>
      <top style="thin">
        <color auto="1"/>
      </top>
      <bottom style="thick">
        <color auto="1"/>
      </bottom>
      <diagonal/>
    </border>
    <border>
      <left style="thick">
        <color auto="1"/>
      </left>
      <right style="thin">
        <color auto="1"/>
      </right>
      <top style="thin">
        <color auto="1"/>
      </top>
      <bottom/>
      <diagonal/>
    </border>
    <border>
      <left style="thick">
        <color auto="1"/>
      </left>
      <right style="thin">
        <color auto="1"/>
      </right>
      <top/>
      <bottom style="thin">
        <color auto="1"/>
      </bottom>
      <diagonal/>
    </border>
    <border>
      <left style="thick">
        <color auto="1"/>
      </left>
      <right style="thin">
        <color auto="1"/>
      </right>
      <top/>
      <bottom/>
      <diagonal/>
    </border>
  </borders>
  <cellStyleXfs count="17">
    <xf fontId="0" numFmtId="0" fillId="0" borderId="0"/>
    <xf applyFont="0" applyFill="0" applyBorder="0" applyAlignment="0" applyProtection="0" fontId="4" numFmtId="40" fillId="0" borderId="0"/>
    <xf applyNumberFormat="0" applyFill="0" applyBorder="0" applyAlignment="0" applyProtection="0" fontId="5" numFmtId="0" fillId="0" borderId="0">
      <alignment vertical="top"/>
      <protection locked="0"/>
    </xf>
    <xf applyFont="0" applyFill="0" applyBorder="0" applyAlignment="0" applyProtection="0" fontId="4" numFmtId="9" fillId="0" borderId="0"/>
    <xf applyFont="0" applyFill="0" applyBorder="0" applyAlignment="0" applyProtection="0" fontId="4" numFmtId="40" fillId="0" borderId="0"/>
    <xf fontId="4" numFmtId="0" fillId="0" borderId="0"/>
    <xf applyBorder="0" fontId="34" numFmtId="0" fillId="3" borderId="21">
      <alignment horizontal="center" wrapText="1"/>
    </xf>
    <xf applyBorder="0" fontId="35" numFmtId="0" fillId="4" borderId="0">
      <alignment wrapText="1"/>
      <protection locked="0"/>
    </xf>
    <xf applyBorder="0" fontId="41" numFmtId="0" fillId="5" borderId="0">
      <alignment horizontal="center"/>
    </xf>
    <xf applyBorder="0" fontId="34" numFmtId="0" fillId="5" borderId="0">
      <alignment horizontal="left"/>
    </xf>
    <xf applyBorder="0" fontId="35" numFmtId="0" fillId="5" borderId="0">
      <alignment horizontal="center"/>
    </xf>
    <xf applyBorder="0" fontId="42" numFmtId="0" fillId="5" borderId="0">
      <alignment horizontal="left"/>
    </xf>
    <xf applyBorder="0" fontId="35" numFmtId="165" fillId="5" borderId="20">
      <alignment horizontal="right"/>
    </xf>
    <xf applyNumberFormat="0" applyBorder="0" applyAlignment="0" applyProtection="0" fontId="43" numFmtId="0" fillId="6" borderId="0"/>
    <xf fontId="43" numFmtId="0" fillId="0" borderId="0"/>
    <xf applyNumberFormat="0" applyBorder="0" applyAlignment="0" applyProtection="0" fontId="43" numFmtId="0" fillId="8" borderId="0"/>
    <xf applyNumberFormat="0" applyBorder="0" applyAlignment="0" applyProtection="0" fontId="44" numFmtId="0" fillId="7" borderId="0"/>
  </cellStyleXfs>
  <cellXfs count="333">
    <xf fontId="0" numFmtId="0" fillId="0" borderId="0" xfId="0"/>
    <xf applyFont="1" applyAlignment="1" applyProtection="1" fontId="6" numFmtId="0" fillId="0" borderId="0" xfId="0">
      <alignment horizontal="centerContinuous"/>
    </xf>
    <xf applyFont="1" applyAlignment="1" applyProtection="1" fontId="7" numFmtId="0" fillId="0" borderId="0" xfId="0">
      <alignment horizontal="centerContinuous"/>
    </xf>
    <xf applyFont="1" applyAlignment="1" fontId="8" numFmtId="0" fillId="0" borderId="0" xfId="0">
      <alignment horizontal="left"/>
    </xf>
    <xf applyFont="1" fontId="8" numFmtId="0" fillId="0" borderId="0" xfId="0"/>
    <xf applyFont="1" applyAlignment="1" applyProtection="1" fontId="9" numFmtId="0" fillId="0" borderId="0" xfId="0">
      <alignment horizontal="centerContinuous"/>
    </xf>
    <xf applyFont="1" applyAlignment="1" applyProtection="1" fontId="8" numFmtId="0" fillId="0" borderId="0" xfId="0">
      <alignment horizontal="centerContinuous"/>
    </xf>
    <xf applyFont="1" applyBorder="1" applyAlignment="1" applyProtection="1" fontId="10" numFmtId="0" fillId="0" borderId="1" xfId="0">
      <alignment horizontal="centerContinuous"/>
    </xf>
    <xf applyFont="1" applyAlignment="1" fontId="10" numFmtId="0" fillId="0" borderId="0" xfId="0">
      <alignment horizontal="left"/>
    </xf>
    <xf applyFont="1" applyAlignment="1" fontId="8" numFmtId="0" fillId="0" borderId="0" xfId="0">
      <alignment horizontal="centerContinuous"/>
    </xf>
    <xf applyFont="1" applyProtection="1" fontId="9" numFmtId="0" fillId="0" borderId="0" xfId="0"/>
    <xf applyFont="1" applyBorder="1" applyProtection="1" fontId="8" numFmtId="0" fillId="0" borderId="2" xfId="0">
      <protection locked="0"/>
    </xf>
    <xf applyFont="1" applyBorder="1" applyProtection="1" fontId="9" numFmtId="0" fillId="0" borderId="0" xfId="0"/>
    <xf applyFont="1" applyBorder="1" applyProtection="1" fontId="8" numFmtId="0" fillId="0" borderId="0" xfId="0"/>
    <xf applyNumberFormat="1" applyFont="1" applyBorder="1" applyAlignment="1" applyProtection="1" fontId="7" numFmtId="9" fillId="0" borderId="0" xfId="3">
      <alignment horizontal="center"/>
    </xf>
    <xf applyFont="1" applyProtection="1" fontId="8" numFmtId="0" fillId="0" borderId="0" xfId="0"/>
    <xf applyFont="1" applyProtection="1" fontId="7" numFmtId="0" fillId="0" borderId="0" xfId="0"/>
    <xf applyNumberFormat="1" applyFont="1" applyBorder="1" applyProtection="1" fontId="7" numFmtId="9" fillId="0" borderId="0" xfId="3"/>
    <xf applyFont="1" applyBorder="1" applyProtection="1" fontId="7" numFmtId="0" fillId="0" borderId="0" xfId="0"/>
    <xf applyNumberFormat="1" applyFont="1" applyBorder="1" applyAlignment="1" applyProtection="1" fontId="7" numFmtId="9" fillId="0" borderId="2" xfId="3">
      <alignment horizontal="center"/>
      <protection locked="0"/>
    </xf>
    <xf applyFont="1" applyBorder="1" applyAlignment="1" applyProtection="1" fontId="7" numFmtId="0" fillId="0" borderId="0" xfId="0">
      <alignment horizontal="center"/>
    </xf>
    <xf applyFont="1" applyProtection="1" fontId="11" numFmtId="0" fillId="0" borderId="0" xfId="0"/>
    <xf applyFont="1" applyBorder="1" applyAlignment="1" fontId="11" numFmtId="0" fillId="0" borderId="0" xfId="0">
      <alignment horizontal="left"/>
    </xf>
    <xf applyFont="1" applyBorder="1" applyProtection="1" fontId="11" numFmtId="0" fillId="0" borderId="0" xfId="0"/>
    <xf applyFont="1" applyBorder="1" applyAlignment="1" applyProtection="1" fontId="9" numFmtId="0" fillId="0" borderId="0" xfId="0">
      <alignment horizontal="right"/>
    </xf>
    <xf applyFont="1" applyBorder="1" applyAlignment="1" applyProtection="1" fontId="7" numFmtId="0" fillId="0" borderId="0" xfId="0">
      <alignment horizontal="right"/>
    </xf>
    <xf applyFont="1" fontId="9" numFmtId="0" fillId="0" borderId="0" xfId="0"/>
    <xf applyFont="1" applyBorder="1" applyProtection="1" fontId="8" numFmtId="0" fillId="0" borderId="1" xfId="0"/>
    <xf applyFont="1" applyBorder="1" applyProtection="1" fontId="7" numFmtId="0" fillId="0" borderId="1" xfId="0"/>
    <xf applyFont="1" applyBorder="1" applyProtection="1" fontId="7" numFmtId="0" fillId="0" borderId="3" xfId="0"/>
    <xf applyFont="1" applyBorder="1" applyProtection="1" fontId="8" numFmtId="0" fillId="0" borderId="4" xfId="0"/>
    <xf applyFont="1" applyBorder="1" applyProtection="1" fontId="8" numFmtId="0" fillId="0" borderId="3" xfId="0"/>
    <xf applyFont="1" applyBorder="1" applyAlignment="1" applyProtection="1" fontId="8" numFmtId="0" fillId="0" borderId="6" xfId="0">
      <alignment horizontal="center"/>
    </xf>
    <xf applyFont="1" applyBorder="1" applyAlignment="1" applyProtection="1" fontId="8" numFmtId="0" fillId="0" borderId="10" xfId="0">
      <alignment horizontal="center"/>
    </xf>
    <xf applyFont="1" applyBorder="1" applyAlignment="1" applyProtection="1" fontId="8" numFmtId="0" fillId="0" borderId="11" xfId="0">
      <alignment horizontal="center"/>
    </xf>
    <xf applyFont="1" applyBorder="1" applyAlignment="1" applyProtection="1" fontId="8" numFmtId="0" fillId="0" borderId="12" xfId="0">
      <alignment horizontal="center"/>
    </xf>
    <xf applyFont="1" applyBorder="1" applyAlignment="1" applyProtection="1" fontId="8" numFmtId="0" fillId="0" borderId="13" xfId="0">
      <alignment horizontal="center"/>
    </xf>
    <xf applyFont="1" applyBorder="1" applyAlignment="1" applyProtection="1" fontId="8" numFmtId="0" fillId="0" borderId="0" xfId="0">
      <alignment horizontal="center"/>
    </xf>
    <xf applyFont="1" applyBorder="1" applyAlignment="1" applyProtection="1" fontId="8" numFmtId="0" fillId="0" borderId="15" xfId="0">
      <alignment horizontal="center"/>
    </xf>
    <xf applyFont="1" applyBorder="1" applyProtection="1" fontId="9" numFmtId="0" fillId="0" borderId="16" xfId="0" quotePrefix="1"/>
    <xf applyFont="1" applyBorder="1" applyAlignment="1" applyProtection="1" fontId="13" numFmtId="0" fillId="0" borderId="4" xfId="2"/>
    <xf applyFont="1" applyBorder="1" applyProtection="1" fontId="8" numFmtId="0" fillId="0" borderId="17" xfId="0"/>
    <xf applyFont="1" applyBorder="1" applyProtection="1" fontId="8" numFmtId="0" fillId="0" borderId="18" xfId="0" quotePrefix="1"/>
    <xf applyFont="1" applyBorder="1" applyAlignment="1" applyProtection="1" fontId="14" numFmtId="0" fillId="0" borderId="4" xfId="2" quotePrefix="1">
      <alignment horizontal="left"/>
    </xf>
    <xf applyNumberFormat="1" applyFont="1" applyBorder="1" applyProtection="1" fontId="7" numFmtId="38" fillId="0" borderId="19" xfId="1">
      <protection locked="0"/>
    </xf>
    <xf applyNumberFormat="1" applyFont="1" applyBorder="1" applyProtection="1" fontId="7" numFmtId="164" fillId="0" borderId="20" xfId="1">
      <protection locked="0"/>
    </xf>
    <xf applyNumberFormat="1" applyFont="1" applyFill="1" applyBorder="1" applyProtection="1" fontId="7" numFmtId="164" fillId="2" borderId="2" xfId="1"/>
    <xf applyNumberFormat="1" applyFont="1" applyFill="1" applyBorder="1" applyProtection="1" fontId="7" numFmtId="164" fillId="0" borderId="7" xfId="1"/>
    <xf applyNumberFormat="1" applyFont="1" applyFill="1" applyBorder="1" applyProtection="1" fontId="7" numFmtId="164" fillId="0" borderId="20" xfId="1"/>
    <xf applyFont="1" applyBorder="1" applyProtection="1" fontId="8" numFmtId="0" fillId="0" borderId="21" xfId="0" quotePrefix="1"/>
    <xf applyFont="1" applyBorder="1" applyAlignment="1" applyProtection="1" fontId="14" numFmtId="0" fillId="0" borderId="15" xfId="2"/>
    <xf applyFont="1" applyBorder="1" applyProtection="1" fontId="8" numFmtId="0" fillId="0" borderId="15" xfId="0"/>
    <xf applyNumberFormat="1" applyFont="1" applyBorder="1" applyProtection="1" fontId="7" numFmtId="38" fillId="0" borderId="22" xfId="1">
      <protection locked="0"/>
    </xf>
    <xf applyNumberFormat="1" applyFont="1" applyBorder="1" applyProtection="1" fontId="7" numFmtId="164" fillId="0" borderId="23" xfId="1">
      <protection locked="0"/>
    </xf>
    <xf applyNumberFormat="1" applyFont="1" applyFill="1" applyBorder="1" applyProtection="1" fontId="7" numFmtId="164" fillId="2" borderId="24" xfId="1"/>
    <xf applyNumberFormat="1" applyFont="1" applyFill="1" applyBorder="1" applyProtection="1" fontId="7" numFmtId="164" fillId="0" borderId="25" xfId="1"/>
    <xf applyNumberFormat="1" applyFont="1" applyFill="1" applyBorder="1" applyProtection="1" fontId="7" numFmtId="164" fillId="0" borderId="23" xfId="1"/>
    <xf applyFont="1" applyBorder="1" applyAlignment="1" applyProtection="1" fontId="14" numFmtId="0" fillId="0" borderId="15" xfId="2">
      <alignment horizontal="left"/>
    </xf>
    <xf applyNumberFormat="1" applyFont="1" applyBorder="1" applyProtection="1" fontId="7" numFmtId="164" fillId="0" borderId="2" xfId="1">
      <protection locked="0"/>
    </xf>
    <xf applyFont="1" applyBorder="1" applyProtection="1" fontId="8" numFmtId="0" fillId="0" borderId="26" xfId="0" quotePrefix="1"/>
    <xf applyFont="1" applyBorder="1" applyProtection="1" fontId="8" numFmtId="0" fillId="0" borderId="27" xfId="0"/>
    <xf applyNumberFormat="1" applyFont="1" applyFill="1" applyBorder="1" applyProtection="1" fontId="7" numFmtId="38" fillId="0" borderId="28" xfId="1"/>
    <xf applyNumberFormat="1" applyFont="1" applyFill="1" applyBorder="1" applyProtection="1" fontId="7" numFmtId="164" fillId="0" borderId="29" xfId="1"/>
    <xf applyNumberFormat="1" applyFont="1" applyFill="1" applyBorder="1" applyProtection="1" fontId="7" numFmtId="164" fillId="0" borderId="30" xfId="1"/>
    <xf applyNumberFormat="1" applyFont="1" applyFill="1" applyBorder="1" applyProtection="1" fontId="7" numFmtId="164" fillId="0" borderId="31" xfId="1"/>
    <xf applyNumberFormat="1" applyFont="1" applyProtection="1" fontId="8" numFmtId="164" fillId="0" borderId="0" xfId="0"/>
    <xf applyFont="1" applyBorder="1" applyProtection="1" fontId="8" numFmtId="0" fillId="0" borderId="21" xfId="0"/>
    <xf applyNumberFormat="1" applyFont="1" applyBorder="1" applyProtection="1" fontId="7" numFmtId="164" fillId="0" borderId="24" xfId="1">
      <protection locked="0"/>
    </xf>
    <xf applyNumberFormat="1" applyFont="1" applyFill="1" applyBorder="1" applyProtection="1" fontId="7" numFmtId="38" fillId="0" borderId="0" xfId="1"/>
    <xf applyNumberFormat="1" applyFont="1" applyFill="1" applyBorder="1" applyProtection="1" fontId="7" numFmtId="164" fillId="0" borderId="0" xfId="1"/>
    <xf applyFont="1" applyBorder="1" applyAlignment="1" applyProtection="1" fontId="9" numFmtId="0" fillId="0" borderId="0" xfId="0" quotePrefix="1">
      <alignment horizontal="left"/>
    </xf>
    <xf applyNumberFormat="1" applyFont="1" fontId="8" numFmtId="38" fillId="0" borderId="0" xfId="1"/>
    <xf applyNumberFormat="1" applyFont="1" applyBorder="1" applyAlignment="1" applyProtection="1" fontId="8" numFmtId="164" fillId="0" borderId="6" xfId="0">
      <alignment horizontal="center"/>
    </xf>
    <xf applyNumberFormat="1" applyFont="1" applyBorder="1" applyAlignment="1" applyProtection="1" fontId="8" numFmtId="164" fillId="0" borderId="11" xfId="0">
      <alignment horizontal="center"/>
    </xf>
    <xf applyNumberFormat="1" applyFont="1" applyBorder="1" applyAlignment="1" applyProtection="1" fontId="8" numFmtId="164" fillId="0" borderId="12" xfId="0">
      <alignment horizontal="center"/>
    </xf>
    <xf applyNumberFormat="1" applyFont="1" applyBorder="1" applyAlignment="1" applyProtection="1" fontId="8" numFmtId="164" fillId="0" borderId="13" xfId="0">
      <alignment horizontal="center"/>
    </xf>
    <xf applyNumberFormat="1" applyFont="1" applyBorder="1" applyAlignment="1" applyProtection="1" fontId="8" numFmtId="164" fillId="0" borderId="10" xfId="0">
      <alignment horizontal="center"/>
    </xf>
    <xf applyNumberFormat="1" applyFont="1" applyBorder="1" applyAlignment="1" applyProtection="1" fontId="8" numFmtId="164" fillId="0" borderId="0" xfId="0">
      <alignment horizontal="center"/>
    </xf>
    <xf applyFont="1" applyFill="1" applyBorder="1" fontId="8" numFmtId="0" fillId="0" borderId="0" xfId="0"/>
    <xf applyFont="1" applyBorder="1" applyProtection="1" fontId="8" numFmtId="0" fillId="0" borderId="0" xfId="0" quotePrefix="1"/>
    <xf applyFont="1" applyBorder="1" applyAlignment="1" applyProtection="1" fontId="14" numFmtId="0" fillId="0" borderId="32" xfId="2" quotePrefix="1">
      <alignment horizontal="left"/>
    </xf>
    <xf applyFont="1" applyBorder="1" applyProtection="1" fontId="7" numFmtId="0" fillId="0" borderId="33" xfId="0"/>
    <xf applyNumberFormat="1" applyFont="1" applyFill="1" applyBorder="1" applyAlignment="1" applyProtection="1" fontId="7" numFmtId="164" fillId="2" borderId="34" xfId="1">
      <alignment horizontal="center"/>
    </xf>
    <xf applyNumberFormat="1" applyFont="1" applyFill="1" applyBorder="1" applyAlignment="1" applyProtection="1" fontId="7" numFmtId="164" fillId="2" borderId="35" xfId="1">
      <alignment horizontal="center"/>
    </xf>
    <xf applyFont="1" applyBorder="1" applyProtection="1" fontId="7" numFmtId="0" fillId="0" borderId="36" xfId="0"/>
    <xf applyFont="1" applyBorder="1" applyProtection="1" fontId="7" numFmtId="0" fillId="0" borderId="21" xfId="0"/>
    <xf applyNumberFormat="1" applyFont="1" applyFill="1" applyBorder="1" applyAlignment="1" applyProtection="1" fontId="7" numFmtId="38" fillId="2" borderId="17" xfId="1">
      <alignment horizontal="center"/>
    </xf>
    <xf applyNumberFormat="1" applyFont="1" applyFill="1" applyBorder="1" applyAlignment="1" applyProtection="1" fontId="7" numFmtId="164" fillId="2" borderId="25" xfId="1">
      <alignment horizontal="center"/>
    </xf>
    <xf applyNumberFormat="1" applyFont="1" applyFill="1" applyBorder="1" applyAlignment="1" applyProtection="1" fontId="7" numFmtId="164" fillId="2" borderId="23" xfId="1">
      <alignment horizontal="center"/>
    </xf>
    <xf applyFont="1" applyBorder="1" applyProtection="1" fontId="7" numFmtId="0" fillId="0" borderId="15" xfId="0"/>
    <xf applyNumberFormat="1" applyFont="1" applyFill="1" applyBorder="1" applyAlignment="1" applyProtection="1" fontId="7" numFmtId="38" fillId="2" borderId="37" xfId="1">
      <alignment horizontal="center"/>
    </xf>
    <xf applyNumberFormat="1" applyFont="1" applyFill="1" applyBorder="1" applyProtection="1" fontId="7" numFmtId="164" fillId="2" borderId="38" xfId="1"/>
    <xf applyFont="1" applyBorder="1" applyAlignment="1" applyProtection="1" fontId="14" numFmtId="0" fillId="0" borderId="36" xfId="2" quotePrefix="1">
      <alignment horizontal="left"/>
    </xf>
    <xf applyFont="1" applyBorder="1" applyAlignment="1" applyProtection="1" fontId="14" numFmtId="0" fillId="0" borderId="15" xfId="2" quotePrefix="1">
      <alignment horizontal="left"/>
    </xf>
    <xf applyFont="1" applyBorder="1" applyProtection="1" fontId="8" numFmtId="0" fillId="0" borderId="39" xfId="0"/>
    <xf applyFont="1" applyBorder="1" applyAlignment="1" applyProtection="1" fontId="14" numFmtId="0" fillId="0" borderId="9" xfId="2" quotePrefix="1">
      <alignment horizontal="left"/>
    </xf>
    <xf applyNumberFormat="1" applyFont="1" applyBorder="1" applyProtection="1" fontId="7" numFmtId="38" fillId="0" borderId="40" xfId="1">
      <protection locked="0"/>
    </xf>
    <xf applyNumberFormat="1" applyFont="1" applyBorder="1" applyProtection="1" fontId="7" numFmtId="164" fillId="0" borderId="11" xfId="1">
      <protection locked="0"/>
    </xf>
    <xf applyNumberFormat="1" applyFont="1" applyBorder="1" applyProtection="1" fontId="7" numFmtId="164" fillId="0" borderId="12" xfId="1">
      <protection locked="0"/>
    </xf>
    <xf applyFont="1" applyBorder="1" applyProtection="1" fontId="8" numFmtId="0" fillId="0" borderId="41" xfId="0" quotePrefix="1"/>
    <xf applyFont="1" applyBorder="1" applyProtection="1" fontId="8" numFmtId="0" fillId="0" borderId="42" xfId="0"/>
    <xf applyFont="1" applyAlignment="1" applyProtection="1" fontId="17" numFmtId="0" fillId="0" borderId="0" xfId="2"/>
    <xf applyFont="1" applyBorder="1" applyAlignment="1" applyProtection="1" fontId="8" numFmtId="0" fillId="0" borderId="43" xfId="0" quotePrefix="1">
      <alignment horizontal="left"/>
    </xf>
    <xf applyFont="1" applyBorder="1" applyAlignment="1" applyProtection="1" fontId="9" numFmtId="0" fillId="0" borderId="44" xfId="0"/>
    <xf applyFont="1" applyBorder="1" applyAlignment="1" applyProtection="1" fontId="8" numFmtId="0" fillId="0" borderId="44" xfId="0"/>
    <xf applyNumberFormat="1" applyFont="1" applyBorder="1" applyProtection="1" fontId="7" numFmtId="38" fillId="0" borderId="45" xfId="1"/>
    <xf applyNumberFormat="1" applyFont="1" applyBorder="1" applyProtection="1" fontId="7" numFmtId="164" fillId="0" borderId="46" xfId="1"/>
    <xf applyNumberFormat="1" applyFont="1" applyBorder="1" applyProtection="1" fontId="7" numFmtId="164" fillId="0" borderId="47" xfId="1"/>
    <xf applyNumberFormat="1" applyFont="1" applyFill="1" applyBorder="1" applyProtection="1" fontId="7" numFmtId="164" fillId="0" borderId="48" xfId="1"/>
    <xf applyNumberFormat="1" applyFont="1" applyFill="1" applyBorder="1" applyProtection="1" fontId="7" numFmtId="164" fillId="0" borderId="49" xfId="1"/>
    <xf applyFont="1" applyBorder="1" applyAlignment="1" applyProtection="1" fontId="8" numFmtId="0" fillId="0" borderId="0" xfId="0" quotePrefix="1">
      <alignment horizontal="left"/>
    </xf>
    <xf applyFont="1" applyBorder="1" applyAlignment="1" applyProtection="1" fontId="9" numFmtId="0" fillId="0" borderId="0" xfId="0"/>
    <xf applyFont="1" applyBorder="1" applyAlignment="1" applyProtection="1" fontId="8" numFmtId="0" fillId="0" borderId="0" xfId="0"/>
    <xf applyNumberFormat="1" applyFont="1" applyBorder="1" applyProtection="1" fontId="7" numFmtId="38" fillId="0" borderId="0" xfId="1"/>
    <xf applyNumberFormat="1" applyFont="1" applyBorder="1" applyProtection="1" fontId="7" numFmtId="164" fillId="0" borderId="0" xfId="1"/>
    <xf applyFont="1" applyBorder="1" applyAlignment="1" applyProtection="1" fontId="9" numFmtId="0" fillId="0" borderId="43" xfId="0" quotePrefix="1">
      <alignment horizontal="left"/>
    </xf>
    <xf applyFont="1" applyBorder="1" applyAlignment="1" applyProtection="1" fontId="13" numFmtId="0" fillId="0" borderId="44" xfId="0"/>
    <xf applyFont="1" applyBorder="1" applyAlignment="1" applyProtection="1" fontId="13" numFmtId="0" fillId="0" borderId="44" xfId="2"/>
    <xf applyFont="1" applyBorder="1" applyAlignment="1" applyProtection="1" fontId="8" numFmtId="0" fillId="0" borderId="0" xfId="0">
      <alignment horizontal="left"/>
    </xf>
    <xf applyFont="1" applyBorder="1" applyAlignment="1" applyProtection="1" fontId="8" numFmtId="0" fillId="0" borderId="50" xfId="0"/>
    <xf applyFont="1" applyBorder="1" applyAlignment="1" applyProtection="1" fontId="9" numFmtId="0" fillId="0" borderId="17" xfId="0" quotePrefix="1">
      <alignment horizontal="left"/>
    </xf>
    <xf applyFont="1" applyBorder="1" applyAlignment="1" applyProtection="1" fontId="18" numFmtId="0" fillId="0" borderId="15" xfId="2"/>
    <xf applyFont="1" applyBorder="1" applyAlignment="1" applyProtection="1" fontId="8" numFmtId="0" fillId="0" borderId="15" xfId="0"/>
    <xf applyFont="1" applyBorder="1" applyAlignment="1" applyProtection="1" fontId="18" numFmtId="0" fillId="0" borderId="4" xfId="2"/>
    <xf applyFont="1" applyBorder="1" applyAlignment="1" applyProtection="1" fontId="8" numFmtId="0" fillId="0" borderId="4" xfId="0"/>
    <xf applyFont="1" applyBorder="1" applyAlignment="1" applyProtection="1" fontId="9" numFmtId="0" fillId="0" borderId="51" xfId="0" quotePrefix="1">
      <alignment horizontal="left"/>
    </xf>
    <xf applyFont="1" applyBorder="1" applyProtection="1" fontId="18" numFmtId="0" fillId="0" borderId="32" xfId="0"/>
    <xf applyFont="1" applyBorder="1" applyAlignment="1" applyProtection="1" fontId="8" numFmtId="0" fillId="0" borderId="32" xfId="0"/>
    <xf applyFont="1" applyBorder="1" applyProtection="1" fontId="13" numFmtId="0" fillId="0" borderId="44" xfId="0"/>
    <xf applyFont="1" applyBorder="1" applyAlignment="1" applyProtection="1" fontId="19" numFmtId="0" fillId="0" borderId="0" xfId="0"/>
    <xf applyNumberFormat="1" applyFont="1" applyBorder="1" applyProtection="1" fontId="15" numFmtId="38" fillId="0" borderId="0" xfId="1"/>
    <xf applyFont="1" applyBorder="1" applyProtection="1" fontId="20" numFmtId="0" fillId="0" borderId="0" xfId="0"/>
    <xf applyNumberFormat="1" applyFont="1" applyFill="1" applyBorder="1" fontId="7" numFmtId="38" fillId="0" borderId="0" xfId="1"/>
    <xf applyFont="1" applyBorder="1" fontId="8" numFmtId="0" fillId="0" borderId="0" xfId="0"/>
    <xf applyFont="1" fontId="21" numFmtId="0" fillId="0" borderId="0" xfId="0"/>
    <xf applyNumberFormat="1" applyFont="1" fontId="21" numFmtId="38" fillId="0" borderId="0" xfId="1"/>
    <xf applyFont="1" fontId="22" numFmtId="0" fillId="0" borderId="0" xfId="0"/>
    <xf applyFont="1" fontId="7" numFmtId="0" fillId="0" borderId="0" xfId="0"/>
    <xf applyFont="1" applyBorder="1" fontId="8" numFmtId="0" fillId="0" borderId="4" xfId="0"/>
    <xf applyNumberFormat="1" applyFont="1" applyFill="1" applyBorder="1" applyProtection="1" fontId="7" numFmtId="164" fillId="0" borderId="49" xfId="1">
      <protection locked="0"/>
    </xf>
    <xf applyNumberFormat="1" applyFont="1" applyBorder="1" applyProtection="1" fontId="7" numFmtId="164" fillId="0" borderId="7" xfId="1">
      <protection locked="0"/>
    </xf>
    <xf applyNumberFormat="1" applyFont="1" applyBorder="1" applyProtection="1" fontId="7" numFmtId="164" fillId="0" borderId="53" xfId="1">
      <protection locked="0"/>
    </xf>
    <xf applyNumberFormat="1" applyFont="1" applyFill="1" applyBorder="1" applyProtection="1" fontId="7" numFmtId="164" fillId="2" borderId="54" xfId="1"/>
    <xf applyNumberFormat="1" applyFont="1" applyBorder="1" applyProtection="1" fontId="7" numFmtId="164" fillId="0" borderId="55" xfId="1">
      <protection locked="0"/>
    </xf>
    <xf applyNumberFormat="1" applyFont="1" applyFill="1" applyBorder="1" applyProtection="1" fontId="7" numFmtId="164" fillId="2" borderId="56" xfId="1"/>
    <xf applyFont="1" applyFill="1" applyAlignment="1" applyProtection="1" fontId="8" numFmtId="0" fillId="0" borderId="0" xfId="0">
      <alignment horizontal="centerContinuous"/>
    </xf>
    <xf applyFont="1" applyBorder="1" applyAlignment="1" applyProtection="1" fontId="6" numFmtId="0" fillId="0" borderId="0" xfId="0">
      <alignment horizontal="centerContinuous"/>
    </xf>
    <xf applyFont="1" applyBorder="1" applyAlignment="1" applyProtection="1" fontId="10" numFmtId="0" fillId="0" borderId="0" xfId="0">
      <alignment horizontal="centerContinuous"/>
    </xf>
    <xf applyFont="1" applyBorder="1" applyAlignment="1" applyProtection="1" fontId="8" numFmtId="0" fillId="0" borderId="1" xfId="0">
      <alignment horizontal="centerContinuous"/>
    </xf>
    <xf applyFont="1" applyBorder="1" applyAlignment="1" applyProtection="1" fontId="8" numFmtId="0" fillId="0" borderId="1" xfId="0">
      <alignment horizontal="left"/>
      <protection locked="0"/>
    </xf>
    <xf applyFont="1" applyBorder="1" applyProtection="1" fontId="16" numFmtId="0" fillId="0" borderId="15" xfId="0"/>
    <xf applyFont="1" applyBorder="1" applyProtection="1" fontId="24" numFmtId="0" fillId="0" borderId="0" xfId="0" quotePrefix="1"/>
    <xf applyFont="1" applyProtection="1" fontId="23" numFmtId="0" fillId="0" borderId="0" xfId="0"/>
    <xf applyFont="1" applyProtection="1" fontId="24" numFmtId="0" fillId="0" borderId="0" xfId="0"/>
    <xf applyNumberFormat="1" applyFont="1" applyFill="1" applyBorder="1" applyProtection="1" fontId="7" numFmtId="164" fillId="0" borderId="50" xfId="1"/>
    <xf applyNumberFormat="1" applyFont="1" applyFill="1" applyBorder="1" applyProtection="1" fontId="7" numFmtId="38" fillId="2" borderId="0" xfId="1"/>
    <xf applyNumberFormat="1" applyFont="1" applyFill="1" applyBorder="1" applyProtection="1" fontId="7" numFmtId="164" fillId="2" borderId="0" xfId="1"/>
    <xf applyNumberFormat="1" applyFont="1" applyFill="1" applyBorder="1" applyProtection="1" fontId="7" numFmtId="38" fillId="2" borderId="44" xfId="1"/>
    <xf applyNumberFormat="1" applyFont="1" applyFill="1" applyBorder="1" applyProtection="1" fontId="7" numFmtId="164" fillId="2" borderId="44" xfId="1"/>
    <xf applyNumberFormat="1" applyFont="1" applyFill="1" applyBorder="1" applyProtection="1" fontId="7" numFmtId="164" fillId="2" borderId="57" xfId="1"/>
    <xf applyNumberFormat="1" applyFont="1" applyFill="1" applyBorder="1" applyProtection="1" fontId="7" numFmtId="38" fillId="2" borderId="43" xfId="1"/>
    <xf applyNumberFormat="1" applyFont="1" applyFill="1" applyBorder="1" applyProtection="1" fontId="7" numFmtId="164" fillId="2" borderId="58" xfId="1"/>
    <xf applyNumberFormat="1" applyFont="1" applyFill="1" applyBorder="1" applyProtection="1" fontId="7" numFmtId="164" fillId="2" borderId="59" xfId="1"/>
    <xf applyNumberFormat="1" applyFont="1" applyFill="1" applyBorder="1" applyProtection="1" fontId="7" numFmtId="38" fillId="2" borderId="17" xfId="1"/>
    <xf applyNumberFormat="1" applyFont="1" applyFill="1" applyBorder="1" applyProtection="1" fontId="7" numFmtId="38" fillId="2" borderId="60" xfId="1"/>
    <xf applyNumberFormat="1" applyFont="1" applyFill="1" applyBorder="1" applyProtection="1" fontId="7" numFmtId="164" fillId="2" borderId="61" xfId="1"/>
    <xf applyNumberFormat="1" applyFont="1" applyFill="1" applyBorder="1" applyProtection="1" fontId="7" numFmtId="38" fillId="2" borderId="61" xfId="1"/>
    <xf applyNumberFormat="1" applyFont="1" applyFill="1" applyBorder="1" applyProtection="1" fontId="7" numFmtId="164" fillId="2" borderId="62" xfId="1"/>
    <xf applyNumberFormat="1" applyFont="1" applyFill="1" applyBorder="1" applyProtection="1" fontId="7" numFmtId="164" fillId="0" borderId="63" xfId="1">
      <protection locked="0"/>
    </xf>
    <xf applyNumberFormat="1" applyFont="1" applyFill="1" applyBorder="1" applyProtection="1" fontId="7" numFmtId="164" fillId="0" borderId="64" xfId="1">
      <protection locked="0"/>
    </xf>
    <xf applyNumberFormat="1" applyFont="1" applyFill="1" applyBorder="1" applyProtection="1" fontId="7" numFmtId="164" fillId="0" borderId="65" xfId="1">
      <protection locked="0"/>
    </xf>
    <xf applyFont="1" applyAlignment="1" fontId="8" numFmtId="0" fillId="0" borderId="0" xfId="0"/>
    <xf applyFont="1" applyBorder="1" applyAlignment="1" applyProtection="1" fontId="9" numFmtId="0" fillId="0" borderId="0" xfId="0" quotePrefix="1"/>
    <xf applyNumberFormat="1" applyFont="1" applyFill="1" applyBorder="1" applyAlignment="1" applyProtection="1" fontId="7" numFmtId="38" fillId="0" borderId="0" xfId="1"/>
    <xf applyFont="1" applyAlignment="1" applyProtection="1" fontId="8" numFmtId="0" fillId="0" borderId="0" xfId="0"/>
    <xf applyFont="1" applyBorder="1" applyAlignment="1" applyProtection="1" fontId="9" numFmtId="0" fillId="0" borderId="18" xfId="0" quotePrefix="1"/>
    <xf applyFont="1" applyBorder="1" applyAlignment="1" applyProtection="1" fontId="8" numFmtId="0" fillId="0" borderId="16" xfId="0" quotePrefix="1"/>
    <xf applyFont="1" applyBorder="1" applyAlignment="1" applyProtection="1" fontId="8" numFmtId="0" fillId="0" borderId="4" xfId="0" quotePrefix="1"/>
    <xf applyFont="1" applyBorder="1" applyAlignment="1" applyProtection="1" fontId="8" numFmtId="0" fillId="0" borderId="33" xfId="0" quotePrefix="1"/>
    <xf applyFont="1" applyBorder="1" applyAlignment="1" applyProtection="1" fontId="8" numFmtId="0" fillId="0" borderId="15" xfId="0" quotePrefix="1"/>
    <xf applyFont="1" applyBorder="1" applyAlignment="1" applyProtection="1" fontId="8" numFmtId="0" fillId="0" borderId="21" xfId="0" quotePrefix="1"/>
    <xf applyFont="1" applyBorder="1" applyAlignment="1" applyProtection="1" fontId="8" numFmtId="0" fillId="0" borderId="0" xfId="0" quotePrefix="1"/>
    <xf applyFont="1" applyBorder="1" applyAlignment="1" applyProtection="1" fontId="8" numFmtId="0" fillId="0" borderId="33" xfId="0"/>
    <xf applyFont="1" applyBorder="1" applyAlignment="1" fontId="8" numFmtId="0" fillId="0" borderId="0" xfId="0"/>
    <xf applyFont="1" applyBorder="1" applyAlignment="1" applyProtection="1" fontId="8" numFmtId="0" fillId="0" borderId="21" xfId="0"/>
    <xf applyFont="1" applyBorder="1" applyAlignment="1" applyProtection="1" fontId="9" numFmtId="0" fillId="0" borderId="33" xfId="0" quotePrefix="1"/>
    <xf applyNumberFormat="1" applyFont="1" applyFill="1" applyBorder="1" applyAlignment="1" fontId="7" numFmtId="38" fillId="0" borderId="0" xfId="1"/>
    <xf applyFont="1" applyBorder="1" applyAlignment="1" applyProtection="1" fontId="26" numFmtId="0" fillId="0" borderId="66" xfId="0">
      <alignment horizontal="center"/>
    </xf>
    <xf applyFont="1" applyBorder="1" applyAlignment="1" applyProtection="1" fontId="26" numFmtId="0" fillId="0" borderId="9" xfId="0">
      <alignment horizontal="center"/>
    </xf>
    <xf applyFont="1" applyBorder="1" applyAlignment="1" applyProtection="1" fontId="7" numFmtId="0" fillId="0" borderId="15" xfId="0"/>
    <xf applyFont="1" applyBorder="1" applyAlignment="1" applyProtection="1" fontId="7" numFmtId="0" fillId="0" borderId="4" xfId="0"/>
    <xf applyFont="1" applyBorder="1" fontId="11" numFmtId="0" fillId="0" borderId="67" xfId="0"/>
    <xf applyFont="1" applyBorder="1" applyAlignment="1" fontId="9" numFmtId="0" fillId="0" borderId="11" xfId="0">
      <alignment horizontal="center"/>
    </xf>
    <xf applyFont="1" applyBorder="1" fontId="7" numFmtId="0" fillId="0" borderId="23" xfId="0"/>
    <xf applyFont="1" applyBorder="1" fontId="7" numFmtId="0" fillId="0" borderId="20" xfId="0"/>
    <xf applyFont="1" applyBorder="1" applyAlignment="1" applyProtection="1" fontId="7" numFmtId="0" fillId="0" borderId="25" xfId="0"/>
    <xf applyFont="1" applyBorder="1" applyAlignment="1" applyProtection="1" fontId="7" numFmtId="0" fillId="0" borderId="34" xfId="0"/>
    <xf applyFont="1" applyBorder="1" fontId="7" numFmtId="0" fillId="0" borderId="34" xfId="0"/>
    <xf applyFont="1" applyBorder="1" applyAlignment="1" applyProtection="1" fontId="7" numFmtId="0" fillId="0" borderId="7" xfId="0"/>
    <xf applyFont="1" applyBorder="1" applyAlignment="1" applyProtection="1" fontId="27" numFmtId="0" fillId="0" borderId="68" xfId="0"/>
    <xf applyFont="1" applyBorder="1" applyAlignment="1" applyProtection="1" fontId="27" numFmtId="0" fillId="0" borderId="4" xfId="0"/>
    <xf applyFont="1" applyBorder="1" applyAlignment="1" applyProtection="1" fontId="27" numFmtId="0" fillId="0" borderId="24" xfId="0"/>
    <xf applyFont="1" applyBorder="1" applyAlignment="1" applyProtection="1" fontId="27" numFmtId="0" fillId="0" borderId="15" xfId="0"/>
    <xf applyFont="1" applyBorder="1" applyAlignment="1" applyProtection="1" fontId="27" numFmtId="0" fillId="0" borderId="2" xfId="0"/>
    <xf applyFont="1" applyBorder="1" applyAlignment="1" applyProtection="1" fontId="27" numFmtId="0" fillId="0" borderId="33" xfId="0"/>
    <xf applyFont="1" applyBorder="1" applyAlignment="1" applyProtection="1" fontId="27" numFmtId="0" fillId="0" borderId="52" xfId="0"/>
    <xf applyFont="1" applyBorder="1" fontId="24" numFmtId="0" fillId="0" borderId="2" xfId="0"/>
    <xf applyFont="1" applyBorder="1" applyAlignment="1" applyProtection="1" fontId="27" numFmtId="0" fillId="0" borderId="16" xfId="0"/>
    <xf applyNumberFormat="1" applyFont="1" applyFill="1" applyBorder="1" applyAlignment="1" applyProtection="1" fontId="7" numFmtId="38" fillId="0" borderId="69" xfId="1">
      <protection locked="0"/>
    </xf>
    <xf applyNumberFormat="1" applyFont="1" applyFill="1" applyBorder="1" applyProtection="1" fontId="7" numFmtId="38" fillId="0" borderId="69" xfId="1">
      <protection locked="0"/>
    </xf>
    <xf applyFont="1" applyBorder="1" applyAlignment="1" fontId="7" numFmtId="0" fillId="0" borderId="0" xfId="0"/>
    <xf applyFont="1" applyFill="1" fontId="8" numFmtId="0" fillId="2" borderId="0" xfId="0"/>
    <xf applyFont="1" applyFill="1" applyBorder="1" applyAlignment="1" applyProtection="1" fontId="9" numFmtId="0" fillId="2" borderId="18" xfId="0" quotePrefix="1">
      <alignment horizontal="left"/>
    </xf>
    <xf applyFont="1" applyFill="1" applyBorder="1" applyProtection="1" fontId="8" numFmtId="0" fillId="2" borderId="32" xfId="0"/>
    <xf applyNumberFormat="1" applyFont="1" applyFill="1" applyBorder="1" applyAlignment="1" applyProtection="1" fontId="9" numFmtId="38" fillId="2" borderId="18" xfId="1">
      <alignment horizontal="center"/>
    </xf>
    <xf applyNumberFormat="1" applyFont="1" applyFill="1" applyBorder="1" applyAlignment="1" applyProtection="1" fontId="9" numFmtId="38" fillId="2" borderId="52" xfId="1">
      <alignment horizontal="center"/>
    </xf>
    <xf applyFont="1" applyFill="1" applyBorder="1" applyAlignment="1" applyProtection="1" fontId="9" numFmtId="0" fillId="2" borderId="39" xfId="0">
      <alignment horizontal="center"/>
    </xf>
    <xf applyFont="1" applyFill="1" applyBorder="1" applyAlignment="1" applyProtection="1" fontId="9" numFmtId="0" fillId="2" borderId="12" xfId="0">
      <alignment horizontal="center"/>
    </xf>
    <xf applyFont="1" applyFill="1" applyBorder="1" applyAlignment="1" applyProtection="1" fontId="8" numFmtId="0" fillId="2" borderId="16" xfId="0" quotePrefix="1">
      <alignment horizontal="left"/>
    </xf>
    <xf applyFont="1" applyFill="1" applyBorder="1" applyAlignment="1" applyProtection="1" fontId="8" numFmtId="0" fillId="2" borderId="4" xfId="0" quotePrefix="1">
      <alignment horizontal="left"/>
    </xf>
    <xf applyNumberFormat="1" applyFont="1" applyFill="1" applyBorder="1" applyProtection="1" fontId="7" numFmtId="38" fillId="2" borderId="2" xfId="1"/>
    <xf applyFont="1" applyFill="1" applyBorder="1" applyAlignment="1" applyProtection="1" fontId="8" numFmtId="0" fillId="2" borderId="33" xfId="0" quotePrefix="1">
      <alignment horizontal="left"/>
    </xf>
    <xf applyFont="1" applyFill="1" applyBorder="1" applyAlignment="1" applyProtection="1" fontId="8" numFmtId="0" fillId="2" borderId="15" xfId="0" quotePrefix="1">
      <alignment horizontal="left"/>
    </xf>
    <xf applyFont="1" applyFill="1" applyBorder="1" applyProtection="1" fontId="7" numFmtId="0" fillId="2" borderId="33" xfId="0"/>
    <xf applyFont="1" applyFill="1" applyBorder="1" applyProtection="1" fontId="8" numFmtId="0" fillId="2" borderId="38" xfId="0"/>
    <xf applyFont="1" applyFill="1" applyBorder="1" applyAlignment="1" applyProtection="1" fontId="8" numFmtId="0" fillId="2" borderId="21" xfId="0" quotePrefix="1">
      <alignment horizontal="left"/>
    </xf>
    <xf applyFont="1" applyFill="1" applyBorder="1" applyAlignment="1" applyProtection="1" fontId="8" numFmtId="0" fillId="2" borderId="0" xfId="0" quotePrefix="1">
      <alignment horizontal="left"/>
    </xf>
    <xf applyFont="1" applyFill="1" applyBorder="1" applyAlignment="1" applyProtection="1" fontId="8" numFmtId="0" fillId="2" borderId="36" xfId="0" quotePrefix="1">
      <alignment horizontal="left"/>
    </xf>
    <xf applyFont="1" applyFill="1" applyBorder="1" applyAlignment="1" applyProtection="1" fontId="8" numFmtId="0" fillId="2" borderId="5" xfId="0" quotePrefix="1">
      <alignment horizontal="left"/>
    </xf>
    <xf applyFont="1" applyAlignment="1" applyProtection="1" fontId="14" numFmtId="0" fillId="0" borderId="0" xfId="0">
      <alignment horizontal="right"/>
    </xf>
    <xf applyFont="1" applyBorder="1" applyAlignment="1" applyProtection="1" fontId="14" numFmtId="0" fillId="0" borderId="1" xfId="0">
      <alignment horizontal="left"/>
    </xf>
    <xf applyFont="1" applyBorder="1" applyAlignment="1" applyProtection="1" fontId="28" numFmtId="0" fillId="0" borderId="0" xfId="2" quotePrefix="1">
      <alignment horizontal="left"/>
    </xf>
    <xf applyFont="1" applyBorder="1" applyAlignment="1" applyProtection="1" fontId="28" numFmtId="0" fillId="0" borderId="1" xfId="2" quotePrefix="1">
      <alignment horizontal="left"/>
    </xf>
    <xf applyFont="1" applyFill="1" applyBorder="1" fontId="9" numFmtId="0" fillId="2" borderId="18" xfId="0"/>
    <xf applyFont="1" applyFill="1" applyBorder="1" fontId="9" numFmtId="0" fillId="2" borderId="70" xfId="0"/>
    <xf applyFont="1" applyFill="1" applyBorder="1" fontId="9" numFmtId="0" fillId="2" borderId="71" xfId="0"/>
    <xf applyFont="1" applyFill="1" applyBorder="1" applyAlignment="1" fontId="9" numFmtId="0" fillId="2" borderId="39" xfId="0">
      <alignment horizontal="left"/>
    </xf>
    <xf applyNumberFormat="1" applyFont="1" applyFill="1" applyBorder="1" applyAlignment="1" applyProtection="1" fontId="7" numFmtId="38" fillId="0" borderId="72" xfId="1"/>
    <xf applyFont="1" applyBorder="1" applyAlignment="1" applyProtection="1" fontId="9" numFmtId="0" fillId="0" borderId="16" xfId="0"/>
    <xf applyFont="1" applyFill="1" applyBorder="1" applyAlignment="1" applyProtection="1" fontId="8" numFmtId="0" fillId="2" borderId="0" xfId="0"/>
    <xf applyFont="1" applyFill="1" applyBorder="1" applyAlignment="1" applyProtection="1" fontId="9" numFmtId="0" fillId="2" borderId="33" xfId="0"/>
    <xf applyFont="1" applyBorder="1" applyAlignment="1" applyProtection="1" fontId="30" numFmtId="0" fillId="0" borderId="73" xfId="0">
      <alignment horizontal="center"/>
    </xf>
    <xf applyFont="1" applyBorder="1" applyAlignment="1" applyProtection="1" fontId="14" numFmtId="0" fillId="0" borderId="5" xfId="0">
      <alignment horizontal="center"/>
      <protection locked="0"/>
    </xf>
    <xf applyNumberFormat="1" applyFont="1" applyFill="1" applyBorder="1" applyAlignment="1" applyProtection="1" fontId="29" numFmtId="38" fillId="0" borderId="74" xfId="1"/>
    <xf applyNumberFormat="1" applyFont="1" applyFill="1" applyBorder="1" applyAlignment="1" applyProtection="1" fontId="16" numFmtId="38" fillId="0" borderId="75" xfId="1"/>
    <xf applyFont="1" applyBorder="1" applyAlignment="1" applyProtection="1" fontId="30" numFmtId="0" fillId="0" borderId="76" xfId="0">
      <alignment horizontal="center"/>
    </xf>
    <xf applyNumberFormat="1" applyFont="1" applyFill="1" applyBorder="1" applyAlignment="1" applyProtection="1" fontId="7" numFmtId="38" fillId="0" borderId="77" xfId="1">
      <protection locked="0"/>
    </xf>
    <xf applyNumberFormat="1" applyFont="1" applyFill="1" applyBorder="1" applyProtection="1" fontId="7" numFmtId="38" fillId="0" borderId="77" xfId="1">
      <protection locked="0"/>
    </xf>
    <xf applyNumberFormat="1" applyFont="1" applyFill="1" applyBorder="1" applyProtection="1" fontId="7" numFmtId="38" fillId="0" borderId="78" xfId="1">
      <protection locked="0"/>
    </xf>
    <xf applyNumberFormat="1" applyFont="1" applyFill="1" applyBorder="1" applyProtection="1" fontId="7" numFmtId="38" fillId="0" borderId="79" xfId="1">
      <protection locked="0"/>
    </xf>
    <xf applyFont="1" applyBorder="1" applyAlignment="1" applyProtection="1" fontId="16" numFmtId="0" fillId="0" borderId="4" xfId="2">
      <alignment horizontal="left"/>
    </xf>
    <xf applyFont="1" applyAlignment="1" applyProtection="1" fontId="15" numFmtId="0" fillId="0" borderId="0" xfId="0">
      <alignment horizontal="left"/>
    </xf>
    <xf applyNumberFormat="1" applyFont="1" fontId="7" numFmtId="0" fillId="0" borderId="0" xfId="1"/>
    <xf applyNumberFormat="1" applyFont="1" applyFill="1" applyBorder="1" applyProtection="1" fontId="32" numFmtId="38" fillId="0" borderId="0" xfId="1"/>
    <xf applyNumberFormat="1" applyFont="1" applyBorder="1" applyProtection="1" fontId="32" numFmtId="38" fillId="0" borderId="0" xfId="1"/>
    <xf applyFont="1" applyProtection="1" fontId="32" numFmtId="0" fillId="0" borderId="0" xfId="0"/>
    <xf applyNumberFormat="1" applyFont="1" applyBorder="1" applyAlignment="1" applyProtection="1" fontId="7" numFmtId="9" fillId="0" borderId="0" xfId="3">
      <alignment horizontal="center"/>
      <protection locked="0"/>
    </xf>
    <xf applyFont="1" applyBorder="1" applyAlignment="1" applyProtection="1" fontId="8" numFmtId="0" fillId="0" borderId="1" xfId="0">
      <alignment horizontal="right"/>
    </xf>
    <xf applyFont="1" applyBorder="1" applyAlignment="1" applyProtection="1" fontId="8" numFmtId="0" fillId="0" borderId="0" xfId="0">
      <alignment horizontal="right"/>
    </xf>
    <xf applyFont="1" applyBorder="1" applyAlignment="1" applyProtection="1" fontId="34" numFmtId="0" fillId="0" borderId="0" xfId="0">
      <alignment horizontal="right"/>
    </xf>
    <xf applyFont="1" applyBorder="1" applyAlignment="1" fontId="37" numFmtId="0" fillId="0" borderId="2" xfId="0">
      <alignment horizontal="right"/>
    </xf>
    <xf applyNumberFormat="1" applyFont="1" applyBorder="1" applyAlignment="1" applyProtection="1" fontId="7" numFmtId="9" fillId="0" borderId="9" xfId="3">
      <alignment horizontal="center"/>
      <protection locked="0"/>
    </xf>
    <xf applyFont="1" applyBorder="1" applyProtection="1" fontId="8" numFmtId="0" fillId="0" borderId="14" xfId="0"/>
    <xf applyFont="1" applyBorder="1" applyProtection="1" fontId="7" numFmtId="0" fillId="0" borderId="14" xfId="0"/>
    <xf applyFont="1" applyBorder="1" applyAlignment="1" applyProtection="1" fontId="28" numFmtId="0" fillId="0" borderId="14" xfId="2" quotePrefix="1">
      <alignment horizontal="left"/>
    </xf>
    <xf applyFont="1" applyBorder="1" applyAlignment="1" applyProtection="1" fontId="8" numFmtId="0" fillId="0" borderId="14" xfId="0">
      <alignment horizontal="right"/>
    </xf>
    <xf applyNumberFormat="1" applyFont="1" applyBorder="1" applyAlignment="1" applyProtection="1" fontId="7" numFmtId="9" fillId="0" borderId="14" xfId="3">
      <alignment horizontal="center"/>
      <protection locked="0"/>
    </xf>
    <xf applyBorder="1" applyAlignment="1" fontId="0" numFmtId="0" fillId="0" borderId="0" xfId="0"/>
    <xf applyFont="1" applyBorder="1" applyAlignment="1" applyProtection="1" fontId="14" numFmtId="0" fillId="0" borderId="0" xfId="0">
      <alignment horizontal="center"/>
      <protection locked="0"/>
    </xf>
    <xf applyFont="1" applyBorder="1" applyAlignment="1" fontId="38" numFmtId="0" fillId="0" borderId="0" xfId="0">
      <alignment horizontal="left"/>
    </xf>
    <xf applyNumberFormat="1" applyFont="1" applyFill="1" applyBorder="1" applyAlignment="1" applyProtection="1" fontId="22" numFmtId="38" fillId="0" borderId="0" xfId="4">
      <alignment horizontal="left"/>
    </xf>
    <xf applyFont="1" applyBorder="1" applyAlignment="1" fontId="22" numFmtId="0" fillId="0" borderId="1" xfId="5">
      <alignment horizontal="left"/>
    </xf>
    <xf applyFont="1" applyBorder="1" applyAlignment="1" applyProtection="1" fontId="14" numFmtId="0" fillId="0" borderId="38" xfId="5">
      <alignment horizontal="center"/>
      <protection locked="0"/>
    </xf>
    <xf applyFont="1" applyFill="1" applyBorder="1" applyProtection="1" fontId="8" numFmtId="0" fillId="2" borderId="5" xfId="0"/>
    <xf applyFont="1" applyBorder="1" applyAlignment="1" applyProtection="1" fontId="13" numFmtId="0" fillId="0" borderId="4" xfId="2">
      <alignment horizontal="center"/>
    </xf>
    <xf applyFont="1" applyBorder="1" applyAlignment="1" applyProtection="1" fontId="8" numFmtId="0" fillId="0" borderId="4" xfId="0">
      <alignment horizontal="center"/>
    </xf>
    <xf applyFont="1" applyBorder="1" applyAlignment="1" applyProtection="1" fontId="8" numFmtId="0" fillId="0" borderId="7" xfId="0">
      <alignment horizontal="center"/>
    </xf>
    <xf applyFont="1" applyBorder="1" applyAlignment="1" applyProtection="1" fontId="9" numFmtId="0" fillId="0" borderId="14" xfId="0">
      <alignment horizontal="center"/>
    </xf>
    <xf applyFont="1" applyBorder="1" applyAlignment="1" applyProtection="1" fontId="9" numFmtId="0" fillId="0" borderId="0" xfId="0">
      <alignment horizontal="center"/>
    </xf>
    <xf applyNumberFormat="1" applyFont="1" applyBorder="1" applyAlignment="1" applyProtection="1" fontId="8" numFmtId="164" fillId="0" borderId="7" xfId="0">
      <alignment horizontal="center"/>
    </xf>
    <xf applyNumberFormat="1" applyFont="1" applyBorder="1" applyAlignment="1" applyProtection="1" fontId="8" numFmtId="164" fillId="0" borderId="4" xfId="0">
      <alignment horizontal="center"/>
    </xf>
    <xf applyNumberFormat="1" applyFont="1" applyBorder="1" applyAlignment="1" applyProtection="1" fontId="8" numFmtId="164" fillId="0" borderId="5" xfId="0">
      <alignment horizontal="center"/>
    </xf>
    <xf applyNumberFormat="1" applyFont="1" applyBorder="1" applyProtection="1" fontId="9" numFmtId="0" fillId="0" borderId="16" xfId="0" quotePrefix="1"/>
    <xf applyNumberFormat="1" applyFont="1" applyBorder="1" applyAlignment="1" applyProtection="1" fontId="9" numFmtId="0" fillId="0" borderId="16" xfId="0" quotePrefix="1">
      <alignment horizontal="center"/>
    </xf>
    <xf applyNumberFormat="1" applyFont="1" applyBorder="1" applyAlignment="1" applyProtection="1" fontId="8" numFmtId="0" fillId="0" borderId="4" xfId="0" quotePrefix="1">
      <alignment horizontal="left" vertical="top"/>
    </xf>
    <xf applyNumberFormat="1" applyFont="1" applyBorder="1" applyAlignment="1" applyProtection="1" fontId="8" numFmtId="0" fillId="0" borderId="15" xfId="0" quotePrefix="1">
      <alignment horizontal="left" vertical="top"/>
    </xf>
    <xf applyFont="1" applyBorder="1" applyAlignment="1" applyProtection="1" fontId="8" numFmtId="0" fillId="0" borderId="1" xfId="0" quotePrefix="1">
      <alignment horizontal="left" vertical="top"/>
    </xf>
    <xf applyNumberFormat="1" applyFont="1" applyBorder="1" applyAlignment="1" applyProtection="1" fontId="8" numFmtId="0" fillId="0" borderId="0" xfId="0" quotePrefix="1">
      <alignment horizontal="left" vertical="top"/>
    </xf>
    <xf applyFont="1" applyBorder="1" applyAlignment="1" applyProtection="1" fontId="15" numFmtId="0" fillId="0" borderId="0" xfId="0">
      <alignment horizontal="left" vertical="top"/>
    </xf>
    <xf applyFont="1" applyBorder="1" applyAlignment="1" applyProtection="1" fontId="15" numFmtId="0" fillId="0" borderId="15" xfId="0">
      <alignment horizontal="left" vertical="top"/>
    </xf>
    <xf applyFont="1" applyBorder="1" applyAlignment="1" applyProtection="1" fontId="8" numFmtId="0" fillId="0" borderId="0" xfId="0" quotePrefix="1">
      <alignment horizontal="left" vertical="top"/>
    </xf>
    <xf applyNumberFormat="1" applyFont="1" applyAlignment="1" applyProtection="1" fontId="7" numFmtId="164" fillId="0" borderId="0" xfId="0">
      <alignment horizontal="centerContinuous"/>
    </xf>
    <xf applyFont="1" applyBorder="1" applyAlignment="1" applyProtection="1" fontId="9" numFmtId="0" fillId="0" borderId="8" xfId="0">
      <alignment horizontal="centerContinuous"/>
    </xf>
    <xf applyFont="1" applyBorder="1" applyAlignment="1" applyProtection="1" fontId="9" numFmtId="0" fillId="0" borderId="9" xfId="0">
      <alignment horizontal="centerContinuous"/>
    </xf>
    <xf fontId="43" numFmtId="0" fillId="6" borderId="0" xfId="13"/>
    <xf fontId="43" numFmtId="0" fillId="0" borderId="0" xfId="14"/>
    <xf fontId="43" numFmtId="0" fillId="8" borderId="0" xfId="15"/>
    <xf fontId="44" numFmtId="0" fillId="7" borderId="0" xfId="16"/>
    <xf applyFont="1" fontId="43" numFmtId="0" fillId="0" borderId="0" xfId="14"/>
    <xf applyNumberFormat="1" applyFont="1" applyAlignment="1" fontId="45" numFmtId="3" fillId="0" borderId="0" xfId="14">
      <alignment horizontal="right"/>
    </xf>
    <xf applyAlignment="1" fontId="43" numFmtId="0" fillId="0" borderId="0" xfId="14">
      <alignment horizontal="left"/>
    </xf>
    <xf applyFont="1" fontId="3" numFmtId="0" fillId="0" borderId="0" xfId="14"/>
    <xf applyFont="1" fontId="2" numFmtId="0" fillId="0" borderId="0" xfId="14"/>
    <xf applyNumberFormat="1" applyFont="1" applyAlignment="1" applyProtection="1" fontId="8" numFmtId="164" fillId="0" borderId="0" xfId="0">
      <alignment horizontal="centerContinuous"/>
    </xf>
    <xf applyNumberFormat="1" applyFont="1" applyBorder="1" applyAlignment="1" applyProtection="1" fontId="10" numFmtId="164" fillId="0" borderId="1" xfId="0">
      <alignment horizontal="centerContinuous"/>
    </xf>
    <xf applyNumberFormat="1" applyFont="1" applyBorder="1" applyAlignment="1" applyProtection="1" fontId="7" numFmtId="164" fillId="0" borderId="0" xfId="3">
      <alignment horizontal="center"/>
    </xf>
    <xf applyNumberFormat="1" applyFont="1" applyBorder="1" applyProtection="1" fontId="8" numFmtId="164" fillId="0" borderId="0" xfId="0"/>
    <xf applyNumberFormat="1" applyFont="1" applyBorder="1" applyProtection="1" fontId="8" numFmtId="164" fillId="0" borderId="1" xfId="0"/>
    <xf applyNumberFormat="1" applyFont="1" applyBorder="1" applyProtection="1" fontId="8" numFmtId="164" fillId="0" borderId="14" xfId="0"/>
    <xf applyNumberFormat="1" applyFont="1" applyBorder="1" applyProtection="1" fontId="8" numFmtId="164" fillId="0" borderId="5" xfId="0"/>
    <xf applyNumberFormat="1" applyFont="1" applyBorder="1" applyProtection="1" fontId="7" numFmtId="164" fillId="0" borderId="19" xfId="1">
      <protection locked="0"/>
    </xf>
    <xf applyNumberFormat="1" applyFont="1" applyBorder="1" applyAlignment="1" fontId="8" numFmtId="164" fillId="0" borderId="0" xfId="0">
      <alignment horizontal="right"/>
    </xf>
    <xf applyNumberFormat="1" applyFont="1" applyBorder="1" applyAlignment="1" applyProtection="1" fontId="8" numFmtId="164" fillId="0" borderId="0" xfId="0">
      <alignment horizontal="center"/>
      <protection locked="0"/>
    </xf>
    <xf applyNumberFormat="1" applyFont="1" applyBorder="1" applyAlignment="1" applyProtection="1" fontId="14" numFmtId="164" fillId="0" borderId="0" xfId="0">
      <alignment horizontal="center"/>
      <protection locked="0"/>
    </xf>
    <xf applyNumberFormat="1" applyBorder="1" applyAlignment="1" fontId="0" numFmtId="164" fillId="0" borderId="0" xfId="0"/>
    <xf applyNumberFormat="1" applyFont="1" applyFill="1" applyBorder="1" fontId="7" numFmtId="164" fillId="0" borderId="0" xfId="1"/>
    <xf applyNumberFormat="1" applyFont="1" fontId="21" numFmtId="164" fillId="0" borderId="0" xfId="1"/>
    <xf applyNumberFormat="1" applyFont="1" fontId="8" numFmtId="164" fillId="0" borderId="0" xfId="1"/>
    <xf applyNumberFormat="1" applyFont="1" fontId="8" numFmtId="164" fillId="0" borderId="0" xfId="0"/>
    <xf applyNumberFormat="1" applyFont="1" applyBorder="1" applyAlignment="1" applyProtection="1" fontId="10" numFmtId="164" fillId="0" borderId="0" xfId="0">
      <alignment horizontal="centerContinuous"/>
    </xf>
    <xf applyNumberFormat="1" applyFont="1" applyBorder="1" applyProtection="1" fontId="7" numFmtId="164" fillId="0" borderId="0" xfId="0"/>
    <xf applyNumberFormat="1" applyFont="1" applyBorder="1" applyProtection="1" fontId="9" numFmtId="164" fillId="0" borderId="0" xfId="0"/>
    <xf applyNumberFormat="1" applyFont="1" applyBorder="1" applyAlignment="1" applyProtection="1" fontId="13" numFmtId="164" fillId="0" borderId="4" xfId="2">
      <alignment horizontal="center"/>
    </xf>
    <xf applyNumberFormat="1" applyFont="1" applyBorder="1" applyAlignment="1" fontId="8" numFmtId="164" fillId="0" borderId="0" xfId="0"/>
    <xf applyNumberFormat="1" applyFont="1" applyBorder="1" applyAlignment="1" applyProtection="1" fontId="9" numFmtId="164" fillId="0" borderId="0" xfId="0">
      <alignment horizontal="right"/>
    </xf>
    <xf applyNumberFormat="1" applyFont="1" applyBorder="1" applyAlignment="1" applyProtection="1" fontId="12" numFmtId="164" fillId="0" borderId="0" xfId="0">
      <alignment horizontal="right"/>
    </xf>
    <xf applyFont="1" fontId="1" numFmtId="0" fillId="0" borderId="0" xfId="14"/>
    <xf applyFont="1" applyBorder="1" applyAlignment="1" applyProtection="1" fontId="35" numFmtId="0" fillId="0" borderId="0" xfId="0">
      <alignment horizontal="center" vertical="top" wrapText="1"/>
    </xf>
    <xf applyFont="1" applyBorder="1" applyAlignment="1" applyProtection="1" fontId="36" numFmtId="0" fillId="0" borderId="0" xfId="0">
      <alignment horizontal="left"/>
    </xf>
    <xf applyFont="1" applyFill="1" applyBorder="1" applyAlignment="1" applyProtection="1" fontId="8" numFmtId="0" fillId="2" borderId="80" xfId="0"/>
    <xf applyBorder="1" applyAlignment="1" fontId="0" numFmtId="0" fillId="0" borderId="81" xfId="0"/>
    <xf applyNumberFormat="1" applyFont="1" applyFill="1" applyBorder="1" applyAlignment="1" applyProtection="1" fontId="7" numFmtId="38" fillId="2" borderId="80" xfId="1"/>
    <xf applyBorder="1" applyAlignment="1" fontId="0" numFmtId="0" fillId="0" borderId="82" xfId="0"/>
  </cellXfs>
  <cellStyles count="17">
    <cellStyle name="20% - Accent5 2" xfId="15"/>
    <cellStyle name="60% - Accent1 2" xfId="13"/>
    <cellStyle name="Accent5 2" xfId="16"/>
    <cellStyle name="Comma" xfId="1" builtinId="3"/>
    <cellStyle name="Comma 3" xfId="4"/>
    <cellStyle name="Currency4White10RightRegLocked" xfId="12"/>
    <cellStyle name="Hyperlink" xfId="2" builtinId="8"/>
    <cellStyle name="LtBlueCenterBold10LockedWrapped" xfId="6"/>
    <cellStyle name="Normal" xfId="0" builtinId="0"/>
    <cellStyle name="Normal 2 2" xfId="14"/>
    <cellStyle name="Normal 3" xfId="5"/>
    <cellStyle name="PaleYellowWhiteLeftReg10WrappedInput" xfId="7"/>
    <cellStyle name="Percent" xfId="3" builtinId="5"/>
    <cellStyle name="WhiteCenterBold16Locked" xfId="8"/>
    <cellStyle name="WhiteCenterReg10Locked" xfId="10"/>
    <cellStyle name="WhiteLeftBold10Locked" xfId="9"/>
    <cellStyle name="WhiteLeftReg10LockedBlueText" xfId="11"/>
  </cellStyles>
  <dxfs count="0"/>
  <tableStyles count="0" defaultTableStyle="TableStyleMedium9" defaultPivotStyle="PivotStyleLight16"/>
  <extLst xmlns="http://schemas.openxmlformats.org/spreadsheetml/2006/main">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 standalone="yes"?><Relationships xmlns="http://schemas.openxmlformats.org/package/2006/relationships"><Relationship Id="flId3" Type="http://schemas.openxmlformats.org/officeDocument/2006/relationships/sharedStrings" Target="sharedStrings.xml" /><Relationship Id="flId5" Type="http://schemas.openxmlformats.org/officeDocument/2006/relationships/theme" Target="theme/theme1.xml" /><Relationship Id="flId4" Type="http://schemas.openxmlformats.org/officeDocument/2006/relationships/styles" Target="styles.xml" /><Relationship Id="flId1" Type="http://schemas.openxmlformats.org/officeDocument/2006/relationships/worksheet" Target="worksheets/sheet1.xml" /><Relationship Id="flId2" Type="http://schemas.openxmlformats.org/officeDocument/2006/relationships/worksheet" Target="worksheets/sheet2.xml" /><Relationship Id="flId8" Type="http://schemas.microsoft.com/office/2006/relationships/vbaProject" Target="/xl/vbaProject.bin" /></Relationships>
</file>

<file path=xl/drawings/_rels/drawing1.xml.rels>&#65279;<?xml version="1.0" encoding="utf-8" standalone="yes"?><Relationships xmlns="http://schemas.openxmlformats.org/package/2006/relationships"><Relationship Id="flId1" Type="http://schemas.openxmlformats.org/officeDocument/2006/relationships/image" Target="/xl/media/image1.png" /></Relationships>
</file>

<file path=xl/drawings/drawing1.xml><?xml version="1.0" encoding="utf-8"?>
<xdr:wsDr xmlns:a="http://schemas.openxmlformats.org/drawingml/2006/main" xmlns:xdr="http://schemas.openxmlformats.org/drawingml/2006/spreadsheetDrawing">
  <xdr:twoCellAnchor editAs="oneCell">
    <xdr:from>
      <xdr:col>0</xdr:col>
      <xdr:colOff>47625</xdr:colOff>
      <xdr:row>0</xdr:row>
      <xdr:rowOff>38100</xdr:rowOff>
    </xdr:from>
    <xdr:to>
      <xdr:col>1</xdr:col>
      <xdr:colOff>209550</xdr:colOff>
      <xdr:row>1</xdr:row>
      <xdr:rowOff>219075</xdr:rowOff>
    </xdr:to>
    <xdr:pic>
      <xdr:nvPicPr>
        <xdr:cNvPr id="1025" name="&lt;#Logo&gt;">
          <a:extLst>
            <a:ext xmlns:a="http://schemas.openxmlformats.org/drawingml/2006/main" uri="{FF2B5EF4-FFF2-40B4-BE49-F238E27FC236}">
              <a16:creationId xmlns:a16="http://schemas.microsoft.com/office/drawing/2014/main" id="{00000000-0008-0000-0000-000002000000}"/>
            </a:ext>
          </a:extLst>
        </xdr:cNvPr>
        <xdr:cNvPicPr>
          <a:picLocks noChangeAspect="1"/>
        </xdr:cNvPicPr>
      </xdr:nvPicPr>
      <xdr:blipFill rotWithShape="1">
        <a:blip xmlns:r="http://schemas.openxmlformats.org/officeDocument/2006/relationships" r:embed="flId1">
          <a:extLst>
            <a:ext uri="{28A0092B-C50C-407E-A947-70E740481C1C}">
              <a14:useLocalDpi xmlns:a14="http://schemas.microsoft.com/office/drawing/2010/main" val="0"/>
            </a:ext>
          </a:extLst>
        </a:blip>
        <a:srcRect/>
        <a:stretch>
          <a:fillRect/>
        </a:stretch>
      </xdr:blipFill>
      <xdr:spPr>
        <a:xfrm>
          <a:off x="0" y="0"/>
          <a:ext cx="0" cy="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&#65279;<?xml version="1.0" encoding="utf-8" standalone="yes"?><Relationships xmlns="http://schemas.openxmlformats.org/package/2006/relationships"><Relationship Id="flId1" Type="http://schemas.openxmlformats.org/officeDocument/2006/relationships/printerSettings" Target="/xl/printerSettings/printerSettings1.bin" /><Relationship Id="flId2" Type="http://schemas.openxmlformats.org/officeDocument/2006/relationships/drawing" Target="../drawings/drawing1.xml" /></Relationships>
</file>

<file path=xl/worksheets/_rels/sheet2.xml.rels>&#65279;<?xml version="1.0" encoding="utf-8" standalone="yes"?><Relationships xmlns="http://schemas.openxmlformats.org/package/2006/relationships"><Relationship Id="flId1" Type="http://schemas.openxmlformats.org/officeDocument/2006/relationships/printerSettings" Target="/xl/printerSettings/printerSettings2.bin" /></Relationships>
</file>

<file path=xl/worksheets/sheet1.xml><?xml version="1.0" encoding="utf-8"?>
<worksheet xmlns:r="http://schemas.openxmlformats.org/officeDocument/2006/relationships" xmlns="http://schemas.openxmlformats.org/spreadsheetml/2006/main">
  <sheetPr codeName="Sheet2"/>
  <dimension ref="A1:IV189"/>
  <sheetViews>
    <sheetView showGridLines="0" tabSelected="1" topLeftCell="A142" workbookViewId="0">
      <selection activeCell="I159" sqref="I159:I161"/>
    </sheetView>
  </sheetViews>
  <sheetFormatPr defaultColWidth="9.140625" defaultRowHeight="12.75"/>
  <cols>
    <col min="1" max="1" width="3.5703125" style="4" customWidth="1"/>
    <col min="2" max="2" width="3.7109375" style="4" customWidth="1"/>
    <col min="3" max="3" width="12.5703125" style="4" customWidth="1"/>
    <col min="4" max="4" width="9.85546875" style="4" customWidth="1"/>
    <col min="5" max="5" width="11" style="4" customWidth="1"/>
    <col min="6" max="6" width="12.7109375" style="4" customWidth="1"/>
    <col min="7" max="9" width="17.7109375" style="4" customWidth="1"/>
    <col min="10" max="10" width="12.7109375" style="4" customWidth="1"/>
    <col min="11" max="13" width="17.7109375" style="318" customWidth="1"/>
    <col min="14" max="14" width="8.7109375" style="4" customWidth="1"/>
    <col min="15" max="16" width="9.140625" style="4"/>
    <col min="17" max="17" width="9.85546875" style="4" customWidth="1"/>
    <col min="18" max="16384" width="9.140625" style="4"/>
  </cols>
  <sheetData>
    <row r="1" ht="18">
      <c r="A1" s="1" t="s">
        <v>99</v>
      </c>
      <c r="B1" s="2"/>
      <c r="C1" s="2"/>
      <c r="D1" s="2"/>
      <c r="E1" s="2"/>
      <c r="F1" s="2"/>
      <c r="G1" s="2"/>
      <c r="H1" s="2"/>
      <c r="I1" s="2"/>
      <c r="J1" s="2"/>
      <c r="K1" s="291"/>
      <c r="L1" s="291"/>
      <c r="M1" s="291"/>
      <c r="N1" s="3"/>
      <c r="O1" s="3"/>
      <c r="P1" s="3"/>
      <c r="Q1" s="3"/>
      <c r="R1" s="3"/>
      <c r="S1" s="3"/>
      <c r="T1" s="3"/>
      <c r="U1" s="3"/>
      <c r="V1" s="3"/>
      <c r="W1" s="3"/>
      <c r="X1" s="3"/>
      <c r="Y1" s="3"/>
      <c r="Z1" s="3"/>
      <c r="AA1" s="3"/>
      <c r="AB1" s="3"/>
      <c r="AC1" s="3"/>
      <c r="AD1" s="3"/>
    </row>
    <row r="2" s="3" customFormat="1" ht="18">
      <c r="A2" s="146" t="s">
        <v>111</v>
      </c>
      <c r="B2" s="147"/>
      <c r="C2" s="147"/>
      <c r="D2" s="147"/>
      <c r="E2" s="147"/>
      <c r="F2" s="147"/>
      <c r="G2" s="147"/>
      <c r="H2" s="147"/>
      <c r="I2" s="147"/>
      <c r="J2" s="147"/>
      <c r="K2" s="319"/>
      <c r="L2" s="319"/>
      <c r="M2" s="303"/>
    </row>
    <row r="3" s="8" customFormat="1" ht="18.75" thickBot="1">
      <c r="A3" s="230" t="s">
        <v>156</v>
      </c>
      <c r="B3" s="148"/>
      <c r="C3" s="148"/>
      <c r="D3" s="149" t="s">
        <v>257</v>
      </c>
      <c r="E3" s="7"/>
      <c r="F3" s="7"/>
      <c r="G3" s="230" t="s">
        <v>258</v>
      </c>
      <c r="H3" s="149" t="s">
        <v>259</v>
      </c>
      <c r="I3" s="7"/>
      <c r="J3" s="7"/>
      <c r="K3" s="304"/>
      <c r="L3" s="304"/>
      <c r="M3" s="304"/>
    </row>
    <row r="4" ht="13.5" thickTop="1">
      <c r="A4" s="251" t="s">
        <v>161</v>
      </c>
      <c r="B4" s="6"/>
      <c r="C4" s="6"/>
      <c r="D4" s="6"/>
      <c r="E4" s="6"/>
      <c r="F4" s="6"/>
      <c r="G4" s="6"/>
      <c r="H4" s="6"/>
      <c r="I4" s="6"/>
      <c r="J4" s="6"/>
      <c r="K4" s="303"/>
      <c r="L4" s="303"/>
      <c r="M4" s="303"/>
      <c r="N4" s="9"/>
    </row>
    <row r="5">
      <c r="A5" s="10" t="s">
        <v>0</v>
      </c>
      <c r="B5" s="6"/>
      <c r="C5" s="145"/>
      <c r="D5" s="11" t="s">
        <v>176</v>
      </c>
      <c r="E5" s="6"/>
      <c r="F5" s="12" t="s">
        <v>1</v>
      </c>
      <c r="G5" s="13"/>
      <c r="H5" s="13"/>
      <c r="I5" s="14"/>
      <c r="J5" s="15"/>
      <c r="K5" s="303"/>
      <c r="L5" s="303"/>
      <c r="M5" s="303"/>
      <c r="N5" s="9"/>
    </row>
    <row r="6">
      <c r="A6" s="5"/>
      <c r="B6" s="16" t="s">
        <v>2</v>
      </c>
      <c r="C6" s="145"/>
      <c r="D6" s="6"/>
      <c r="E6" s="6"/>
      <c r="F6" s="12" t="s">
        <v>3</v>
      </c>
      <c r="G6" s="13"/>
      <c r="H6" s="17"/>
      <c r="I6" s="14"/>
      <c r="J6" s="15"/>
      <c r="K6" s="303"/>
      <c r="L6" s="303"/>
      <c r="M6" s="303"/>
      <c r="N6" s="9"/>
    </row>
    <row r="7">
      <c r="A7" s="5"/>
      <c r="B7" s="16" t="s">
        <v>4</v>
      </c>
      <c r="C7" s="145"/>
      <c r="D7" s="6"/>
      <c r="E7" s="6"/>
      <c r="F7" s="18" t="s">
        <v>5</v>
      </c>
      <c r="G7" s="15"/>
      <c r="H7" s="15"/>
      <c r="I7" s="15"/>
      <c r="J7" s="19">
        <v>0</v>
      </c>
      <c r="K7" s="303"/>
      <c r="L7" s="303"/>
      <c r="M7" s="303"/>
      <c r="N7" s="9"/>
    </row>
    <row r="8">
      <c r="A8" s="10" t="s">
        <v>6</v>
      </c>
      <c r="B8" s="16"/>
      <c r="C8" s="16"/>
      <c r="D8" s="20" t="s">
        <v>7</v>
      </c>
      <c r="E8" s="10"/>
      <c r="F8" s="18" t="s">
        <v>8</v>
      </c>
      <c r="G8" s="15"/>
      <c r="H8" s="17"/>
      <c r="I8" s="13"/>
      <c r="J8" s="19">
        <v>0</v>
      </c>
      <c r="K8" s="65"/>
      <c r="L8" s="65"/>
      <c r="M8" s="305"/>
    </row>
    <row r="9">
      <c r="A9" s="16"/>
      <c r="B9" s="21" t="s">
        <v>9</v>
      </c>
      <c r="C9" s="15"/>
      <c r="D9" s="11"/>
      <c r="E9" s="12"/>
      <c r="F9" s="18" t="s">
        <v>10</v>
      </c>
      <c r="G9" s="15"/>
      <c r="H9" s="15"/>
      <c r="I9" s="15"/>
      <c r="J9" s="19">
        <v>0</v>
      </c>
      <c r="K9" s="320"/>
      <c r="L9" s="65"/>
      <c r="M9" s="306"/>
      <c r="N9" s="22"/>
    </row>
    <row r="10">
      <c r="A10" s="15"/>
      <c r="B10" s="23" t="s">
        <v>11</v>
      </c>
      <c r="C10" s="13"/>
      <c r="D10" s="11"/>
      <c r="E10" s="12"/>
      <c r="K10" s="320"/>
      <c r="L10" s="324"/>
      <c r="M10" s="306"/>
      <c r="N10" s="22"/>
    </row>
    <row r="11">
      <c r="A11" s="18"/>
      <c r="B11" s="23" t="s">
        <v>12</v>
      </c>
      <c r="C11" s="17"/>
      <c r="D11" s="11"/>
      <c r="E11" s="12"/>
      <c r="F11" s="12" t="s">
        <v>13</v>
      </c>
      <c r="G11" s="15"/>
      <c r="H11" s="15"/>
      <c r="I11" s="15"/>
      <c r="J11" s="18"/>
      <c r="K11" s="321"/>
      <c r="L11" s="325"/>
      <c r="M11" s="306"/>
      <c r="N11" s="22"/>
    </row>
    <row r="12">
      <c r="A12" s="18"/>
      <c r="B12" s="13"/>
      <c r="C12" s="17"/>
      <c r="D12" s="13"/>
      <c r="E12" s="12"/>
      <c r="F12" s="12" t="s">
        <v>14</v>
      </c>
      <c r="G12" s="15"/>
      <c r="H12" s="15"/>
      <c r="I12" s="15"/>
      <c r="J12" s="18"/>
      <c r="K12" s="320"/>
      <c r="L12" s="325"/>
      <c r="M12" s="306"/>
      <c r="N12" s="22"/>
    </row>
    <row r="13">
      <c r="A13" s="10" t="s">
        <v>15</v>
      </c>
      <c r="B13" s="13"/>
      <c r="C13" s="17"/>
      <c r="D13" s="11">
        <v>0</v>
      </c>
      <c r="E13" s="13"/>
      <c r="F13" s="10" t="s">
        <v>112</v>
      </c>
      <c r="G13" s="15"/>
      <c r="H13" s="15"/>
      <c r="I13" s="25"/>
      <c r="J13" s="19">
        <v>0</v>
      </c>
      <c r="K13" s="306"/>
      <c r="L13" s="325"/>
      <c r="M13" s="305"/>
      <c r="N13" s="22"/>
    </row>
    <row r="14">
      <c r="A14" s="15"/>
      <c r="B14" s="16" t="s">
        <v>104</v>
      </c>
      <c r="C14" s="15"/>
      <c r="D14" s="15"/>
      <c r="E14" s="15"/>
      <c r="K14" s="65"/>
      <c r="L14" s="65"/>
      <c r="M14" s="306"/>
      <c r="N14" s="22"/>
    </row>
    <row r="15">
      <c r="A15" s="15"/>
      <c r="B15" s="16" t="s">
        <v>105</v>
      </c>
      <c r="C15" s="15"/>
      <c r="D15" s="15"/>
      <c r="E15" s="15"/>
      <c r="F15" s="12" t="s">
        <v>16</v>
      </c>
      <c r="K15" s="65"/>
      <c r="L15" s="65"/>
      <c r="M15" s="65"/>
      <c r="N15" s="22"/>
    </row>
    <row r="16">
      <c r="A16" s="15"/>
      <c r="B16" s="16" t="s">
        <v>106</v>
      </c>
      <c r="C16" s="15"/>
      <c r="D16" s="15"/>
      <c r="E16" s="15"/>
      <c r="F16" s="26" t="s">
        <v>17</v>
      </c>
      <c r="G16" s="15"/>
      <c r="H16" s="15"/>
      <c r="I16" s="15"/>
      <c r="J16" s="15"/>
      <c r="K16" s="65"/>
      <c r="L16" s="65"/>
      <c r="M16" s="306"/>
      <c r="N16" s="22"/>
    </row>
    <row r="17">
      <c r="A17" s="15"/>
      <c r="B17" s="16" t="s">
        <v>107</v>
      </c>
      <c r="C17" s="15"/>
      <c r="D17" s="15"/>
      <c r="E17" s="15"/>
      <c r="F17" s="231" t="s">
        <v>18</v>
      </c>
      <c r="H17" s="15"/>
      <c r="I17" s="15"/>
      <c r="J17" s="19">
        <v>0</v>
      </c>
      <c r="K17" s="65"/>
      <c r="L17" s="65"/>
      <c r="M17" s="65"/>
      <c r="N17" s="22"/>
    </row>
    <row r="18">
      <c r="A18" s="12" t="s">
        <v>19</v>
      </c>
      <c r="B18" s="15"/>
      <c r="C18" s="15"/>
      <c r="D18" s="11"/>
      <c r="E18" s="15"/>
      <c r="F18" s="231" t="s">
        <v>20</v>
      </c>
      <c r="H18" s="15"/>
      <c r="I18" s="15"/>
      <c r="J18" s="19">
        <v>0</v>
      </c>
      <c r="K18" s="65"/>
      <c r="L18" s="306"/>
      <c r="M18" s="65"/>
      <c r="N18" s="22"/>
    </row>
    <row r="19">
      <c r="A19" s="15"/>
      <c r="B19" s="16" t="s">
        <v>102</v>
      </c>
      <c r="C19" s="15"/>
      <c r="D19" s="13"/>
      <c r="E19" s="15"/>
      <c r="F19" s="231" t="s">
        <v>21</v>
      </c>
      <c r="H19" s="15"/>
      <c r="I19" s="15"/>
      <c r="J19" s="19">
        <v>0</v>
      </c>
      <c r="K19" s="65"/>
      <c r="L19" s="306"/>
      <c r="M19" s="65"/>
      <c r="N19" s="22"/>
    </row>
    <row r="20">
      <c r="A20" s="15"/>
      <c r="B20" s="16" t="s">
        <v>103</v>
      </c>
      <c r="C20" s="15"/>
      <c r="D20" s="13"/>
      <c r="E20" s="15"/>
      <c r="F20" s="231" t="s">
        <v>22</v>
      </c>
      <c r="H20" s="15"/>
      <c r="I20" s="15"/>
      <c r="J20" s="19">
        <v>0</v>
      </c>
      <c r="K20" s="65"/>
      <c r="L20" s="306"/>
      <c r="M20" s="65"/>
      <c r="N20" s="22"/>
    </row>
    <row r="21">
      <c r="A21" s="15"/>
      <c r="B21" s="16"/>
      <c r="C21" s="15"/>
      <c r="D21" s="13"/>
      <c r="E21" s="15"/>
      <c r="F21" s="231"/>
      <c r="H21" s="15"/>
      <c r="I21" s="258" t="s">
        <v>27</v>
      </c>
      <c r="J21" s="19">
        <f>SUM(J17:J20)</f>
        <v>0</v>
      </c>
      <c r="K21" s="65"/>
      <c r="L21" s="306"/>
      <c r="M21" s="65"/>
      <c r="N21" s="22"/>
    </row>
    <row r="22" ht="13.5" thickBot="1">
      <c r="A22" s="27"/>
      <c r="B22" s="28"/>
      <c r="C22" s="27"/>
      <c r="D22" s="27"/>
      <c r="E22" s="27"/>
      <c r="F22" s="232"/>
      <c r="G22" s="27"/>
      <c r="H22" s="27"/>
      <c r="K22" s="307"/>
      <c r="L22" s="307"/>
      <c r="M22" s="307"/>
      <c r="N22" s="22"/>
    </row>
    <row r="23" ht="13.5" thickTop="1">
      <c r="A23" s="262"/>
      <c r="B23" s="263"/>
      <c r="C23" s="262"/>
      <c r="D23" s="262"/>
      <c r="E23" s="262"/>
      <c r="F23" s="264"/>
      <c r="G23" s="262"/>
      <c r="H23" s="262"/>
      <c r="I23" s="265"/>
      <c r="J23" s="266"/>
      <c r="K23" s="308"/>
      <c r="L23" s="308"/>
      <c r="M23" s="308"/>
      <c r="N23" s="22"/>
    </row>
    <row r="24" ht="12.75" customHeight="1">
      <c r="A24" s="327" t="s">
        <v>171</v>
      </c>
      <c r="B24" s="327"/>
      <c r="C24" s="327"/>
      <c r="D24" s="327"/>
      <c r="E24" s="327"/>
      <c r="F24" s="327"/>
      <c r="G24" s="327"/>
      <c r="H24" s="327"/>
      <c r="I24" s="327"/>
      <c r="J24" s="327"/>
      <c r="K24" s="327"/>
      <c r="L24" s="327"/>
      <c r="M24" s="327"/>
      <c r="N24" s="22"/>
    </row>
    <row r="25">
      <c r="A25" s="327"/>
      <c r="B25" s="327"/>
      <c r="C25" s="327"/>
      <c r="D25" s="327"/>
      <c r="E25" s="327"/>
      <c r="F25" s="327"/>
      <c r="G25" s="327"/>
      <c r="H25" s="327"/>
      <c r="I25" s="327"/>
      <c r="J25" s="327"/>
      <c r="K25" s="327"/>
      <c r="L25" s="327"/>
      <c r="M25" s="327"/>
      <c r="N25" s="22"/>
    </row>
    <row r="26">
      <c r="A26" s="327"/>
      <c r="B26" s="327"/>
      <c r="C26" s="327"/>
      <c r="D26" s="327"/>
      <c r="E26" s="327"/>
      <c r="F26" s="327"/>
      <c r="G26" s="327"/>
      <c r="H26" s="327"/>
      <c r="I26" s="327"/>
      <c r="J26" s="327"/>
      <c r="K26" s="327"/>
      <c r="L26" s="327"/>
      <c r="M26" s="327"/>
      <c r="N26" s="22"/>
    </row>
    <row r="27">
      <c r="A27" s="13"/>
      <c r="B27" s="18"/>
      <c r="C27" s="13"/>
      <c r="D27" s="13"/>
      <c r="E27" s="13"/>
      <c r="F27" s="231"/>
      <c r="G27" s="13"/>
      <c r="H27" s="13"/>
      <c r="I27" s="258"/>
      <c r="J27" s="256"/>
      <c r="K27" s="306"/>
      <c r="L27" s="306"/>
      <c r="M27" s="306"/>
      <c r="N27" s="22"/>
    </row>
    <row r="28">
      <c r="A28" s="328" t="s">
        <v>162</v>
      </c>
      <c r="B28" s="328"/>
      <c r="C28" s="328"/>
      <c r="D28" s="328"/>
      <c r="E28" s="328"/>
      <c r="F28" s="328"/>
      <c r="G28" s="328"/>
      <c r="H28" s="328"/>
      <c r="I28" s="328"/>
      <c r="J28" s="328"/>
      <c r="K28" s="328"/>
      <c r="L28" s="328"/>
      <c r="M28" s="328"/>
      <c r="N28" s="22"/>
    </row>
    <row r="29">
      <c r="A29" s="13"/>
      <c r="B29" s="18"/>
      <c r="C29" s="13"/>
      <c r="E29" s="24" t="s">
        <v>163</v>
      </c>
      <c r="F29" s="260"/>
      <c r="G29" s="13"/>
      <c r="H29" s="13"/>
      <c r="I29" s="259" t="s">
        <v>164</v>
      </c>
      <c r="J29" s="19"/>
      <c r="K29" s="306"/>
      <c r="L29" s="306"/>
      <c r="M29" s="306"/>
      <c r="N29" s="22"/>
    </row>
    <row r="30" ht="13.5" thickBot="1">
      <c r="A30" s="27"/>
      <c r="B30" s="28"/>
      <c r="C30" s="27"/>
      <c r="D30" s="27"/>
      <c r="E30" s="27"/>
      <c r="F30" s="232"/>
      <c r="G30" s="27"/>
      <c r="H30" s="27"/>
      <c r="I30" s="257"/>
      <c r="J30" s="261"/>
      <c r="K30" s="307"/>
      <c r="L30" s="307"/>
      <c r="M30" s="307"/>
      <c r="N30" s="22"/>
    </row>
    <row r="31" ht="13.5" thickTop="1">
      <c r="A31" s="13"/>
      <c r="B31" s="13"/>
      <c r="C31" s="13"/>
      <c r="D31" s="13"/>
      <c r="E31" s="13"/>
      <c r="F31" s="18"/>
      <c r="G31" s="13"/>
      <c r="H31" s="13"/>
      <c r="I31" s="13"/>
      <c r="J31" s="13"/>
      <c r="K31" s="306"/>
      <c r="L31" s="306"/>
      <c r="M31" s="306"/>
      <c r="N31" s="22"/>
    </row>
    <row r="32">
      <c r="A32" s="18"/>
      <c r="B32" s="15"/>
      <c r="C32" s="229" t="s">
        <v>144</v>
      </c>
      <c r="D32" s="11" t="s">
        <v>256</v>
      </c>
      <c r="E32" s="15"/>
      <c r="F32" s="18"/>
      <c r="G32" s="15"/>
      <c r="H32" s="15"/>
      <c r="I32" s="15"/>
      <c r="J32" s="15"/>
      <c r="K32" s="65"/>
      <c r="L32" s="65"/>
      <c r="M32" s="65"/>
      <c r="N32" s="22"/>
    </row>
    <row r="33" ht="14.25">
      <c r="A33" s="18"/>
      <c r="B33" s="15"/>
      <c r="C33" s="15"/>
      <c r="D33" s="15"/>
      <c r="E33" s="15"/>
      <c r="F33" s="29"/>
      <c r="G33" s="274" t="s">
        <v>149</v>
      </c>
      <c r="H33" s="275"/>
      <c r="I33" s="30"/>
      <c r="J33" s="31"/>
      <c r="K33" s="322" t="s">
        <v>150</v>
      </c>
      <c r="L33" s="280"/>
      <c r="M33" s="309"/>
      <c r="N33" s="22"/>
    </row>
    <row r="34">
      <c r="A34" s="15"/>
      <c r="B34" s="15"/>
      <c r="C34" s="15"/>
      <c r="D34" s="15"/>
      <c r="E34" s="15"/>
      <c r="F34" s="32"/>
      <c r="G34" s="276" t="s">
        <v>108</v>
      </c>
      <c r="H34" s="275"/>
      <c r="I34" s="275"/>
      <c r="J34" s="32"/>
      <c r="K34" s="279" t="s">
        <v>108</v>
      </c>
      <c r="L34" s="280"/>
      <c r="M34" s="281"/>
    </row>
    <row r="35" ht="13.5" thickBot="1">
      <c r="A35" s="292" t="s">
        <v>23</v>
      </c>
      <c r="B35" s="293"/>
      <c r="C35" s="293"/>
      <c r="D35" s="293"/>
      <c r="E35" s="293"/>
      <c r="F35" s="33" t="s">
        <v>24</v>
      </c>
      <c r="G35" s="34" t="s">
        <v>25</v>
      </c>
      <c r="H35" s="35" t="s">
        <v>26</v>
      </c>
      <c r="I35" s="36" t="s">
        <v>27</v>
      </c>
      <c r="J35" s="33" t="s">
        <v>24</v>
      </c>
      <c r="K35" s="73" t="s">
        <v>25</v>
      </c>
      <c r="L35" s="74" t="s">
        <v>26</v>
      </c>
      <c r="M35" s="73" t="s">
        <v>27</v>
      </c>
    </row>
    <row r="36" ht="13.5" thickTop="1">
      <c r="A36" s="277"/>
      <c r="B36" s="278"/>
      <c r="C36" s="278"/>
      <c r="D36" s="278"/>
      <c r="E36" s="278"/>
      <c r="F36" s="37"/>
      <c r="G36" s="37"/>
      <c r="H36" s="37"/>
      <c r="I36" s="37"/>
      <c r="J36" s="37"/>
      <c r="K36" s="77"/>
      <c r="L36" s="77"/>
      <c r="M36" s="77"/>
    </row>
    <row r="37">
      <c r="A37" s="38"/>
      <c r="B37" s="37"/>
      <c r="C37" s="37"/>
      <c r="D37" s="37"/>
      <c r="E37" s="37"/>
      <c r="F37" s="37"/>
      <c r="G37" s="37"/>
      <c r="H37" s="37"/>
      <c r="I37" s="37"/>
      <c r="J37" s="37"/>
      <c r="K37" s="77"/>
      <c r="L37" s="77"/>
      <c r="M37" s="77"/>
    </row>
    <row r="38">
      <c r="A38" s="283">
        <v>1</v>
      </c>
      <c r="B38" s="40" t="s">
        <v>28</v>
      </c>
      <c r="C38" s="30"/>
      <c r="D38" s="30"/>
      <c r="E38" s="30"/>
      <c r="F38" s="41"/>
      <c r="G38" s="15"/>
      <c r="H38" s="15"/>
      <c r="I38" s="15"/>
      <c r="J38" s="15"/>
      <c r="K38" s="65"/>
      <c r="L38" s="65"/>
      <c r="M38" s="65"/>
    </row>
    <row r="39" ht="12.75" customHeight="1">
      <c r="A39" s="42"/>
      <c r="B39" s="285">
        <v>1</v>
      </c>
      <c r="C39" s="43" t="s">
        <v>29</v>
      </c>
      <c r="D39" s="30"/>
      <c r="E39" s="30"/>
      <c r="F39" s="44" t="s">
        <v>177</v>
      </c>
      <c r="G39" s="45"/>
      <c r="H39" s="46"/>
      <c r="I39" s="47">
        <f>SUM(G39:H39)</f>
        <v>0</v>
      </c>
      <c r="J39" s="44" t="s">
        <v>208</v>
      </c>
      <c r="K39" s="310" t="s">
        <v>209</v>
      </c>
      <c r="L39" s="310" t="s">
        <v>210</v>
      </c>
      <c r="M39" s="310" t="s">
        <v>211</v>
      </c>
    </row>
    <row r="40" ht="12.75" customHeight="1">
      <c r="A40" s="49"/>
      <c r="B40" s="285">
        <v>2</v>
      </c>
      <c r="C40" s="50" t="s">
        <v>30</v>
      </c>
      <c r="D40" s="51"/>
      <c r="E40" s="51"/>
      <c r="F40" s="52"/>
      <c r="G40" s="53"/>
      <c r="H40" s="54"/>
      <c r="I40" s="55">
        <f>SUM(G40:H40)</f>
        <v>0</v>
      </c>
      <c r="J40" s="52"/>
      <c r="K40" s="53"/>
      <c r="L40" s="54"/>
      <c r="M40" s="56"/>
    </row>
    <row r="41" ht="12.75" customHeight="1">
      <c r="A41" s="49"/>
      <c r="B41" s="285">
        <v>3</v>
      </c>
      <c r="C41" s="57" t="s">
        <v>31</v>
      </c>
      <c r="D41" s="51"/>
      <c r="E41" s="51"/>
      <c r="F41" s="52"/>
      <c r="G41" s="53"/>
      <c r="H41" s="54"/>
      <c r="I41" s="55">
        <f>SUM(G41:H41)</f>
        <v>0</v>
      </c>
      <c r="J41" s="52"/>
      <c r="K41" s="53"/>
      <c r="L41" s="54"/>
      <c r="M41" s="56"/>
    </row>
    <row r="42" ht="12.75" customHeight="1" thickBot="1">
      <c r="A42" s="49"/>
      <c r="B42" s="285">
        <v>4</v>
      </c>
      <c r="C42" s="57" t="s">
        <v>32</v>
      </c>
      <c r="D42" s="51"/>
      <c r="E42" s="51"/>
      <c r="F42" s="44"/>
      <c r="G42" s="45"/>
      <c r="H42" s="58"/>
      <c r="I42" s="47">
        <f>SUM(G42:H42)</f>
        <v>0</v>
      </c>
      <c r="J42" s="44"/>
      <c r="K42" s="45"/>
      <c r="L42" s="58"/>
      <c r="M42" s="48"/>
    </row>
    <row r="43" ht="14.25" thickTop="1" thickBot="1">
      <c r="A43" s="59"/>
      <c r="B43" s="60" t="s">
        <v>100</v>
      </c>
      <c r="C43" s="60"/>
      <c r="D43" s="60"/>
      <c r="E43" s="60"/>
      <c r="F43" s="61">
        <f>SUM(F39:F42)</f>
        <v>0</v>
      </c>
      <c r="G43" s="62">
        <f>SUM(G39:G42)</f>
        <v>0</v>
      </c>
      <c r="H43" s="63">
        <f>SUM(H39:H42)</f>
        <v>0</v>
      </c>
      <c r="I43" s="64">
        <f>SUM(I39:I42)</f>
        <v>0</v>
      </c>
      <c r="J43" s="61">
        <f>SUM(J39:J42)</f>
        <v>0</v>
      </c>
      <c r="K43" s="62">
        <f>SUM(K39:K42)</f>
        <v>0</v>
      </c>
      <c r="L43" s="63">
        <f>SUM(L39:L42)</f>
        <v>0</v>
      </c>
      <c r="M43" s="62">
        <f>SUM(M39:M42)</f>
        <v>0</v>
      </c>
    </row>
    <row r="44">
      <c r="A44" s="15"/>
      <c r="B44" s="15"/>
      <c r="C44" s="15"/>
      <c r="D44" s="15"/>
      <c r="E44" s="15"/>
      <c r="F44" s="15"/>
      <c r="G44" s="65"/>
      <c r="H44" s="65"/>
      <c r="I44" s="65"/>
      <c r="J44" s="65"/>
      <c r="K44" s="65"/>
      <c r="L44" s="65"/>
      <c r="M44" s="65"/>
    </row>
    <row r="45">
      <c r="A45" s="15"/>
      <c r="B45" s="15"/>
      <c r="C45" s="15"/>
      <c r="D45" s="15"/>
      <c r="E45" s="15"/>
      <c r="F45" s="15"/>
      <c r="G45" s="65"/>
      <c r="H45" s="65"/>
      <c r="I45" s="65"/>
      <c r="J45" s="65"/>
      <c r="K45" s="65"/>
      <c r="L45" s="65"/>
      <c r="M45" s="65"/>
    </row>
    <row r="46" ht="14.25">
      <c r="A46" s="282">
        <v>2</v>
      </c>
      <c r="B46" s="40" t="s">
        <v>153</v>
      </c>
      <c r="C46" s="30"/>
      <c r="D46" s="30"/>
      <c r="E46" s="30"/>
      <c r="F46" s="41"/>
      <c r="G46" s="65"/>
      <c r="H46" s="65"/>
      <c r="I46" s="65"/>
      <c r="J46" s="65"/>
      <c r="K46" s="65"/>
      <c r="L46" s="65"/>
      <c r="M46" s="65"/>
    </row>
    <row r="47" ht="12.75" customHeight="1">
      <c r="A47" s="42"/>
      <c r="B47" s="284">
        <v>1</v>
      </c>
      <c r="C47" s="43" t="s">
        <v>33</v>
      </c>
      <c r="D47" s="30"/>
      <c r="E47" s="30"/>
      <c r="F47" s="44" t="s">
        <v>178</v>
      </c>
      <c r="G47" s="45"/>
      <c r="H47" s="46"/>
      <c r="I47" s="47">
        <f>SUM(G47:H47)</f>
        <v>0</v>
      </c>
      <c r="J47" s="44" t="s">
        <v>214</v>
      </c>
      <c r="K47" s="310" t="s">
        <v>215</v>
      </c>
      <c r="L47" s="310" t="s">
        <v>216</v>
      </c>
      <c r="M47" s="310" t="s">
        <v>217</v>
      </c>
    </row>
    <row r="48" ht="12.75" customHeight="1">
      <c r="A48" s="49"/>
      <c r="B48" s="285">
        <v>2</v>
      </c>
      <c r="C48" s="43" t="s">
        <v>34</v>
      </c>
      <c r="D48" s="51"/>
      <c r="E48" s="51"/>
      <c r="F48" s="52"/>
      <c r="G48" s="53"/>
      <c r="H48" s="54"/>
      <c r="I48" s="55">
        <f>SUM(G48:H48)</f>
        <v>0</v>
      </c>
      <c r="J48" s="52"/>
      <c r="K48" s="53"/>
      <c r="L48" s="54"/>
      <c r="M48" s="56">
        <f>SUM(K48:L48)</f>
        <v>0</v>
      </c>
    </row>
    <row r="49" ht="12.75" customHeight="1">
      <c r="A49" s="49"/>
      <c r="B49" s="285">
        <v>3</v>
      </c>
      <c r="C49" s="43" t="s">
        <v>35</v>
      </c>
      <c r="D49" s="51"/>
      <c r="E49" s="51"/>
      <c r="F49" s="52"/>
      <c r="G49" s="53"/>
      <c r="H49" s="54"/>
      <c r="I49" s="55">
        <f>SUM(G49:H49)</f>
        <v>0</v>
      </c>
      <c r="J49" s="52"/>
      <c r="K49" s="53"/>
      <c r="L49" s="54"/>
      <c r="M49" s="56">
        <f>SUM(K49:L49)</f>
        <v>0</v>
      </c>
    </row>
    <row r="50" ht="12.75" customHeight="1">
      <c r="A50" s="49"/>
      <c r="B50" s="285">
        <v>4</v>
      </c>
      <c r="C50" s="43" t="s">
        <v>36</v>
      </c>
      <c r="D50" s="51"/>
      <c r="E50" s="51"/>
      <c r="F50" s="52"/>
      <c r="G50" s="53"/>
      <c r="H50" s="54"/>
      <c r="I50" s="55">
        <f>SUM(G50:H50)</f>
        <v>0</v>
      </c>
      <c r="J50" s="52"/>
      <c r="K50" s="53"/>
      <c r="L50" s="54"/>
      <c r="M50" s="56">
        <f>SUM(K50:L50)</f>
        <v>0</v>
      </c>
    </row>
    <row r="51" ht="12.75" customHeight="1">
      <c r="A51" s="49"/>
      <c r="B51" s="285">
        <v>5</v>
      </c>
      <c r="C51" s="43" t="s">
        <v>37</v>
      </c>
      <c r="D51" s="51"/>
      <c r="E51" s="51"/>
      <c r="F51" s="52"/>
      <c r="G51" s="53"/>
      <c r="H51" s="54"/>
      <c r="I51" s="55">
        <f>SUM(G51:H51)</f>
        <v>0</v>
      </c>
      <c r="J51" s="52"/>
      <c r="K51" s="53"/>
      <c r="L51" s="54"/>
      <c r="M51" s="56">
        <f>SUM(K51:L51)</f>
        <v>0</v>
      </c>
    </row>
    <row r="52" ht="12.75" customHeight="1">
      <c r="A52" s="49"/>
      <c r="B52" s="285">
        <v>6</v>
      </c>
      <c r="C52" s="43" t="s">
        <v>38</v>
      </c>
      <c r="D52" s="51"/>
      <c r="E52" s="51"/>
      <c r="F52" s="52"/>
      <c r="G52" s="53"/>
      <c r="H52" s="54"/>
      <c r="I52" s="55">
        <f>SUM(G52:H52)</f>
        <v>0</v>
      </c>
      <c r="J52" s="52"/>
      <c r="K52" s="53"/>
      <c r="L52" s="54"/>
      <c r="M52" s="56">
        <f>SUM(K52:L52)</f>
        <v>0</v>
      </c>
    </row>
    <row r="53" ht="12.75" customHeight="1">
      <c r="A53" s="49"/>
      <c r="B53" s="285">
        <v>7</v>
      </c>
      <c r="C53" s="43" t="s">
        <v>39</v>
      </c>
      <c r="D53" s="51"/>
      <c r="E53" s="51"/>
      <c r="F53" s="52"/>
      <c r="G53" s="53"/>
      <c r="H53" s="54"/>
      <c r="I53" s="55">
        <f>SUM(G53:H53)</f>
        <v>0</v>
      </c>
      <c r="J53" s="52"/>
      <c r="K53" s="53"/>
      <c r="L53" s="54"/>
      <c r="M53" s="56">
        <f>SUM(K53:L53)</f>
        <v>0</v>
      </c>
    </row>
    <row r="54" ht="12.75" customHeight="1">
      <c r="A54" s="49"/>
      <c r="B54" s="285">
        <v>8</v>
      </c>
      <c r="C54" s="43" t="s">
        <v>40</v>
      </c>
      <c r="D54" s="51"/>
      <c r="E54" s="51"/>
      <c r="F54" s="52"/>
      <c r="G54" s="53"/>
      <c r="H54" s="54"/>
      <c r="I54" s="55">
        <f>SUM(G54:H54)</f>
        <v>0</v>
      </c>
      <c r="J54" s="52"/>
      <c r="K54" s="53"/>
      <c r="L54" s="54"/>
      <c r="M54" s="56">
        <f>SUM(K54:L54)</f>
        <v>0</v>
      </c>
    </row>
    <row r="55" ht="12.75" customHeight="1">
      <c r="A55" s="49"/>
      <c r="B55" s="285">
        <v>9</v>
      </c>
      <c r="C55" s="43" t="s">
        <v>41</v>
      </c>
      <c r="D55" s="51"/>
      <c r="E55" s="51"/>
      <c r="F55" s="52"/>
      <c r="G55" s="53"/>
      <c r="H55" s="54"/>
      <c r="I55" s="55">
        <f>SUM(G55:H55)</f>
        <v>0</v>
      </c>
      <c r="J55" s="52"/>
      <c r="K55" s="53"/>
      <c r="L55" s="54"/>
      <c r="M55" s="56">
        <f>SUM(K55:L55)</f>
        <v>0</v>
      </c>
    </row>
    <row r="56" ht="12.75" customHeight="1" thickBot="1">
      <c r="A56" s="49"/>
      <c r="B56" s="285">
        <v>10</v>
      </c>
      <c r="C56" s="43" t="s">
        <v>42</v>
      </c>
      <c r="D56" s="51"/>
      <c r="E56" s="51"/>
      <c r="F56" s="44"/>
      <c r="G56" s="45"/>
      <c r="H56" s="58"/>
      <c r="I56" s="47">
        <f>SUM(G56:H56)</f>
        <v>0</v>
      </c>
      <c r="J56" s="44"/>
      <c r="K56" s="45"/>
      <c r="L56" s="58"/>
      <c r="M56" s="48">
        <f>SUM(K56:L56)</f>
        <v>0</v>
      </c>
    </row>
    <row r="57" ht="14.25" thickTop="1" thickBot="1">
      <c r="A57" s="59"/>
      <c r="B57" s="60" t="s">
        <v>43</v>
      </c>
      <c r="C57" s="60"/>
      <c r="D57" s="60"/>
      <c r="E57" s="60"/>
      <c r="F57" s="61" t="e">
        <f>eocih+eosth+eoaph+eopih+eomeh+eopmh+eopch+eoelh+eoprh+eomih</f>
        <v>#VALUE!</v>
      </c>
      <c r="G57" s="62">
        <f>eocil+eostl+eoapl+eopil+eomel+eopml+eopcl+eoell+eoprl+eomil</f>
        <v>0</v>
      </c>
      <c r="H57" s="63">
        <f>eomim</f>
        <v>0</v>
      </c>
      <c r="I57" s="64">
        <f>SUM(I47:I56)</f>
        <v>0</v>
      </c>
      <c r="J57" s="61" t="e">
        <f>eccih+ecsth+ecaph+ecpih+ecmeh+ecpmh+ecpch+ecelh+ecprh+ecmih</f>
        <v>#VALUE!</v>
      </c>
      <c r="K57" s="62" t="e">
        <f>eccil+ecstl+ecapl+ecpil+ecmel+ecpml+ecpcl+ecell+ecprl+ecmil</f>
        <v>#VALUE!</v>
      </c>
      <c r="L57" s="63">
        <f>ecmim</f>
        <v>0</v>
      </c>
      <c r="M57" s="62">
        <f>SUM(M47:M56)</f>
        <v>0</v>
      </c>
    </row>
    <row r="58">
      <c r="A58" s="15"/>
      <c r="B58" s="15"/>
      <c r="C58" s="15"/>
      <c r="D58" s="15"/>
      <c r="E58" s="15"/>
      <c r="F58" s="255" t="s">
        <v>154</v>
      </c>
      <c r="G58" s="65"/>
      <c r="H58" s="65"/>
      <c r="I58" s="65"/>
      <c r="J58" s="65"/>
      <c r="K58" s="65"/>
      <c r="L58" s="65"/>
      <c r="M58" s="65"/>
    </row>
    <row r="59">
      <c r="A59" s="15"/>
      <c r="B59" s="15"/>
      <c r="C59" s="15"/>
      <c r="D59" s="15"/>
      <c r="E59" s="15"/>
      <c r="F59" s="15"/>
      <c r="G59" s="65"/>
      <c r="H59" s="65"/>
      <c r="I59" s="65"/>
      <c r="J59" s="65"/>
      <c r="K59" s="65"/>
      <c r="L59" s="65"/>
      <c r="M59" s="65"/>
    </row>
    <row r="60">
      <c r="A60" s="39">
        <v>3</v>
      </c>
      <c r="B60" s="40" t="s">
        <v>44</v>
      </c>
      <c r="C60" s="30"/>
      <c r="D60" s="30"/>
      <c r="E60" s="30"/>
      <c r="F60" s="41"/>
      <c r="G60" s="65"/>
      <c r="H60" s="65"/>
      <c r="I60" s="65"/>
      <c r="J60" s="65"/>
      <c r="K60" s="65"/>
      <c r="L60" s="65"/>
      <c r="M60" s="65"/>
    </row>
    <row r="61" ht="12.75" customHeight="1">
      <c r="A61" s="49"/>
      <c r="B61" s="285">
        <v>1</v>
      </c>
      <c r="C61" s="43" t="s">
        <v>45</v>
      </c>
      <c r="D61" s="51"/>
      <c r="E61" s="51"/>
      <c r="F61" s="44" t="s">
        <v>174</v>
      </c>
      <c r="G61" s="45"/>
      <c r="H61" s="58"/>
      <c r="I61" s="47">
        <f>SUM(G61:H61)</f>
        <v>0</v>
      </c>
      <c r="J61" s="44" t="s">
        <v>220</v>
      </c>
      <c r="K61" s="310" t="s">
        <v>221</v>
      </c>
      <c r="L61" s="310" t="s">
        <v>222</v>
      </c>
      <c r="M61" s="310" t="s">
        <v>223</v>
      </c>
      <c r="N61" s="137" t="s">
        <v>249</v>
      </c>
      <c r="O61" s="137" t="s">
        <v>148</v>
      </c>
    </row>
    <row r="62" ht="12.75" customHeight="1">
      <c r="A62" s="66"/>
      <c r="B62" s="285">
        <v>2</v>
      </c>
      <c r="C62" s="43" t="s">
        <v>46</v>
      </c>
      <c r="D62" s="51"/>
      <c r="E62" s="51"/>
      <c r="F62" s="52"/>
      <c r="G62" s="53"/>
      <c r="H62" s="67"/>
      <c r="I62" s="55">
        <f>SUM(G62:H62)</f>
        <v>0</v>
      </c>
      <c r="J62" s="52"/>
      <c r="K62" s="53"/>
      <c r="L62" s="67"/>
      <c r="M62" s="56">
        <f>SUM(K62:L62)</f>
        <v>0</v>
      </c>
      <c r="N62" s="137"/>
      <c r="O62" s="137" t="s">
        <v>147</v>
      </c>
    </row>
    <row r="63" ht="12.75" customHeight="1" thickBot="1">
      <c r="A63" s="66"/>
      <c r="B63" s="285">
        <v>3</v>
      </c>
      <c r="C63" s="43" t="s">
        <v>47</v>
      </c>
      <c r="D63" s="51"/>
      <c r="E63" s="51"/>
      <c r="F63" s="52"/>
      <c r="G63" s="53"/>
      <c r="H63" s="67"/>
      <c r="I63" s="55">
        <f>SUM(G63:H63)</f>
        <v>0</v>
      </c>
      <c r="J63" s="52"/>
      <c r="K63" s="53"/>
      <c r="L63" s="67"/>
      <c r="M63" s="56">
        <f>SUM(K63:L63)</f>
        <v>0</v>
      </c>
    </row>
    <row r="64" ht="14.25" thickTop="1" thickBot="1">
      <c r="A64" s="59"/>
      <c r="B64" s="60" t="s">
        <v>48</v>
      </c>
      <c r="C64" s="60"/>
      <c r="D64" s="60"/>
      <c r="E64" s="60"/>
      <c r="F64" s="61" t="e">
        <f>cocmh+coceh+cotfh</f>
        <v>#VALUE!</v>
      </c>
      <c r="G64" s="62">
        <f>cocml+cocel+cotfl</f>
        <v>0</v>
      </c>
      <c r="H64" s="63">
        <f>cocmm+cocem+cotfm</f>
        <v>0</v>
      </c>
      <c r="I64" s="64">
        <f>SUM(I61:I63)</f>
        <v>0</v>
      </c>
      <c r="J64" s="61" t="e">
        <f>cccmh+ccceh+cctfh</f>
        <v>#VALUE!</v>
      </c>
      <c r="K64" s="62" t="e">
        <f>cccml+cccel+cctfl</f>
        <v>#VALUE!</v>
      </c>
      <c r="L64" s="63" t="e">
        <f>cccmm+cccem+cctfm</f>
        <v>#VALUE!</v>
      </c>
      <c r="M64" s="62">
        <f>SUM(M61:M63)</f>
        <v>0</v>
      </c>
    </row>
    <row r="65">
      <c r="A65" s="13"/>
      <c r="B65" s="13"/>
      <c r="C65" s="13"/>
      <c r="D65" s="13"/>
      <c r="E65" s="13"/>
      <c r="F65" s="253" t="s">
        <v>151</v>
      </c>
      <c r="G65" s="69"/>
      <c r="H65" s="69"/>
      <c r="I65" s="69"/>
      <c r="J65" s="69"/>
      <c r="K65" s="69"/>
      <c r="L65" s="69"/>
      <c r="M65" s="69"/>
    </row>
    <row r="66" ht="18">
      <c r="A66" s="1" t="s">
        <v>49</v>
      </c>
      <c r="B66" s="2"/>
      <c r="C66" s="2"/>
      <c r="D66" s="2"/>
      <c r="E66" s="2"/>
      <c r="F66" s="2"/>
      <c r="G66" s="291"/>
      <c r="H66" s="291"/>
      <c r="I66" s="291"/>
      <c r="J66" s="291"/>
      <c r="K66" s="291"/>
      <c r="L66" s="291"/>
      <c r="M66" s="291"/>
      <c r="N66" s="3"/>
      <c r="O66" s="3"/>
      <c r="P66" s="3"/>
      <c r="Q66" s="3"/>
      <c r="R66" s="3"/>
      <c r="S66" s="3"/>
      <c r="T66" s="3"/>
      <c r="U66" s="3"/>
      <c r="V66" s="3"/>
      <c r="W66" s="3"/>
      <c r="X66" s="3"/>
      <c r="Y66" s="3"/>
      <c r="Z66" s="3"/>
      <c r="AA66" s="3"/>
      <c r="AB66" s="3"/>
      <c r="AC66" s="3"/>
      <c r="AD66" s="3"/>
    </row>
    <row r="67">
      <c r="A67" s="13"/>
      <c r="B67" s="70"/>
      <c r="C67" s="13"/>
      <c r="D67" s="13"/>
      <c r="E67" s="13"/>
      <c r="F67" s="68"/>
      <c r="G67" s="69"/>
      <c r="H67" s="69"/>
      <c r="I67" s="69"/>
      <c r="J67" s="69"/>
      <c r="K67" s="69"/>
      <c r="L67" s="69"/>
      <c r="M67" s="69"/>
      <c r="N67" s="71"/>
    </row>
    <row r="68" ht="14.25">
      <c r="A68" s="15"/>
      <c r="B68" s="15"/>
      <c r="C68" s="15"/>
      <c r="D68" s="15"/>
      <c r="E68" s="15"/>
      <c r="F68" s="29"/>
      <c r="G68" s="274" t="s">
        <v>149</v>
      </c>
      <c r="H68" s="275"/>
      <c r="I68" s="30"/>
      <c r="J68" s="31"/>
      <c r="K68" s="322" t="s">
        <v>150</v>
      </c>
      <c r="L68" s="280"/>
      <c r="M68" s="309"/>
      <c r="N68" s="22"/>
    </row>
    <row r="69">
      <c r="A69" s="15"/>
      <c r="B69" s="15"/>
      <c r="C69" s="15"/>
      <c r="D69" s="15"/>
      <c r="E69" s="15"/>
      <c r="F69" s="32"/>
      <c r="G69" s="279" t="s">
        <v>101</v>
      </c>
      <c r="H69" s="280"/>
      <c r="I69" s="280"/>
      <c r="J69" s="72"/>
      <c r="K69" s="279" t="s">
        <v>101</v>
      </c>
      <c r="L69" s="280"/>
      <c r="M69" s="281"/>
    </row>
    <row r="70" ht="13.5" thickBot="1">
      <c r="A70" s="292" t="s">
        <v>23</v>
      </c>
      <c r="B70" s="293"/>
      <c r="C70" s="293"/>
      <c r="D70" s="293"/>
      <c r="E70" s="293"/>
      <c r="F70" s="33" t="s">
        <v>24</v>
      </c>
      <c r="G70" s="73" t="s">
        <v>25</v>
      </c>
      <c r="H70" s="74" t="s">
        <v>26</v>
      </c>
      <c r="I70" s="75" t="s">
        <v>27</v>
      </c>
      <c r="J70" s="76" t="s">
        <v>24</v>
      </c>
      <c r="K70" s="73" t="s">
        <v>25</v>
      </c>
      <c r="L70" s="74" t="s">
        <v>26</v>
      </c>
      <c r="M70" s="73" t="s">
        <v>27</v>
      </c>
    </row>
    <row r="71" ht="13.5" thickTop="1">
      <c r="A71" s="153" t="s">
        <v>172</v>
      </c>
      <c r="C71" s="37"/>
      <c r="D71" s="37"/>
      <c r="E71" s="37"/>
      <c r="F71" s="37"/>
      <c r="G71" s="77"/>
      <c r="H71" s="77"/>
      <c r="I71" s="77"/>
      <c r="J71" s="77"/>
      <c r="K71" s="77"/>
      <c r="L71" s="77"/>
      <c r="M71" s="77"/>
    </row>
    <row r="72">
      <c r="A72" s="39">
        <v>4</v>
      </c>
      <c r="B72" s="40" t="s">
        <v>50</v>
      </c>
      <c r="C72" s="30"/>
      <c r="D72" s="30"/>
      <c r="E72" s="30"/>
      <c r="F72" s="41"/>
      <c r="G72" s="65"/>
      <c r="H72" s="65"/>
      <c r="I72" s="65"/>
      <c r="J72" s="65"/>
      <c r="K72" s="65"/>
      <c r="L72" s="65"/>
      <c r="M72" s="65"/>
    </row>
    <row r="73" s="78" customFormat="1" ht="12.75" customHeight="1">
      <c r="A73" s="66"/>
      <c r="B73" s="285">
        <v>1</v>
      </c>
      <c r="C73" s="43" t="s">
        <v>51</v>
      </c>
      <c r="D73" s="51"/>
      <c r="E73" s="51"/>
      <c r="F73" s="44" t="s">
        <v>179</v>
      </c>
      <c r="G73" s="140"/>
      <c r="H73" s="141"/>
      <c r="I73" s="47">
        <f>SUM(G73:H73)</f>
        <v>0</v>
      </c>
      <c r="J73" s="44" t="s">
        <v>226</v>
      </c>
      <c r="K73" s="310" t="s">
        <v>227</v>
      </c>
      <c r="L73" s="310" t="s">
        <v>228</v>
      </c>
      <c r="M73" s="48">
        <f>SUM(K73:L73)</f>
        <v>0</v>
      </c>
      <c r="N73" s="252" t="s">
        <v>252</v>
      </c>
      <c r="O73" s="4"/>
      <c r="P73" s="4"/>
      <c r="Q73" s="4"/>
      <c r="R73" s="4"/>
    </row>
    <row r="74" ht="12.75" customHeight="1">
      <c r="A74" s="66"/>
      <c r="B74" s="285">
        <v>2</v>
      </c>
      <c r="C74" s="43" t="s">
        <v>52</v>
      </c>
      <c r="D74" s="51"/>
      <c r="E74" s="51"/>
      <c r="F74" s="52"/>
      <c r="G74" s="140"/>
      <c r="H74" s="141"/>
      <c r="I74" s="47">
        <f>SUM(G74:H74)</f>
        <v>0</v>
      </c>
      <c r="J74" s="52"/>
      <c r="K74" s="53"/>
      <c r="L74" s="67"/>
      <c r="M74" s="48">
        <f>SUM(K74:L74)</f>
        <v>0</v>
      </c>
      <c r="N74" s="252"/>
    </row>
    <row r="75" ht="12.75" customHeight="1">
      <c r="A75" s="66"/>
      <c r="B75" s="285">
        <v>3</v>
      </c>
      <c r="C75" s="43" t="s">
        <v>53</v>
      </c>
      <c r="D75" s="51"/>
      <c r="E75" s="51"/>
      <c r="F75" s="52"/>
      <c r="G75" s="140"/>
      <c r="H75" s="141"/>
      <c r="I75" s="47">
        <f>SUM(G75:H75)</f>
        <v>0</v>
      </c>
      <c r="J75" s="52"/>
      <c r="K75" s="53"/>
      <c r="L75" s="67"/>
      <c r="M75" s="48">
        <f>SUM(K75:L75)</f>
        <v>0</v>
      </c>
      <c r="N75" s="252"/>
    </row>
    <row r="76" ht="12.75" customHeight="1">
      <c r="A76" s="66"/>
      <c r="B76" s="285">
        <v>4</v>
      </c>
      <c r="C76" s="43" t="s">
        <v>54</v>
      </c>
      <c r="D76" s="51"/>
      <c r="E76" s="51"/>
      <c r="F76" s="52"/>
      <c r="G76" s="140"/>
      <c r="H76" s="141"/>
      <c r="I76" s="47">
        <f>SUM(G76:H76)</f>
        <v>0</v>
      </c>
      <c r="J76" s="52"/>
      <c r="K76" s="53"/>
      <c r="L76" s="67"/>
      <c r="M76" s="48">
        <f>SUM(K76:L76)</f>
        <v>0</v>
      </c>
      <c r="N76" s="252"/>
    </row>
    <row r="77" ht="12.75" customHeight="1">
      <c r="A77" s="66"/>
      <c r="B77" s="287">
        <v>5</v>
      </c>
      <c r="C77" s="80" t="s">
        <v>55</v>
      </c>
      <c r="D77" s="81" t="s">
        <v>56</v>
      </c>
      <c r="E77" s="51"/>
      <c r="F77" s="52"/>
      <c r="G77" s="140"/>
      <c r="H77" s="142"/>
      <c r="I77" s="82"/>
      <c r="J77" s="52"/>
      <c r="K77" s="53"/>
      <c r="L77" s="54"/>
      <c r="M77" s="83"/>
      <c r="N77" s="252"/>
    </row>
    <row r="78" ht="12.75" customHeight="1">
      <c r="A78" s="66"/>
      <c r="B78" s="288"/>
      <c r="C78" s="84"/>
      <c r="D78" s="85" t="s">
        <v>26</v>
      </c>
      <c r="E78" s="250" t="s">
        <v>37</v>
      </c>
      <c r="F78" s="86"/>
      <c r="G78" s="82"/>
      <c r="H78" s="141"/>
      <c r="I78" s="82"/>
      <c r="J78" s="86"/>
      <c r="K78" s="82"/>
      <c r="L78" s="67"/>
      <c r="M78" s="83"/>
      <c r="N78" s="252"/>
      <c r="O78" s="137" t="s">
        <v>173</v>
      </c>
    </row>
    <row r="79" ht="12.75" customHeight="1">
      <c r="A79" s="66"/>
      <c r="B79" s="288"/>
      <c r="C79" s="18"/>
      <c r="D79" s="85"/>
      <c r="E79" s="250" t="s">
        <v>160</v>
      </c>
      <c r="F79" s="86"/>
      <c r="G79" s="82"/>
      <c r="H79" s="141"/>
      <c r="I79" s="82"/>
      <c r="J79" s="86"/>
      <c r="K79" s="82"/>
      <c r="L79" s="67"/>
      <c r="M79" s="83"/>
      <c r="N79" s="252"/>
      <c r="O79" s="137"/>
    </row>
    <row r="80" ht="12.75" customHeight="1">
      <c r="A80" s="66"/>
      <c r="B80" s="288"/>
      <c r="C80" s="18"/>
      <c r="D80" s="81"/>
      <c r="E80" s="250" t="s">
        <v>59</v>
      </c>
      <c r="F80" s="86"/>
      <c r="G80" s="82"/>
      <c r="H80" s="141"/>
      <c r="I80" s="87"/>
      <c r="J80" s="86"/>
      <c r="K80" s="82"/>
      <c r="L80" s="67"/>
      <c r="M80" s="88"/>
      <c r="N80" s="252"/>
    </row>
    <row r="81" ht="12.75" customHeight="1">
      <c r="A81" s="66"/>
      <c r="B81" s="289"/>
      <c r="C81" s="89"/>
      <c r="D81" s="81" t="s">
        <v>27</v>
      </c>
      <c r="E81" s="89"/>
      <c r="F81" s="90"/>
      <c r="G81" s="87"/>
      <c r="H81" s="144"/>
      <c r="I81" s="55">
        <f>SUM(G77:H80)</f>
        <v>0</v>
      </c>
      <c r="J81" s="90"/>
      <c r="K81" s="87"/>
      <c r="L81" s="91"/>
      <c r="M81" s="56">
        <f>SUM(K77:L80)</f>
        <v>0</v>
      </c>
      <c r="N81" s="252"/>
    </row>
    <row r="82" ht="12.75" customHeight="1">
      <c r="A82" s="66"/>
      <c r="B82" s="285">
        <v>6</v>
      </c>
      <c r="C82" s="43" t="s">
        <v>36</v>
      </c>
      <c r="D82" s="51"/>
      <c r="E82" s="51"/>
      <c r="F82" s="52"/>
      <c r="G82" s="140"/>
      <c r="H82" s="141"/>
      <c r="I82" s="47">
        <f>SUM(G82:H82)</f>
        <v>0</v>
      </c>
      <c r="J82" s="52"/>
      <c r="K82" s="53"/>
      <c r="L82" s="67"/>
      <c r="M82" s="48">
        <f>SUM(K82:L82)</f>
        <v>0</v>
      </c>
      <c r="N82" s="252"/>
    </row>
    <row r="83" ht="12.75" customHeight="1">
      <c r="A83" s="66"/>
      <c r="B83" s="285">
        <v>7</v>
      </c>
      <c r="C83" s="43" t="s">
        <v>57</v>
      </c>
      <c r="D83" s="51"/>
      <c r="E83" s="51"/>
      <c r="F83" s="52"/>
      <c r="G83" s="140"/>
      <c r="H83" s="141"/>
      <c r="I83" s="47">
        <f>SUM(G83:H83)</f>
        <v>0</v>
      </c>
      <c r="J83" s="52"/>
      <c r="K83" s="53"/>
      <c r="L83" s="67"/>
      <c r="M83" s="48">
        <f>SUM(K83:L83)</f>
        <v>0</v>
      </c>
      <c r="N83" s="252"/>
    </row>
    <row r="84" ht="12.75" customHeight="1">
      <c r="A84" s="66"/>
      <c r="B84" s="287">
        <v>8</v>
      </c>
      <c r="C84" s="80" t="s">
        <v>40</v>
      </c>
      <c r="D84" s="81" t="s">
        <v>56</v>
      </c>
      <c r="E84" s="51"/>
      <c r="F84" s="52"/>
      <c r="G84" s="140"/>
      <c r="H84" s="142"/>
      <c r="I84" s="82"/>
      <c r="J84" s="52"/>
      <c r="K84" s="53"/>
      <c r="L84" s="54"/>
      <c r="M84" s="83"/>
      <c r="N84" s="252"/>
    </row>
    <row r="85" ht="12.75" customHeight="1">
      <c r="A85" s="66"/>
      <c r="B85" s="290"/>
      <c r="C85" s="84"/>
      <c r="D85" s="85" t="s">
        <v>26</v>
      </c>
      <c r="E85" s="150" t="s">
        <v>155</v>
      </c>
      <c r="F85" s="86"/>
      <c r="G85" s="82"/>
      <c r="H85" s="141"/>
      <c r="I85" s="82"/>
      <c r="J85" s="86"/>
      <c r="K85" s="82"/>
      <c r="L85" s="67"/>
      <c r="M85" s="83"/>
      <c r="N85" s="252"/>
    </row>
    <row r="86" ht="12.75" customHeight="1">
      <c r="A86" s="66"/>
      <c r="B86" s="290"/>
      <c r="C86" s="18"/>
      <c r="D86" s="81"/>
      <c r="E86" s="150" t="s">
        <v>59</v>
      </c>
      <c r="F86" s="86"/>
      <c r="G86" s="82"/>
      <c r="H86" s="141"/>
      <c r="I86" s="82"/>
      <c r="J86" s="86"/>
      <c r="K86" s="82"/>
      <c r="L86" s="67"/>
      <c r="M86" s="83"/>
      <c r="N86" s="252"/>
    </row>
    <row r="87" ht="12.75" customHeight="1">
      <c r="A87" s="66"/>
      <c r="B87" s="289"/>
      <c r="C87" s="51"/>
      <c r="D87" s="81" t="s">
        <v>27</v>
      </c>
      <c r="E87" s="89"/>
      <c r="F87" s="90"/>
      <c r="G87" s="87"/>
      <c r="H87" s="144"/>
      <c r="I87" s="47">
        <f>SUM(G84:H86)</f>
        <v>0</v>
      </c>
      <c r="J87" s="90"/>
      <c r="K87" s="87"/>
      <c r="L87" s="91"/>
      <c r="M87" s="48">
        <f>SUM(K84:L86)</f>
        <v>0</v>
      </c>
      <c r="N87" s="252"/>
    </row>
    <row r="88" ht="12.75" customHeight="1">
      <c r="A88" s="66"/>
      <c r="B88" s="287">
        <v>9</v>
      </c>
      <c r="C88" s="80" t="s">
        <v>60</v>
      </c>
      <c r="D88" s="81" t="s">
        <v>56</v>
      </c>
      <c r="E88" s="51"/>
      <c r="F88" s="52"/>
      <c r="G88" s="140"/>
      <c r="H88" s="142"/>
      <c r="I88" s="82"/>
      <c r="J88" s="52"/>
      <c r="K88" s="53"/>
      <c r="L88" s="54"/>
      <c r="M88" s="83"/>
      <c r="N88" s="252"/>
    </row>
    <row r="89" ht="12.75" customHeight="1">
      <c r="A89" s="66"/>
      <c r="B89" s="290"/>
      <c r="C89" s="92" t="s">
        <v>61</v>
      </c>
      <c r="D89" s="85" t="s">
        <v>26</v>
      </c>
      <c r="E89" s="150" t="s">
        <v>157</v>
      </c>
      <c r="F89" s="86"/>
      <c r="G89" s="82"/>
      <c r="H89" s="141"/>
      <c r="I89" s="82"/>
      <c r="J89" s="86"/>
      <c r="K89" s="82"/>
      <c r="L89" s="67"/>
      <c r="M89" s="83"/>
      <c r="N89" s="252"/>
    </row>
    <row r="90" ht="12.75" customHeight="1">
      <c r="A90" s="66"/>
      <c r="B90" s="290"/>
      <c r="C90" s="92"/>
      <c r="D90" s="81"/>
      <c r="E90" s="150" t="s">
        <v>158</v>
      </c>
      <c r="F90" s="86"/>
      <c r="G90" s="82"/>
      <c r="H90" s="141"/>
      <c r="I90" s="82"/>
      <c r="J90" s="86"/>
      <c r="K90" s="82"/>
      <c r="L90" s="67"/>
      <c r="M90" s="83"/>
      <c r="N90" s="252"/>
    </row>
    <row r="91" ht="12.75" customHeight="1">
      <c r="A91" s="66"/>
      <c r="B91" s="289"/>
      <c r="C91" s="93"/>
      <c r="D91" s="81" t="s">
        <v>27</v>
      </c>
      <c r="E91" s="89"/>
      <c r="F91" s="90"/>
      <c r="G91" s="87"/>
      <c r="H91" s="144"/>
      <c r="I91" s="47">
        <f>SUM(G88:H90)</f>
        <v>0</v>
      </c>
      <c r="J91" s="90"/>
      <c r="K91" s="87"/>
      <c r="L91" s="91"/>
      <c r="M91" s="48">
        <f>SUM(K88:L90)</f>
        <v>0</v>
      </c>
      <c r="N91" s="252"/>
    </row>
    <row r="92" ht="12.75" customHeight="1" thickBot="1">
      <c r="A92" s="94"/>
      <c r="B92" s="286">
        <v>10</v>
      </c>
      <c r="C92" s="95" t="s">
        <v>62</v>
      </c>
      <c r="D92" s="27"/>
      <c r="E92" s="27"/>
      <c r="F92" s="96"/>
      <c r="G92" s="140"/>
      <c r="H92" s="143"/>
      <c r="I92" s="47">
        <f>SUM(G92:H92)</f>
        <v>0</v>
      </c>
      <c r="J92" s="96"/>
      <c r="K92" s="97"/>
      <c r="L92" s="98"/>
      <c r="M92" s="48">
        <f>SUM(K92:L92)</f>
        <v>0</v>
      </c>
      <c r="N92" s="252"/>
    </row>
    <row r="93" ht="14.25" thickTop="1" thickBot="1">
      <c r="A93" s="99"/>
      <c r="B93" s="100" t="s">
        <v>63</v>
      </c>
      <c r="C93" s="100"/>
      <c r="D93" s="100"/>
      <c r="E93" s="100"/>
      <c r="F93" s="61" t="e">
        <f>iocsh+iocoh+iosth+ioblh+ioelh+iopih+iopah+iollh+ioplh+iopfh</f>
        <v>#VALUE!</v>
      </c>
      <c r="G93" s="62">
        <f>iocsl+iocol+iostl+iobll+ioell+iopil+iopal+iolll+iopll+iopfl</f>
        <v>0</v>
      </c>
      <c r="H93" s="63">
        <f>iocsm+iocom+iostm+ioblm+ioemm+ioeom+iopim+iopam+iolem+iolbm+iopem+iopbm+iopfm</f>
        <v>0</v>
      </c>
      <c r="I93" s="64">
        <f>SUM(I73:I92)</f>
        <v>0</v>
      </c>
      <c r="J93" s="61">
        <f>SUM(J73:J92)</f>
        <v>0</v>
      </c>
      <c r="K93" s="62">
        <f>SUM(K73:K92)</f>
        <v>0</v>
      </c>
      <c r="L93" s="63">
        <f>SUM(L73:L92)</f>
        <v>0</v>
      </c>
      <c r="M93" s="62">
        <f>SUM(M73:M92)</f>
        <v>0</v>
      </c>
      <c r="N93" s="252"/>
    </row>
    <row r="94">
      <c r="A94" s="151" t="s">
        <v>109</v>
      </c>
      <c r="C94" s="13"/>
      <c r="D94" s="13"/>
      <c r="E94" s="13"/>
      <c r="F94" s="68"/>
      <c r="G94" s="69"/>
      <c r="H94" s="69"/>
      <c r="I94" s="69"/>
      <c r="J94" s="69"/>
      <c r="K94" s="69"/>
      <c r="L94" s="69"/>
      <c r="M94" s="69"/>
      <c r="N94" s="71"/>
    </row>
    <row r="95">
      <c r="A95" s="39">
        <v>5</v>
      </c>
      <c r="B95" s="40" t="s">
        <v>64</v>
      </c>
      <c r="C95" s="30"/>
      <c r="D95" s="30"/>
      <c r="E95" s="30"/>
      <c r="F95" s="41"/>
      <c r="G95" s="65"/>
      <c r="H95" s="65"/>
      <c r="I95" s="65"/>
      <c r="J95" s="65"/>
      <c r="K95" s="65"/>
      <c r="L95" s="65"/>
      <c r="M95" s="65"/>
    </row>
    <row r="96" s="78" customFormat="1" ht="12.75" customHeight="1">
      <c r="A96" s="66"/>
      <c r="B96" s="285">
        <v>1</v>
      </c>
      <c r="C96" s="43" t="s">
        <v>51</v>
      </c>
      <c r="D96" s="51"/>
      <c r="E96" s="51"/>
      <c r="F96" s="44" t="s">
        <v>180</v>
      </c>
      <c r="G96" s="45"/>
      <c r="H96" s="58"/>
      <c r="I96" s="47">
        <f>SUM(G96:H96)</f>
        <v>0</v>
      </c>
      <c r="J96" s="44" t="s">
        <v>231</v>
      </c>
      <c r="K96" s="310" t="s">
        <v>232</v>
      </c>
      <c r="L96" s="310" t="s">
        <v>233</v>
      </c>
      <c r="M96" s="48">
        <f>SUM(K96:L96)</f>
        <v>0</v>
      </c>
      <c r="N96" s="71"/>
      <c r="O96" s="4"/>
      <c r="P96" s="4"/>
      <c r="Q96" s="4"/>
      <c r="R96" s="4"/>
    </row>
    <row r="97" ht="12.75" customHeight="1">
      <c r="A97" s="66"/>
      <c r="B97" s="285">
        <v>2</v>
      </c>
      <c r="C97" s="43" t="s">
        <v>52</v>
      </c>
      <c r="D97" s="51"/>
      <c r="E97" s="51"/>
      <c r="F97" s="52"/>
      <c r="G97" s="53"/>
      <c r="H97" s="67"/>
      <c r="I97" s="47">
        <f>SUM(G97:H97)</f>
        <v>0</v>
      </c>
      <c r="J97" s="52"/>
      <c r="K97" s="53"/>
      <c r="L97" s="67"/>
      <c r="M97" s="48">
        <f>SUM(K97:L97)</f>
        <v>0</v>
      </c>
      <c r="N97" s="71"/>
    </row>
    <row r="98" ht="12.75" customHeight="1">
      <c r="A98" s="66"/>
      <c r="B98" s="285">
        <v>3</v>
      </c>
      <c r="C98" s="43" t="s">
        <v>53</v>
      </c>
      <c r="D98" s="51"/>
      <c r="E98" s="51"/>
      <c r="F98" s="52"/>
      <c r="G98" s="53"/>
      <c r="H98" s="67"/>
      <c r="I98" s="47">
        <f>SUM(G98:H98)</f>
        <v>0</v>
      </c>
      <c r="J98" s="52"/>
      <c r="K98" s="53"/>
      <c r="L98" s="67"/>
      <c r="M98" s="48">
        <f>SUM(K98:L98)</f>
        <v>0</v>
      </c>
      <c r="N98" s="71"/>
    </row>
    <row r="99" ht="12.75" customHeight="1">
      <c r="A99" s="66"/>
      <c r="B99" s="285">
        <v>4</v>
      </c>
      <c r="C99" s="43" t="s">
        <v>54</v>
      </c>
      <c r="D99" s="51"/>
      <c r="E99" s="51"/>
      <c r="F99" s="52"/>
      <c r="G99" s="53"/>
      <c r="H99" s="67"/>
      <c r="I99" s="47">
        <f>SUM(G99:H99)</f>
        <v>0</v>
      </c>
      <c r="J99" s="52"/>
      <c r="K99" s="53"/>
      <c r="L99" s="67"/>
      <c r="M99" s="48">
        <f>SUM(K99:L99)</f>
        <v>0</v>
      </c>
      <c r="N99" s="71"/>
      <c r="O99" s="101"/>
    </row>
    <row r="100" ht="12.75" customHeight="1">
      <c r="A100" s="66"/>
      <c r="B100" s="287">
        <v>5</v>
      </c>
      <c r="C100" s="80" t="s">
        <v>55</v>
      </c>
      <c r="D100" s="81" t="s">
        <v>56</v>
      </c>
      <c r="E100" s="51"/>
      <c r="F100" s="52"/>
      <c r="G100" s="53"/>
      <c r="H100" s="54"/>
      <c r="I100" s="82"/>
      <c r="J100" s="52"/>
      <c r="K100" s="53"/>
      <c r="L100" s="54"/>
      <c r="M100" s="83"/>
      <c r="N100" s="71"/>
    </row>
    <row r="101" ht="12.75" customHeight="1">
      <c r="A101" s="66"/>
      <c r="B101" s="288"/>
      <c r="C101" s="84"/>
      <c r="D101" s="85" t="s">
        <v>26</v>
      </c>
      <c r="E101" s="250" t="s">
        <v>37</v>
      </c>
      <c r="F101" s="86"/>
      <c r="G101" s="82"/>
      <c r="H101" s="67"/>
      <c r="I101" s="82"/>
      <c r="J101" s="86"/>
      <c r="K101" s="82"/>
      <c r="L101" s="67"/>
      <c r="M101" s="83"/>
      <c r="N101" s="71"/>
    </row>
    <row r="102" ht="12.75" customHeight="1">
      <c r="A102" s="66"/>
      <c r="B102" s="288"/>
      <c r="C102" s="18"/>
      <c r="D102" s="85"/>
      <c r="E102" s="250" t="s">
        <v>160</v>
      </c>
      <c r="F102" s="86"/>
      <c r="G102" s="82"/>
      <c r="H102" s="67"/>
      <c r="I102" s="82"/>
      <c r="J102" s="86"/>
      <c r="K102" s="82"/>
      <c r="L102" s="67"/>
      <c r="M102" s="83"/>
      <c r="N102" s="71"/>
    </row>
    <row r="103" ht="12.75" customHeight="1">
      <c r="A103" s="66"/>
      <c r="B103" s="288"/>
      <c r="C103" s="18"/>
      <c r="D103" s="81"/>
      <c r="E103" s="250" t="s">
        <v>59</v>
      </c>
      <c r="F103" s="86"/>
      <c r="G103" s="82"/>
      <c r="H103" s="67"/>
      <c r="I103" s="87"/>
      <c r="J103" s="86"/>
      <c r="K103" s="82"/>
      <c r="L103" s="67"/>
      <c r="M103" s="88"/>
      <c r="N103" s="71"/>
    </row>
    <row r="104" ht="12.75" customHeight="1">
      <c r="A104" s="66"/>
      <c r="B104" s="289"/>
      <c r="C104" s="89"/>
      <c r="D104" s="81" t="s">
        <v>27</v>
      </c>
      <c r="E104" s="89"/>
      <c r="F104" s="90"/>
      <c r="G104" s="87"/>
      <c r="H104" s="91"/>
      <c r="I104" s="55">
        <f>SUM(G100:H103)</f>
        <v>0</v>
      </c>
      <c r="J104" s="90"/>
      <c r="K104" s="87"/>
      <c r="L104" s="91"/>
      <c r="M104" s="56">
        <f>SUM(K100:L103)</f>
        <v>0</v>
      </c>
      <c r="N104" s="71"/>
    </row>
    <row r="105" ht="12.75" customHeight="1">
      <c r="A105" s="66"/>
      <c r="B105" s="285">
        <v>6</v>
      </c>
      <c r="C105" s="43" t="s">
        <v>36</v>
      </c>
      <c r="D105" s="51"/>
      <c r="E105" s="51"/>
      <c r="F105" s="52"/>
      <c r="G105" s="53"/>
      <c r="H105" s="67"/>
      <c r="I105" s="47">
        <f>SUM(G105:H105)</f>
        <v>0</v>
      </c>
      <c r="J105" s="52"/>
      <c r="K105" s="53"/>
      <c r="L105" s="67"/>
      <c r="M105" s="48">
        <f>SUM(K105:L105)</f>
        <v>0</v>
      </c>
      <c r="N105" s="71"/>
    </row>
    <row r="106" ht="12.75" customHeight="1">
      <c r="A106" s="66"/>
      <c r="B106" s="285">
        <v>7</v>
      </c>
      <c r="C106" s="43" t="s">
        <v>57</v>
      </c>
      <c r="D106" s="51"/>
      <c r="E106" s="51"/>
      <c r="F106" s="52"/>
      <c r="G106" s="53"/>
      <c r="H106" s="67"/>
      <c r="I106" s="47">
        <f>SUM(G106:H106)</f>
        <v>0</v>
      </c>
      <c r="J106" s="52"/>
      <c r="K106" s="53"/>
      <c r="L106" s="67"/>
      <c r="M106" s="48">
        <f>SUM(K106:L106)</f>
        <v>0</v>
      </c>
      <c r="N106" s="71"/>
    </row>
    <row r="107" ht="12.75" customHeight="1">
      <c r="A107" s="66"/>
      <c r="B107" s="287">
        <v>8</v>
      </c>
      <c r="C107" s="80" t="s">
        <v>40</v>
      </c>
      <c r="D107" s="81" t="s">
        <v>56</v>
      </c>
      <c r="E107" s="51"/>
      <c r="F107" s="52"/>
      <c r="G107" s="53"/>
      <c r="H107" s="54"/>
      <c r="I107" s="82"/>
      <c r="J107" s="52"/>
      <c r="K107" s="53"/>
      <c r="L107" s="54"/>
      <c r="M107" s="83"/>
      <c r="N107" s="71"/>
    </row>
    <row r="108" ht="12.75" customHeight="1">
      <c r="A108" s="66"/>
      <c r="B108" s="290"/>
      <c r="C108" s="84"/>
      <c r="D108" s="85" t="s">
        <v>26</v>
      </c>
      <c r="E108" s="150" t="s">
        <v>58</v>
      </c>
      <c r="F108" s="86"/>
      <c r="G108" s="82"/>
      <c r="H108" s="67"/>
      <c r="I108" s="82"/>
      <c r="J108" s="86"/>
      <c r="K108" s="82"/>
      <c r="L108" s="67"/>
      <c r="M108" s="83"/>
      <c r="N108" s="71"/>
    </row>
    <row r="109" ht="12.75" customHeight="1">
      <c r="A109" s="66"/>
      <c r="B109" s="290"/>
      <c r="C109" s="18"/>
      <c r="D109" s="81"/>
      <c r="E109" s="150" t="s">
        <v>59</v>
      </c>
      <c r="F109" s="86"/>
      <c r="G109" s="82"/>
      <c r="H109" s="67"/>
      <c r="I109" s="82"/>
      <c r="J109" s="86"/>
      <c r="K109" s="82"/>
      <c r="L109" s="67"/>
      <c r="M109" s="83"/>
      <c r="N109" s="71"/>
    </row>
    <row r="110" ht="12.75" customHeight="1">
      <c r="A110" s="66"/>
      <c r="B110" s="289"/>
      <c r="C110" s="51"/>
      <c r="D110" s="81" t="s">
        <v>27</v>
      </c>
      <c r="E110" s="89"/>
      <c r="F110" s="90"/>
      <c r="G110" s="87"/>
      <c r="H110" s="91"/>
      <c r="I110" s="47">
        <f>SUM(G107:H109)</f>
        <v>0</v>
      </c>
      <c r="J110" s="90"/>
      <c r="K110" s="87"/>
      <c r="L110" s="91"/>
      <c r="M110" s="48">
        <f>SUM(K107:L109)</f>
        <v>0</v>
      </c>
      <c r="N110" s="71"/>
    </row>
    <row r="111" ht="12.75" customHeight="1">
      <c r="A111" s="66"/>
      <c r="B111" s="287">
        <v>9</v>
      </c>
      <c r="C111" s="80" t="s">
        <v>60</v>
      </c>
      <c r="D111" s="81" t="s">
        <v>56</v>
      </c>
      <c r="E111" s="51"/>
      <c r="F111" s="52"/>
      <c r="G111" s="53"/>
      <c r="H111" s="54"/>
      <c r="I111" s="82"/>
      <c r="J111" s="52"/>
      <c r="K111" s="53"/>
      <c r="L111" s="54"/>
      <c r="M111" s="83"/>
      <c r="N111" s="71"/>
    </row>
    <row r="112" ht="12.75" customHeight="1">
      <c r="A112" s="66"/>
      <c r="B112" s="290"/>
      <c r="C112" s="92" t="s">
        <v>61</v>
      </c>
      <c r="D112" s="85" t="s">
        <v>26</v>
      </c>
      <c r="E112" s="150" t="s">
        <v>157</v>
      </c>
      <c r="F112" s="86"/>
      <c r="G112" s="82"/>
      <c r="H112" s="67"/>
      <c r="I112" s="82"/>
      <c r="J112" s="86"/>
      <c r="K112" s="82"/>
      <c r="L112" s="67"/>
      <c r="M112" s="83"/>
      <c r="N112" s="71"/>
    </row>
    <row r="113" ht="12.75" customHeight="1">
      <c r="A113" s="66"/>
      <c r="B113" s="290"/>
      <c r="C113" s="92"/>
      <c r="D113" s="81"/>
      <c r="E113" s="150" t="s">
        <v>158</v>
      </c>
      <c r="F113" s="86"/>
      <c r="G113" s="82"/>
      <c r="H113" s="67"/>
      <c r="I113" s="82"/>
      <c r="J113" s="86"/>
      <c r="K113" s="82"/>
      <c r="L113" s="67"/>
      <c r="M113" s="83"/>
      <c r="N113" s="71"/>
    </row>
    <row r="114" ht="12.75" customHeight="1">
      <c r="A114" s="66"/>
      <c r="B114" s="289"/>
      <c r="C114" s="93"/>
      <c r="D114" s="81" t="s">
        <v>27</v>
      </c>
      <c r="E114" s="89"/>
      <c r="F114" s="90"/>
      <c r="G114" s="87"/>
      <c r="H114" s="91"/>
      <c r="I114" s="47">
        <f>SUM(G111:H113)</f>
        <v>0</v>
      </c>
      <c r="J114" s="90"/>
      <c r="K114" s="87"/>
      <c r="L114" s="91"/>
      <c r="M114" s="48">
        <f>SUM(K111:L113)</f>
        <v>0</v>
      </c>
      <c r="N114" s="71"/>
    </row>
    <row r="115" ht="12.75" customHeight="1" thickBot="1">
      <c r="A115" s="94"/>
      <c r="B115" s="286">
        <v>10</v>
      </c>
      <c r="C115" s="80" t="s">
        <v>62</v>
      </c>
      <c r="D115" s="27"/>
      <c r="E115" s="27"/>
      <c r="F115" s="96"/>
      <c r="G115" s="97"/>
      <c r="H115" s="98"/>
      <c r="I115" s="47">
        <f>SUM(G115:H115)</f>
        <v>0</v>
      </c>
      <c r="J115" s="96"/>
      <c r="K115" s="97"/>
      <c r="L115" s="98"/>
      <c r="M115" s="48">
        <f>SUM(K115:L115)</f>
        <v>0</v>
      </c>
      <c r="N115" s="71"/>
    </row>
    <row r="116" ht="14.25" thickTop="1" thickBot="1">
      <c r="A116" s="99"/>
      <c r="B116" s="100" t="s">
        <v>65</v>
      </c>
      <c r="C116" s="60"/>
      <c r="D116" s="100"/>
      <c r="E116" s="100"/>
      <c r="F116" s="61">
        <f>SUM(F96:F115)</f>
        <v>0</v>
      </c>
      <c r="G116" s="62">
        <f>SUM(G96:G115)</f>
        <v>0</v>
      </c>
      <c r="H116" s="63">
        <f>SUM(H96:H115)</f>
        <v>0</v>
      </c>
      <c r="I116" s="64">
        <f>SUM(I96:I115)</f>
        <v>0</v>
      </c>
      <c r="J116" s="61">
        <f>SUM(J96:J115)</f>
        <v>0</v>
      </c>
      <c r="K116" s="62">
        <f>SUM(K96:K115)</f>
        <v>0</v>
      </c>
      <c r="L116" s="63">
        <f>SUM(L96:L115)</f>
        <v>0</v>
      </c>
      <c r="M116" s="62">
        <f>SUM(M96:M115)</f>
        <v>0</v>
      </c>
      <c r="N116" s="71"/>
    </row>
    <row r="117" ht="13.5" thickBot="1">
      <c r="A117" s="152" t="s">
        <v>113</v>
      </c>
      <c r="B117" s="151"/>
      <c r="D117" s="13"/>
      <c r="E117" s="13"/>
      <c r="F117" s="68"/>
      <c r="G117" s="69"/>
      <c r="H117" s="69"/>
      <c r="I117" s="69"/>
      <c r="J117" s="68"/>
      <c r="K117" s="69"/>
      <c r="L117" s="69"/>
      <c r="M117" s="69"/>
      <c r="N117" s="71"/>
    </row>
    <row r="118" ht="13.5" thickBot="1">
      <c r="A118" s="102"/>
      <c r="B118" s="103" t="s">
        <v>66</v>
      </c>
      <c r="C118" s="104"/>
      <c r="D118" s="104"/>
      <c r="E118" s="104"/>
      <c r="F118" s="105" t="e">
        <f>SUM(F93,F116)</f>
        <v>#VALUE!</v>
      </c>
      <c r="G118" s="106">
        <f>SUM(G93,G116)</f>
        <v>0</v>
      </c>
      <c r="H118" s="107">
        <f>SUM(H93,H116)</f>
        <v>0</v>
      </c>
      <c r="I118" s="108">
        <f>SUM(I93,I116)</f>
        <v>0</v>
      </c>
      <c r="J118" s="105">
        <f>SUM(J93,J116)</f>
        <v>0</v>
      </c>
      <c r="K118" s="106">
        <f>SUM(K93,K116)</f>
        <v>0</v>
      </c>
      <c r="L118" s="107">
        <f>SUM(L93,L116)</f>
        <v>0</v>
      </c>
      <c r="M118" s="109">
        <f>SUM(M93,M116)</f>
        <v>0</v>
      </c>
      <c r="N118" s="71"/>
    </row>
    <row r="119">
      <c r="A119" s="110"/>
      <c r="B119" s="111"/>
      <c r="C119" s="112"/>
      <c r="D119" s="112"/>
      <c r="E119" s="254" t="s">
        <v>152</v>
      </c>
      <c r="G119" s="114"/>
      <c r="H119" s="114"/>
      <c r="I119" s="254" t="s">
        <v>159</v>
      </c>
      <c r="K119" s="114"/>
      <c r="L119" s="114"/>
      <c r="M119" s="69"/>
      <c r="N119" s="71"/>
    </row>
    <row r="120" ht="18">
      <c r="A120" s="1" t="s">
        <v>67</v>
      </c>
      <c r="B120" s="2"/>
      <c r="C120" s="2"/>
      <c r="D120" s="2"/>
      <c r="E120" s="2"/>
      <c r="F120" s="2"/>
      <c r="G120" s="291"/>
      <c r="H120" s="291"/>
      <c r="I120" s="291"/>
      <c r="J120" s="291"/>
      <c r="K120" s="291"/>
      <c r="L120" s="291"/>
      <c r="M120" s="291"/>
      <c r="N120" s="3"/>
      <c r="O120" s="3"/>
      <c r="P120" s="3"/>
      <c r="Q120" s="3"/>
      <c r="R120" s="3"/>
      <c r="S120" s="3"/>
      <c r="T120" s="3"/>
      <c r="U120" s="3"/>
      <c r="V120" s="3"/>
      <c r="W120" s="3"/>
      <c r="X120" s="3"/>
      <c r="Y120" s="3"/>
      <c r="Z120" s="3"/>
      <c r="AA120" s="3"/>
      <c r="AB120" s="3"/>
      <c r="AC120" s="3"/>
      <c r="AD120" s="3"/>
    </row>
    <row r="121" ht="13.5" thickBot="1">
      <c r="A121" s="110"/>
      <c r="B121" s="111"/>
      <c r="C121" s="112"/>
      <c r="D121" s="112"/>
      <c r="E121" s="129" t="s">
        <v>114</v>
      </c>
      <c r="F121" s="113"/>
      <c r="G121" s="114"/>
      <c r="H121" s="114"/>
      <c r="I121" s="69"/>
      <c r="J121" s="113"/>
      <c r="K121" s="114"/>
      <c r="L121" s="114"/>
      <c r="M121" s="69"/>
      <c r="N121" s="71"/>
    </row>
    <row r="122" ht="12.75" customHeight="1" thickBot="1">
      <c r="A122" s="102"/>
      <c r="B122" s="103" t="s">
        <v>68</v>
      </c>
      <c r="C122" s="104"/>
      <c r="D122" s="104"/>
      <c r="E122" s="104"/>
      <c r="F122" s="160"/>
      <c r="G122" s="158"/>
      <c r="H122" s="158"/>
      <c r="I122" s="158"/>
      <c r="J122" s="157"/>
      <c r="K122" s="158"/>
      <c r="L122" s="159"/>
      <c r="M122" s="109">
        <f>+I118+M118+M64+I64+M57+I57+M43+I43</f>
        <v>0</v>
      </c>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c r="EG122" s="1"/>
      <c r="EH122" s="1"/>
      <c r="EI122" s="1"/>
      <c r="EJ122" s="1"/>
      <c r="EK122" s="1"/>
      <c r="EL122" s="1"/>
      <c r="EM122" s="1"/>
      <c r="EN122" s="1"/>
      <c r="EO122" s="1"/>
      <c r="EP122" s="1"/>
      <c r="EQ122" s="1"/>
      <c r="ER122" s="1"/>
      <c r="ES122" s="1"/>
      <c r="ET122" s="1"/>
      <c r="EU122" s="1"/>
      <c r="EV122" s="1"/>
      <c r="EW122" s="1"/>
      <c r="EX122" s="1"/>
      <c r="EY122" s="1"/>
      <c r="EZ122" s="1"/>
      <c r="FA122" s="1"/>
      <c r="FB122" s="1"/>
      <c r="FC122" s="1"/>
      <c r="FD122" s="1"/>
      <c r="FE122" s="1"/>
      <c r="FF122" s="1"/>
      <c r="FG122" s="1"/>
      <c r="FH122" s="1"/>
      <c r="FI122" s="1"/>
      <c r="FJ122" s="1"/>
      <c r="FK122" s="1"/>
      <c r="FL122" s="1"/>
      <c r="FM122" s="1"/>
      <c r="FN122" s="1"/>
      <c r="FO122" s="1"/>
      <c r="FP122" s="1"/>
      <c r="FQ122" s="1"/>
      <c r="FR122" s="1"/>
      <c r="FS122" s="1"/>
      <c r="FT122" s="1"/>
      <c r="FU122" s="1"/>
      <c r="FV122" s="1"/>
      <c r="FW122" s="1"/>
      <c r="FX122" s="1"/>
      <c r="FY122" s="1"/>
      <c r="FZ122" s="1"/>
      <c r="GA122" s="1"/>
      <c r="GB122" s="1"/>
      <c r="GC122" s="1"/>
      <c r="GD122" s="1"/>
      <c r="GE122" s="1"/>
      <c r="GF122" s="1"/>
      <c r="GG122" s="1"/>
      <c r="GH122" s="1"/>
      <c r="GI122" s="1"/>
      <c r="GJ122" s="1"/>
      <c r="GK122" s="1"/>
      <c r="GL122" s="1"/>
      <c r="GM122" s="1"/>
      <c r="GN122" s="1"/>
      <c r="GO122" s="1"/>
      <c r="GP122" s="1"/>
      <c r="GQ122" s="1"/>
      <c r="GR122" s="1"/>
      <c r="GS122" s="1"/>
      <c r="GT122" s="1"/>
      <c r="GU122" s="1"/>
      <c r="GV122" s="1"/>
      <c r="GW122" s="1"/>
      <c r="GX122" s="1"/>
      <c r="GY122" s="1"/>
      <c r="GZ122" s="1"/>
      <c r="HA122" s="1"/>
      <c r="HB122" s="1"/>
      <c r="HC122" s="1"/>
      <c r="HD122" s="1"/>
      <c r="HE122" s="1"/>
      <c r="HF122" s="1"/>
      <c r="HG122" s="1"/>
      <c r="HH122" s="1"/>
      <c r="HI122" s="1"/>
      <c r="HJ122" s="1"/>
      <c r="HK122" s="1"/>
      <c r="HL122" s="1"/>
      <c r="HM122" s="1"/>
      <c r="HN122" s="1"/>
      <c r="HO122" s="1"/>
      <c r="HP122" s="1"/>
      <c r="HQ122" s="1"/>
      <c r="HR122" s="1"/>
      <c r="HS122" s="1"/>
      <c r="HT122" s="1"/>
      <c r="HU122" s="1"/>
      <c r="HV122" s="1"/>
      <c r="HW122" s="1"/>
      <c r="HX122" s="1"/>
      <c r="HY122" s="1"/>
      <c r="HZ122" s="1"/>
      <c r="IA122" s="1"/>
      <c r="IB122" s="1"/>
      <c r="IC122" s="1"/>
      <c r="ID122" s="1"/>
      <c r="IE122" s="1"/>
      <c r="IF122" s="1"/>
      <c r="IG122" s="1"/>
      <c r="IH122" s="1"/>
      <c r="II122" s="1"/>
      <c r="IJ122" s="1"/>
      <c r="IK122" s="1"/>
      <c r="IL122" s="1"/>
      <c r="IM122" s="1"/>
      <c r="IN122" s="1"/>
      <c r="IO122" s="1"/>
      <c r="IP122" s="1"/>
      <c r="IQ122" s="1"/>
      <c r="IR122" s="1"/>
      <c r="IS122" s="1"/>
      <c r="IT122" s="1"/>
      <c r="IU122" s="1"/>
      <c r="IV122" s="1"/>
    </row>
    <row r="123" ht="13.5" thickBot="1">
      <c r="A123" s="79"/>
      <c r="B123" s="13"/>
      <c r="C123" s="13"/>
      <c r="D123" s="13"/>
      <c r="E123" s="13"/>
      <c r="F123" s="68"/>
      <c r="G123" s="69"/>
      <c r="H123" s="69"/>
      <c r="I123" s="69"/>
      <c r="J123" s="68"/>
      <c r="K123" s="69"/>
      <c r="L123" s="69"/>
      <c r="M123" s="69"/>
      <c r="N123" s="71"/>
    </row>
    <row r="124" ht="13.5" thickBot="1">
      <c r="A124" s="115">
        <v>6</v>
      </c>
      <c r="B124" s="116" t="s">
        <v>69</v>
      </c>
      <c r="C124" s="104"/>
      <c r="D124" s="104"/>
      <c r="E124" s="104"/>
      <c r="F124" s="160"/>
      <c r="G124" s="158"/>
      <c r="H124" s="158"/>
      <c r="I124" s="158"/>
      <c r="J124" s="157"/>
      <c r="K124" s="158"/>
      <c r="L124" s="159"/>
      <c r="M124" s="139" t="s">
        <v>175</v>
      </c>
      <c r="N124" s="71"/>
    </row>
    <row r="125" ht="13.5" thickBot="1">
      <c r="A125" s="79"/>
      <c r="B125" s="13"/>
      <c r="C125" s="13"/>
      <c r="D125" s="13"/>
      <c r="E125" s="13"/>
      <c r="F125" s="68"/>
      <c r="G125" s="69"/>
      <c r="H125" s="69"/>
      <c r="I125" s="69"/>
      <c r="J125" s="68"/>
      <c r="K125" s="69"/>
      <c r="L125" s="69"/>
      <c r="M125" s="69"/>
      <c r="N125" s="71"/>
    </row>
    <row r="126" ht="13.5" thickBot="1">
      <c r="A126" s="115">
        <v>7</v>
      </c>
      <c r="B126" s="116" t="s">
        <v>70</v>
      </c>
      <c r="C126" s="104"/>
      <c r="D126" s="104"/>
      <c r="E126" s="104"/>
      <c r="F126" s="160"/>
      <c r="G126" s="158"/>
      <c r="H126" s="158"/>
      <c r="I126" s="158"/>
      <c r="J126" s="157"/>
      <c r="K126" s="158"/>
      <c r="L126" s="159"/>
      <c r="M126" s="139" t="s">
        <v>181</v>
      </c>
      <c r="N126" s="71"/>
    </row>
    <row r="127" ht="13.5" thickBot="1">
      <c r="A127" s="79"/>
      <c r="B127" s="13"/>
      <c r="C127" s="13"/>
      <c r="D127" s="13"/>
      <c r="E127" s="13"/>
      <c r="F127" s="68"/>
      <c r="G127" s="69"/>
      <c r="H127" s="69"/>
      <c r="I127" s="69"/>
      <c r="J127" s="68"/>
      <c r="K127" s="69"/>
      <c r="L127" s="69"/>
      <c r="M127" s="69"/>
      <c r="N127" s="71"/>
    </row>
    <row r="128" ht="13.5" thickBot="1">
      <c r="A128" s="102"/>
      <c r="B128" s="103" t="s">
        <v>71</v>
      </c>
      <c r="C128" s="104"/>
      <c r="D128" s="104"/>
      <c r="E128" s="104"/>
      <c r="F128" s="160"/>
      <c r="G128" s="158"/>
      <c r="H128" s="158"/>
      <c r="I128" s="158"/>
      <c r="J128" s="157"/>
      <c r="K128" s="158"/>
      <c r="L128" s="159"/>
      <c r="M128" s="109" t="e">
        <f>+M122+M124+M126</f>
        <v>#VALUE!</v>
      </c>
      <c r="N128" s="71"/>
    </row>
    <row r="129" ht="13.5" thickBot="1">
      <c r="A129" s="118"/>
      <c r="B129" s="15"/>
      <c r="C129" s="15"/>
      <c r="D129" s="15"/>
      <c r="E129" s="15"/>
      <c r="F129" s="15"/>
      <c r="G129" s="65"/>
      <c r="H129" s="65"/>
      <c r="I129" s="65"/>
      <c r="J129" s="65"/>
      <c r="K129" s="65"/>
      <c r="L129" s="65"/>
      <c r="M129" s="65"/>
      <c r="N129" s="71"/>
    </row>
    <row r="130" ht="13.5" thickBot="1">
      <c r="A130" s="115">
        <v>8</v>
      </c>
      <c r="B130" s="117" t="s">
        <v>73</v>
      </c>
      <c r="C130" s="104"/>
      <c r="D130" s="104"/>
      <c r="E130" s="119"/>
      <c r="F130" s="68"/>
      <c r="G130" s="69"/>
      <c r="H130" s="69"/>
      <c r="I130" s="69"/>
      <c r="J130" s="68"/>
      <c r="K130" s="69"/>
      <c r="L130" s="69"/>
      <c r="M130" s="69"/>
      <c r="N130" s="71"/>
    </row>
    <row r="131">
      <c r="A131" s="120"/>
      <c r="B131" s="121" t="s">
        <v>165</v>
      </c>
      <c r="C131" s="122"/>
      <c r="D131" s="122"/>
      <c r="E131" s="122"/>
      <c r="F131" s="164"/>
      <c r="G131" s="165"/>
      <c r="H131" s="165"/>
      <c r="I131" s="165"/>
      <c r="J131" s="166"/>
      <c r="K131" s="165"/>
      <c r="L131" s="167"/>
      <c r="M131" s="168" t="s">
        <v>236</v>
      </c>
      <c r="N131" s="71"/>
    </row>
    <row r="132">
      <c r="A132" s="120"/>
      <c r="B132" s="123" t="s">
        <v>95</v>
      </c>
      <c r="C132" s="124"/>
      <c r="D132" s="124"/>
      <c r="E132" s="124"/>
      <c r="F132" s="163"/>
      <c r="G132" s="156"/>
      <c r="H132" s="156"/>
      <c r="I132" s="156"/>
      <c r="J132" s="155"/>
      <c r="K132" s="156"/>
      <c r="L132" s="161"/>
      <c r="M132" s="169"/>
      <c r="N132" s="71"/>
    </row>
    <row r="133">
      <c r="A133" s="120"/>
      <c r="B133" s="123" t="s">
        <v>96</v>
      </c>
      <c r="C133" s="124"/>
      <c r="D133" s="124"/>
      <c r="E133" s="124"/>
      <c r="F133" s="163"/>
      <c r="G133" s="156"/>
      <c r="H133" s="156"/>
      <c r="I133" s="156"/>
      <c r="J133" s="155"/>
      <c r="K133" s="156"/>
      <c r="L133" s="161"/>
      <c r="M133" s="169"/>
      <c r="N133" s="71"/>
    </row>
    <row r="134">
      <c r="A134" s="120"/>
      <c r="B134" s="123" t="s">
        <v>97</v>
      </c>
      <c r="C134" s="124"/>
      <c r="D134" s="124"/>
      <c r="E134" s="124"/>
      <c r="F134" s="163"/>
      <c r="G134" s="156"/>
      <c r="H134" s="156"/>
      <c r="I134" s="156"/>
      <c r="J134" s="155"/>
      <c r="K134" s="156"/>
      <c r="L134" s="161"/>
      <c r="M134" s="169"/>
      <c r="N134" s="71"/>
    </row>
    <row r="135" ht="13.5" thickBot="1">
      <c r="A135" s="125"/>
      <c r="B135" s="126" t="s">
        <v>110</v>
      </c>
      <c r="C135" s="127"/>
      <c r="D135" s="127"/>
      <c r="E135" s="127"/>
      <c r="F135" s="163"/>
      <c r="G135" s="156"/>
      <c r="H135" s="156"/>
      <c r="I135" s="156"/>
      <c r="J135" s="155"/>
      <c r="K135" s="156"/>
      <c r="L135" s="161"/>
      <c r="M135" s="170"/>
      <c r="N135" s="71"/>
    </row>
    <row r="136" ht="13.5" thickBot="1">
      <c r="A136" s="115"/>
      <c r="B136" s="128" t="s">
        <v>98</v>
      </c>
      <c r="C136" s="104"/>
      <c r="D136" s="104"/>
      <c r="E136" s="104"/>
      <c r="F136" s="160"/>
      <c r="G136" s="158"/>
      <c r="H136" s="158"/>
      <c r="I136" s="158"/>
      <c r="J136" s="157"/>
      <c r="K136" s="158"/>
      <c r="L136" s="162"/>
      <c r="M136" s="154">
        <f>SUM(M131:M135)</f>
        <v>0</v>
      </c>
      <c r="N136" s="71"/>
    </row>
    <row r="137" ht="13.5" thickBot="1">
      <c r="A137" s="115"/>
      <c r="B137" s="128"/>
      <c r="C137" s="104"/>
      <c r="D137" s="104"/>
      <c r="E137" s="104"/>
      <c r="F137" s="160"/>
      <c r="G137" s="158"/>
      <c r="H137" s="158"/>
      <c r="I137" s="158"/>
      <c r="J137" s="157"/>
      <c r="K137" s="158"/>
      <c r="L137" s="158"/>
      <c r="M137" s="154"/>
      <c r="N137" s="71"/>
    </row>
    <row r="138" ht="13.5" thickBot="1">
      <c r="A138" s="115">
        <v>9</v>
      </c>
      <c r="B138" s="117" t="s">
        <v>72</v>
      </c>
      <c r="C138" s="104"/>
      <c r="D138" s="104"/>
      <c r="E138" s="104"/>
      <c r="F138" s="160"/>
      <c r="G138" s="158"/>
      <c r="H138" s="158"/>
      <c r="I138" s="158"/>
      <c r="J138" s="157"/>
      <c r="K138" s="158"/>
      <c r="L138" s="159"/>
      <c r="M138" s="139" t="s">
        <v>182</v>
      </c>
      <c r="N138" s="71"/>
    </row>
    <row r="139" ht="13.5" thickBot="1">
      <c r="A139" s="79"/>
      <c r="B139" s="13"/>
      <c r="C139" s="13"/>
      <c r="D139" s="13"/>
      <c r="E139" s="13"/>
      <c r="F139" s="68"/>
      <c r="G139" s="69"/>
      <c r="H139" s="69"/>
      <c r="I139" s="69"/>
      <c r="J139" s="69"/>
      <c r="K139" s="69"/>
      <c r="L139" s="69"/>
      <c r="M139" s="69"/>
      <c r="N139" s="71"/>
    </row>
    <row r="140" ht="13.5" customHeight="1" thickBot="1">
      <c r="A140" s="102"/>
      <c r="B140" s="103" t="s">
        <v>74</v>
      </c>
      <c r="C140" s="104"/>
      <c r="D140" s="104"/>
      <c r="E140" s="104"/>
      <c r="F140" s="160"/>
      <c r="G140" s="158"/>
      <c r="H140" s="158"/>
      <c r="I140" s="158"/>
      <c r="J140" s="157"/>
      <c r="K140" s="158"/>
      <c r="L140" s="159"/>
      <c r="M140" s="109" t="e">
        <f>+M128+M138+M136</f>
        <v>#VALUE!</v>
      </c>
    </row>
    <row r="141" ht="13.5" customHeight="1">
      <c r="A141" s="110"/>
      <c r="B141" s="111"/>
      <c r="C141" s="112"/>
      <c r="D141" s="112"/>
      <c r="E141" s="112"/>
      <c r="F141" s="155"/>
      <c r="G141" s="156"/>
      <c r="H141" s="156"/>
      <c r="I141" s="156"/>
      <c r="J141" s="155"/>
      <c r="K141" s="156"/>
      <c r="L141" s="156"/>
      <c r="M141" s="69"/>
    </row>
    <row r="142" ht="13.5" customHeight="1">
      <c r="C142" s="129"/>
      <c r="D142" s="129"/>
      <c r="E142" s="129"/>
      <c r="F142" s="130"/>
      <c r="G142" s="113"/>
      <c r="H142" s="113"/>
      <c r="I142" s="68"/>
      <c r="J142" s="113"/>
      <c r="K142" s="114"/>
      <c r="L142" s="114"/>
      <c r="M142" s="69"/>
    </row>
    <row r="143" ht="15" customHeight="1">
      <c r="A143" s="131" t="s">
        <v>170</v>
      </c>
      <c r="C143" s="129"/>
      <c r="D143" s="129"/>
      <c r="E143" s="129"/>
      <c r="F143" s="130"/>
      <c r="G143" s="113"/>
      <c r="H143" s="113"/>
      <c r="I143" s="68"/>
      <c r="J143" s="113"/>
      <c r="K143" s="114"/>
      <c r="L143" s="114"/>
      <c r="M143" s="69"/>
    </row>
    <row r="144" ht="13.5" thickBot="1">
      <c r="A144" s="171"/>
      <c r="B144" s="172"/>
      <c r="C144" s="112"/>
      <c r="D144" s="112"/>
      <c r="E144" s="112"/>
      <c r="F144" s="173"/>
      <c r="G144" s="173"/>
      <c r="H144" s="173"/>
      <c r="I144" s="270" t="s">
        <v>166</v>
      </c>
      <c r="K144" s="69"/>
      <c r="L144" s="69"/>
      <c r="M144" s="69"/>
      <c r="N144" s="71"/>
    </row>
    <row r="145" ht="13.5" thickTop="1">
      <c r="A145" s="174"/>
      <c r="B145" s="175"/>
      <c r="C145" s="127"/>
      <c r="D145" s="191"/>
      <c r="E145" s="238" t="s">
        <v>133</v>
      </c>
      <c r="F145" s="237"/>
      <c r="G145" s="243" t="s">
        <v>146</v>
      </c>
      <c r="H145" s="244"/>
      <c r="I145" s="270" t="s">
        <v>167</v>
      </c>
      <c r="J145" s="269"/>
      <c r="K145" s="323"/>
      <c r="L145" s="311"/>
      <c r="M145" s="311"/>
      <c r="N145" s="71"/>
    </row>
    <row r="146" ht="13.5" thickBot="1">
      <c r="A146" s="174"/>
      <c r="B146" s="185" t="s">
        <v>132</v>
      </c>
      <c r="C146" s="112"/>
      <c r="D146" s="192" t="s">
        <v>131</v>
      </c>
      <c r="E146" s="187" t="s">
        <v>134</v>
      </c>
      <c r="F146" s="188" t="s">
        <v>135</v>
      </c>
      <c r="G146" s="241" t="s">
        <v>75</v>
      </c>
      <c r="H146" s="245" t="s">
        <v>76</v>
      </c>
      <c r="I146" s="271" t="s">
        <v>168</v>
      </c>
      <c r="J146" s="269"/>
      <c r="K146" s="311"/>
      <c r="L146" s="311"/>
      <c r="M146" s="311"/>
      <c r="N146" s="71"/>
    </row>
    <row r="147" ht="13.5" thickTop="1">
      <c r="A147" s="174"/>
      <c r="B147" s="176" t="s">
        <v>80</v>
      </c>
      <c r="C147" s="177"/>
      <c r="D147" s="193" t="s">
        <v>126</v>
      </c>
      <c r="E147" s="199" t="s">
        <v>81</v>
      </c>
      <c r="F147" s="200" t="s">
        <v>115</v>
      </c>
      <c r="G147" s="208" t="s">
        <v>205</v>
      </c>
      <c r="H147" s="208" t="s">
        <v>237</v>
      </c>
      <c r="I147" s="272" t="s">
        <v>246</v>
      </c>
      <c r="J147" s="268"/>
      <c r="K147" s="313"/>
      <c r="L147" s="312"/>
      <c r="M147" s="312"/>
      <c r="N147" s="71"/>
    </row>
    <row r="148">
      <c r="A148" s="174"/>
      <c r="B148" s="178" t="s">
        <v>84</v>
      </c>
      <c r="C148" s="179"/>
      <c r="D148" s="194" t="s">
        <v>120</v>
      </c>
      <c r="E148" s="201" t="s">
        <v>139</v>
      </c>
      <c r="F148" s="202" t="s">
        <v>116</v>
      </c>
      <c r="G148" s="208"/>
      <c r="H148" s="246"/>
      <c r="I148" s="242">
        <v>0</v>
      </c>
      <c r="J148" s="268"/>
      <c r="K148" s="313"/>
      <c r="L148" s="312"/>
      <c r="M148" s="312"/>
      <c r="N148" s="71"/>
    </row>
    <row r="149">
      <c r="A149" s="174"/>
      <c r="B149" s="178" t="s">
        <v>87</v>
      </c>
      <c r="C149" s="179"/>
      <c r="D149" s="194" t="s">
        <v>127</v>
      </c>
      <c r="E149" s="201" t="s">
        <v>88</v>
      </c>
      <c r="F149" s="202" t="s">
        <v>128</v>
      </c>
      <c r="G149" s="208"/>
      <c r="H149" s="246"/>
      <c r="I149" s="242">
        <v>0</v>
      </c>
      <c r="J149" s="268"/>
      <c r="K149" s="313"/>
      <c r="L149" s="312"/>
      <c r="M149" s="312"/>
    </row>
    <row r="150">
      <c r="A150" s="174"/>
      <c r="B150" s="180" t="s">
        <v>90</v>
      </c>
      <c r="C150" s="181"/>
      <c r="D150" s="195" t="s">
        <v>125</v>
      </c>
      <c r="F150" s="189"/>
      <c r="G150" s="208"/>
      <c r="H150" s="247"/>
      <c r="I150" s="329"/>
      <c r="J150" s="268"/>
      <c r="K150" s="313"/>
      <c r="L150" s="313"/>
      <c r="M150" s="313"/>
    </row>
    <row r="151">
      <c r="A151" s="174"/>
      <c r="B151" s="178"/>
      <c r="C151" s="179"/>
      <c r="D151" s="196" t="s">
        <v>123</v>
      </c>
      <c r="E151" s="138"/>
      <c r="F151" s="189"/>
      <c r="G151" s="208"/>
      <c r="H151" s="247"/>
      <c r="I151" s="330"/>
      <c r="J151" s="268"/>
      <c r="K151" s="313"/>
      <c r="L151" s="313"/>
      <c r="M151" s="313"/>
    </row>
    <row r="152">
      <c r="A152" s="174"/>
      <c r="B152" s="180" t="s">
        <v>93</v>
      </c>
      <c r="C152" s="181"/>
      <c r="D152" s="194" t="s">
        <v>124</v>
      </c>
      <c r="E152" s="203" t="s">
        <v>117</v>
      </c>
      <c r="F152" s="202" t="s">
        <v>118</v>
      </c>
      <c r="G152" s="208"/>
      <c r="H152" s="246"/>
      <c r="I152" s="242">
        <v>0</v>
      </c>
      <c r="J152" s="268"/>
      <c r="K152" s="313"/>
      <c r="L152" s="312"/>
      <c r="M152" s="312"/>
    </row>
    <row r="153">
      <c r="A153" s="174"/>
      <c r="B153" s="180"/>
      <c r="C153" s="181"/>
      <c r="D153" s="194" t="s">
        <v>120</v>
      </c>
      <c r="E153" s="203" t="s">
        <v>140</v>
      </c>
      <c r="F153" s="202" t="s">
        <v>119</v>
      </c>
      <c r="G153" s="208"/>
      <c r="H153" s="246"/>
      <c r="I153" s="242">
        <v>0</v>
      </c>
      <c r="J153" s="268"/>
      <c r="K153" s="313"/>
      <c r="L153" s="312"/>
      <c r="M153" s="312"/>
    </row>
    <row r="154">
      <c r="A154" s="174"/>
      <c r="B154" s="180"/>
      <c r="C154" s="181"/>
      <c r="D154" s="195" t="s">
        <v>129</v>
      </c>
      <c r="E154" s="138"/>
      <c r="F154" s="189"/>
      <c r="G154" s="208" t="s">
        <v>240</v>
      </c>
      <c r="H154" s="208" t="s">
        <v>241</v>
      </c>
      <c r="I154" s="273"/>
      <c r="J154" s="268"/>
      <c r="K154" s="313"/>
      <c r="L154" s="313"/>
      <c r="M154" s="313"/>
    </row>
    <row r="155">
      <c r="A155" s="174"/>
      <c r="B155" s="180"/>
      <c r="C155" s="181"/>
      <c r="D155" s="197" t="s">
        <v>121</v>
      </c>
      <c r="E155" s="204" t="s">
        <v>141</v>
      </c>
      <c r="F155" s="204" t="s">
        <v>122</v>
      </c>
      <c r="G155" s="208"/>
      <c r="H155" s="246"/>
      <c r="I155" s="242">
        <v>0</v>
      </c>
      <c r="J155" s="268"/>
      <c r="K155" s="313"/>
      <c r="L155" s="312"/>
      <c r="M155" s="312"/>
    </row>
    <row r="156">
      <c r="A156" s="174"/>
      <c r="B156" s="182"/>
      <c r="C156" s="122"/>
      <c r="D156" s="198" t="s">
        <v>130</v>
      </c>
      <c r="F156" s="190"/>
      <c r="G156" s="208"/>
      <c r="H156" s="247"/>
      <c r="I156" s="273"/>
      <c r="J156" s="268"/>
      <c r="K156" s="313"/>
      <c r="L156" s="313"/>
      <c r="M156" s="313"/>
    </row>
    <row r="157">
      <c r="A157" s="171"/>
      <c r="B157" s="176" t="s">
        <v>136</v>
      </c>
      <c r="C157" s="177"/>
      <c r="D157" s="194" t="s">
        <v>120</v>
      </c>
      <c r="E157" s="205" t="s">
        <v>140</v>
      </c>
      <c r="F157" s="202" t="s">
        <v>119</v>
      </c>
      <c r="G157" s="208"/>
      <c r="H157" s="246"/>
      <c r="I157" s="242">
        <v>0</v>
      </c>
      <c r="J157" s="268"/>
      <c r="K157" s="313"/>
      <c r="L157" s="312"/>
      <c r="M157" s="312"/>
    </row>
    <row r="158">
      <c r="A158" s="171"/>
      <c r="B158" s="180" t="s">
        <v>85</v>
      </c>
      <c r="C158" s="181"/>
      <c r="D158" s="195" t="s">
        <v>138</v>
      </c>
      <c r="E158" s="206" t="s">
        <v>117</v>
      </c>
      <c r="F158" s="207" t="s">
        <v>118</v>
      </c>
      <c r="G158" s="208"/>
      <c r="H158" s="246"/>
      <c r="I158" s="242">
        <v>0</v>
      </c>
      <c r="J158" s="268"/>
      <c r="K158" s="313"/>
      <c r="L158" s="312"/>
      <c r="M158" s="312"/>
      <c r="N158" s="71"/>
    </row>
    <row r="159">
      <c r="A159" s="171"/>
      <c r="B159" s="178"/>
      <c r="C159" s="179"/>
      <c r="D159" s="195" t="s">
        <v>89</v>
      </c>
      <c r="E159" s="138"/>
      <c r="F159" s="189"/>
      <c r="G159" s="209"/>
      <c r="H159" s="247"/>
      <c r="I159" s="331"/>
      <c r="J159" s="267"/>
      <c r="K159" s="314"/>
      <c r="L159" s="314"/>
      <c r="M159" s="314"/>
      <c r="N159" s="71"/>
    </row>
    <row r="160">
      <c r="A160" s="183"/>
      <c r="B160" s="184" t="s">
        <v>91</v>
      </c>
      <c r="C160" s="181"/>
      <c r="D160" s="195" t="s">
        <v>92</v>
      </c>
      <c r="E160" s="138"/>
      <c r="F160" s="189"/>
      <c r="G160" s="209"/>
      <c r="H160" s="247"/>
      <c r="I160" s="332"/>
      <c r="J160" s="267"/>
      <c r="K160" s="314"/>
      <c r="L160" s="314"/>
      <c r="M160" s="314"/>
      <c r="N160" s="71"/>
    </row>
    <row r="161" ht="13.5" thickBot="1">
      <c r="A161" s="183"/>
      <c r="B161" s="185"/>
      <c r="C161" s="179"/>
      <c r="D161" s="195" t="s">
        <v>145</v>
      </c>
      <c r="E161" s="138"/>
      <c r="F161" s="122"/>
      <c r="G161" s="248"/>
      <c r="H161" s="249"/>
      <c r="I161" s="330"/>
      <c r="J161" s="267"/>
      <c r="K161" s="314"/>
      <c r="L161" s="314"/>
      <c r="M161" s="314"/>
      <c r="N161" s="71"/>
    </row>
    <row r="162" ht="13.5" thickTop="1">
      <c r="A162" s="183"/>
      <c r="B162" s="210" t="s">
        <v>137</v>
      </c>
      <c r="C162" s="183"/>
      <c r="D162" s="183"/>
      <c r="E162" s="183"/>
      <c r="F162" s="186"/>
      <c r="G162" s="186"/>
      <c r="H162" s="186"/>
      <c r="I162" s="186"/>
      <c r="J162" s="132"/>
      <c r="K162" s="315"/>
      <c r="L162" s="315"/>
      <c r="M162" s="315"/>
      <c r="N162" s="71"/>
    </row>
    <row r="163">
      <c r="A163" s="133"/>
      <c r="H163" s="132"/>
      <c r="I163" s="132"/>
      <c r="J163" s="132"/>
      <c r="K163" s="315"/>
      <c r="L163" s="315"/>
      <c r="M163" s="315"/>
      <c r="N163" s="71"/>
    </row>
    <row r="164">
      <c r="A164" s="133"/>
      <c r="B164" s="211" t="s">
        <v>169</v>
      </c>
      <c r="C164" s="211"/>
      <c r="D164" s="211"/>
      <c r="E164" s="211"/>
      <c r="F164" s="211"/>
      <c r="G164" s="211"/>
      <c r="H164" s="132"/>
      <c r="I164" s="132"/>
      <c r="J164" s="132"/>
      <c r="K164" s="315"/>
      <c r="L164" s="315"/>
      <c r="M164" s="315"/>
      <c r="N164" s="71"/>
    </row>
    <row r="165">
      <c r="A165" s="133"/>
      <c r="B165" s="212"/>
      <c r="C165" s="213"/>
      <c r="D165" s="233"/>
      <c r="E165" s="234"/>
      <c r="F165" s="214" t="s">
        <v>75</v>
      </c>
      <c r="G165" s="215" t="s">
        <v>76</v>
      </c>
      <c r="H165" s="132"/>
      <c r="I165" s="132"/>
      <c r="J165" s="132"/>
      <c r="K165" s="315"/>
      <c r="L165" s="315"/>
      <c r="M165" s="315"/>
      <c r="N165" s="71"/>
    </row>
    <row r="166" ht="13.5" thickBot="1">
      <c r="A166" s="133"/>
      <c r="B166" s="240" t="s">
        <v>77</v>
      </c>
      <c r="C166" s="239"/>
      <c r="D166" s="236" t="s">
        <v>78</v>
      </c>
      <c r="E166" s="235"/>
      <c r="F166" s="216" t="s">
        <v>79</v>
      </c>
      <c r="G166" s="217" t="s">
        <v>79</v>
      </c>
      <c r="H166" s="132"/>
      <c r="I166" s="132"/>
      <c r="J166" s="132"/>
      <c r="K166" s="315"/>
      <c r="L166" s="315"/>
      <c r="M166" s="315"/>
      <c r="N166" s="71"/>
    </row>
    <row r="167" ht="13.5" thickTop="1">
      <c r="A167" s="133"/>
      <c r="B167" s="218" t="s">
        <v>80</v>
      </c>
      <c r="C167" s="219"/>
      <c r="D167" s="223" t="s">
        <v>81</v>
      </c>
      <c r="E167" s="224"/>
      <c r="F167" s="220" t="e">
        <f>ROUND(IF(I147=0,G147,G147*1.308),0)</f>
        <v>#VALUE!</v>
      </c>
      <c r="G167" s="220" t="e">
        <f>ROUND(IF(I147=0,H147,H147*1.308),0)</f>
        <v>#VALUE!</v>
      </c>
      <c r="H167" s="132"/>
      <c r="I167" s="132"/>
      <c r="J167" s="132"/>
      <c r="K167" s="315"/>
      <c r="L167" s="315"/>
      <c r="M167" s="315"/>
      <c r="N167" s="71"/>
    </row>
    <row r="168">
      <c r="A168" s="133"/>
      <c r="B168" s="221" t="s">
        <v>84</v>
      </c>
      <c r="C168" s="222"/>
      <c r="D168" s="223" t="s">
        <v>139</v>
      </c>
      <c r="E168" s="224"/>
      <c r="F168" s="220">
        <f>ROUND(IF(I148=0,G148,G148*1.102),0)</f>
        <v>0</v>
      </c>
      <c r="G168" s="220">
        <f>ROUND(IF(I148=0,H148,H148*1.102),0)</f>
        <v>0</v>
      </c>
      <c r="H168" s="132"/>
      <c r="I168" s="132"/>
      <c r="J168" s="132"/>
      <c r="K168" s="315"/>
      <c r="L168" s="315"/>
      <c r="M168" s="315"/>
      <c r="N168" s="71"/>
    </row>
    <row r="169">
      <c r="A169" s="133"/>
      <c r="B169" s="221" t="s">
        <v>87</v>
      </c>
      <c r="C169" s="222"/>
      <c r="D169" s="223" t="s">
        <v>88</v>
      </c>
      <c r="E169" s="224"/>
      <c r="F169" s="220">
        <f>ROUND(IF(I149=0,G149,G149*10.764),0)</f>
        <v>0</v>
      </c>
      <c r="G169" s="220">
        <f>ROUND(IF(I149=0,H149,H149*10.764),0)</f>
        <v>0</v>
      </c>
      <c r="H169" s="132"/>
      <c r="I169" s="132"/>
      <c r="J169" s="132"/>
      <c r="K169" s="315"/>
      <c r="L169" s="315"/>
      <c r="M169" s="315"/>
      <c r="N169" s="71"/>
    </row>
    <row r="170">
      <c r="A170" s="133"/>
      <c r="B170" s="225" t="s">
        <v>93</v>
      </c>
      <c r="C170" s="226"/>
      <c r="D170" s="223" t="s">
        <v>143</v>
      </c>
      <c r="E170" s="224"/>
      <c r="F170" s="220">
        <f>ROUND(IF(I152=0,G152,G152*3.28),0)</f>
        <v>0</v>
      </c>
      <c r="G170" s="220">
        <f>ROUND(IF(I152=0,H152,H152*3.28),0)</f>
        <v>0</v>
      </c>
      <c r="H170" s="132"/>
      <c r="I170" s="132"/>
      <c r="J170" s="132"/>
      <c r="K170" s="315"/>
      <c r="L170" s="315"/>
      <c r="M170" s="315"/>
      <c r="N170" s="71"/>
    </row>
    <row r="171">
      <c r="A171" s="133"/>
      <c r="B171" s="225"/>
      <c r="C171" s="226"/>
      <c r="D171" s="223" t="s">
        <v>142</v>
      </c>
      <c r="E171" s="224"/>
      <c r="F171" s="220">
        <f>ROUND(IF(I153=0,G153,G153*2.205),0)</f>
        <v>0</v>
      </c>
      <c r="G171" s="220">
        <f>ROUND(IF(I153=0,H153,H153*2.205),0)</f>
        <v>0</v>
      </c>
      <c r="H171" s="132"/>
      <c r="I171" s="132"/>
      <c r="J171" s="132"/>
      <c r="K171" s="315"/>
      <c r="L171" s="315"/>
      <c r="M171" s="315"/>
      <c r="N171" s="71"/>
    </row>
    <row r="172">
      <c r="A172" s="133"/>
      <c r="B172" s="225"/>
      <c r="C172" s="227"/>
      <c r="D172" s="223" t="s">
        <v>94</v>
      </c>
      <c r="E172" s="224"/>
      <c r="F172" s="220">
        <f>ROUND(IF(I155=0,G155,G155/2.54),1)</f>
        <v>0</v>
      </c>
      <c r="G172" s="220">
        <f>ROUND(IF(I155=0,H155,H155/2.54),1)</f>
        <v>0</v>
      </c>
      <c r="H172" s="132"/>
      <c r="I172" s="132"/>
      <c r="J172" s="132"/>
      <c r="K172" s="315"/>
      <c r="L172" s="315"/>
      <c r="M172" s="315"/>
      <c r="N172" s="71"/>
    </row>
    <row r="173">
      <c r="A173" s="133"/>
      <c r="B173" s="218" t="s">
        <v>82</v>
      </c>
      <c r="C173" s="219"/>
      <c r="D173" s="223" t="s">
        <v>83</v>
      </c>
      <c r="E173" s="224"/>
      <c r="F173" s="220">
        <f>ROUND(IF(I157=0,G157,G157*2.205),1)</f>
        <v>0</v>
      </c>
      <c r="G173" s="220">
        <f>ROUND(IF(I157=0,H157,H157*2.205),1)</f>
        <v>0</v>
      </c>
      <c r="H173" s="132"/>
      <c r="I173" s="132"/>
      <c r="J173" s="132"/>
      <c r="K173" s="315"/>
      <c r="L173" s="315"/>
      <c r="M173" s="315"/>
      <c r="N173" s="71"/>
    </row>
    <row r="174">
      <c r="A174" s="133"/>
      <c r="B174" s="218" t="s">
        <v>85</v>
      </c>
      <c r="C174" s="228"/>
      <c r="D174" s="223" t="s">
        <v>86</v>
      </c>
      <c r="E174" s="224"/>
      <c r="F174" s="220">
        <f>ROUND(IF(I158=0,G158,G158*3.28),0)</f>
        <v>0</v>
      </c>
      <c r="G174" s="220">
        <f>ROUND(IF(I158=0,H158,H158*3.28),0)</f>
        <v>0</v>
      </c>
      <c r="H174" s="132"/>
      <c r="I174" s="132"/>
      <c r="J174" s="132"/>
      <c r="K174" s="315"/>
      <c r="L174" s="315"/>
      <c r="M174" s="315"/>
      <c r="N174" s="71"/>
    </row>
    <row r="175">
      <c r="A175" s="133"/>
      <c r="H175" s="132"/>
      <c r="I175" s="132"/>
      <c r="J175" s="132"/>
      <c r="K175" s="315"/>
      <c r="L175" s="315"/>
      <c r="M175" s="315"/>
      <c r="N175" s="71"/>
    </row>
    <row r="176">
      <c r="A176" s="133"/>
      <c r="H176" s="132"/>
      <c r="I176" s="132"/>
      <c r="J176" s="132"/>
      <c r="K176" s="315"/>
      <c r="L176" s="315"/>
      <c r="M176" s="315"/>
      <c r="N176" s="71"/>
    </row>
    <row r="177">
      <c r="A177" s="133"/>
      <c r="H177" s="132"/>
      <c r="I177" s="132"/>
      <c r="J177" s="132"/>
      <c r="K177" s="315"/>
      <c r="L177" s="315"/>
      <c r="M177" s="315"/>
      <c r="N177" s="71"/>
    </row>
    <row r="178">
      <c r="A178" s="133"/>
      <c r="H178" s="132"/>
      <c r="I178" s="132"/>
      <c r="J178" s="132"/>
      <c r="K178" s="315"/>
      <c r="L178" s="315"/>
      <c r="M178" s="315"/>
      <c r="N178" s="71"/>
    </row>
    <row r="179">
      <c r="A179" s="133"/>
      <c r="H179" s="132"/>
      <c r="I179" s="132"/>
      <c r="J179" s="132"/>
      <c r="K179" s="315"/>
      <c r="L179" s="315"/>
      <c r="M179" s="315"/>
      <c r="N179" s="71"/>
    </row>
    <row r="180" s="134" customFormat="1" ht="15">
      <c r="F180" s="135"/>
      <c r="G180" s="135"/>
      <c r="H180" s="135"/>
      <c r="I180" s="135"/>
      <c r="J180" s="135"/>
      <c r="K180" s="316"/>
      <c r="L180" s="316"/>
      <c r="M180" s="316"/>
      <c r="N180" s="135"/>
    </row>
    <row r="181">
      <c r="F181" s="71"/>
      <c r="G181" s="71"/>
      <c r="H181" s="71"/>
      <c r="I181" s="71"/>
      <c r="J181" s="71"/>
      <c r="K181" s="317"/>
      <c r="L181" s="317"/>
      <c r="M181" s="317"/>
      <c r="N181" s="71"/>
    </row>
    <row r="182">
      <c r="F182" s="71"/>
      <c r="G182" s="71"/>
      <c r="H182" s="71"/>
      <c r="I182" s="71"/>
      <c r="J182" s="71"/>
      <c r="K182" s="317"/>
      <c r="L182" s="317"/>
      <c r="M182" s="317"/>
      <c r="N182" s="71"/>
    </row>
    <row r="183">
      <c r="F183" s="71"/>
      <c r="G183" s="71"/>
      <c r="H183" s="71"/>
      <c r="I183" s="71"/>
      <c r="J183" s="71"/>
      <c r="K183" s="317"/>
      <c r="L183" s="317"/>
      <c r="M183" s="317"/>
      <c r="N183" s="71"/>
    </row>
    <row r="185">
      <c r="A185" s="136"/>
      <c r="C185" s="136"/>
      <c r="D185" s="136"/>
    </row>
    <row r="186">
      <c r="A186" s="137"/>
      <c r="C186" s="137"/>
      <c r="D186" s="137"/>
    </row>
    <row r="187">
      <c r="A187" s="137"/>
      <c r="C187" s="137"/>
      <c r="D187" s="137"/>
    </row>
    <row r="188">
      <c r="A188" s="137"/>
      <c r="C188" s="137"/>
      <c r="D188" s="137"/>
    </row>
    <row r="189">
      <c r="A189" s="137"/>
      <c r="C189" s="137"/>
      <c r="D189" s="137"/>
    </row>
  </sheetData>
  <mergeCells>
    <mergeCell ref="A24:M26"/>
    <mergeCell ref="A28:M28"/>
    <mergeCell ref="I150:I151"/>
    <mergeCell ref="I159:I161"/>
  </mergeCells>
  <printOptions gridLinesSet="0"/>
  <pageMargins left="0.75" right="0.4" top="0.7" bottom="0.2" header="0.5" footer="0.5"/>
  <pageSetup scale="50" orientation="portrait" r:id="flId1"/>
  <headerFooter alignWithMargins="0">
    <oddFooter>&amp;L&amp;F&amp;CProperty of IPA&amp;R&amp;D</oddFooter>
  </headerFooter>
  <rowBreaks count="2" manualBreakCount="2">
    <brk man="1" id="65" max="12"/>
    <brk man="1" id="119" max="12"/>
  </rowBreaks>
  <drawing r:id="flId2"/>
</worksheet>
</file>

<file path=xl/worksheets/sheet2.xml><?xml version="1.0" encoding="utf-8"?>
<worksheet xmlns:r="http://schemas.openxmlformats.org/officeDocument/2006/relationships" xmlns="http://schemas.openxmlformats.org/spreadsheetml/2006/main">
  <sheetPr codeName="Config_"/>
  <dimension ref="A3:N23"/>
  <sheetViews>
    <sheetView topLeftCell="A7" workbookViewId="0">
      <selection activeCell="A10" sqref="A10"/>
    </sheetView>
  </sheetViews>
  <sheetFormatPr defaultColWidth="9.140625" defaultRowHeight="15"/>
  <cols>
    <col min="1" max="1" width="22.5703125" style="295" bestFit="1" customWidth="1"/>
    <col min="2" max="2" width="26" style="295" customWidth="1"/>
    <col min="3" max="3" width="23.7109375" style="295" customWidth="1"/>
    <col min="4" max="4" width="35.5703125" style="295" bestFit="1" customWidth="1"/>
    <col min="5" max="7" width="2.7109375" style="295" customWidth="1"/>
    <col min="8" max="8" width="13.140625" style="295" bestFit="1" customWidth="1"/>
    <col min="9" max="9" width="10.85546875" style="295" bestFit="1" customWidth="1"/>
    <col min="10" max="12" width="2.7109375" style="295" customWidth="1"/>
    <col min="13" max="13" width="13.85546875" style="295" customWidth="1"/>
    <col min="14" max="14" width="10.5703125" style="295" bestFit="1" customWidth="1"/>
    <col min="15" max="16384" width="9.140625" style="295"/>
  </cols>
  <sheetData>
    <row r="3">
      <c r="A3" s="294" t="s">
        <v>183</v>
      </c>
    </row>
    <row r="4">
      <c r="A4" s="294" t="s">
        <v>184</v>
      </c>
    </row>
    <row r="5">
      <c r="A5" s="294" t="s">
        <v>185</v>
      </c>
    </row>
    <row r="8">
      <c r="A8" s="296" t="s">
        <v>186</v>
      </c>
      <c r="B8" s="296"/>
      <c r="C8" s="296"/>
      <c r="D8" s="296"/>
      <c r="H8" s="296" t="s">
        <v>187</v>
      </c>
      <c r="I8" s="296"/>
      <c r="M8" s="296" t="s">
        <v>188</v>
      </c>
      <c r="N8" s="296"/>
    </row>
    <row r="9">
      <c r="A9" s="297" t="s">
        <v>189</v>
      </c>
      <c r="B9" s="297" t="s">
        <v>190</v>
      </c>
      <c r="C9" s="297" t="s">
        <v>191</v>
      </c>
      <c r="D9" s="297" t="s">
        <v>192</v>
      </c>
      <c r="H9" s="297" t="s">
        <v>193</v>
      </c>
      <c r="I9" s="297" t="s">
        <v>194</v>
      </c>
      <c r="M9" s="297" t="s">
        <v>195</v>
      </c>
      <c r="N9" s="297" t="s">
        <v>196</v>
      </c>
    </row>
    <row r="10">
      <c r="A10" s="301" t="s">
        <v>202</v>
      </c>
      <c r="B10" s="295" t="s">
        <v>203</v>
      </c>
      <c r="D10" s="295" t="s">
        <v>204</v>
      </c>
      <c r="H10" s="298" t="s">
        <v>197</v>
      </c>
      <c r="I10" s="299">
        <v>1234.56</v>
      </c>
    </row>
    <row r="11">
      <c r="A11" s="302" t="s">
        <v>207</v>
      </c>
      <c r="B11" s="295" t="s">
        <v>206</v>
      </c>
      <c r="D11" s="295" t="s">
        <v>204</v>
      </c>
      <c r="H11" s="298" t="s">
        <v>198</v>
      </c>
      <c r="I11" s="300" t="s">
        <v>199</v>
      </c>
    </row>
    <row r="12">
      <c r="A12" s="295" t="s">
        <v>212</v>
      </c>
      <c r="B12" s="302" t="s">
        <v>213</v>
      </c>
      <c r="D12" s="295" t="s">
        <v>204</v>
      </c>
      <c r="H12" s="298" t="s">
        <v>200</v>
      </c>
      <c r="I12" s="300" t="s">
        <v>199</v>
      </c>
    </row>
    <row r="13">
      <c r="A13" s="295" t="s">
        <v>218</v>
      </c>
      <c r="B13" s="302" t="s">
        <v>219</v>
      </c>
      <c r="D13" s="295" t="s">
        <v>204</v>
      </c>
      <c r="H13" s="298" t="s">
        <v>201</v>
      </c>
      <c r="I13" s="299">
        <v>1234.56</v>
      </c>
    </row>
    <row r="14">
      <c r="A14" s="295" t="s">
        <v>224</v>
      </c>
      <c r="B14" s="302" t="s">
        <v>225</v>
      </c>
      <c r="D14" s="295" t="s">
        <v>204</v>
      </c>
      <c r="H14" s="295" t="s">
        <v>260</v>
      </c>
    </row>
    <row r="15">
      <c r="A15" s="295" t="s">
        <v>229</v>
      </c>
      <c r="B15" s="302" t="s">
        <v>230</v>
      </c>
      <c r="D15" s="295" t="s">
        <v>204</v>
      </c>
    </row>
    <row r="16">
      <c r="A16" s="295" t="s">
        <v>234</v>
      </c>
      <c r="B16" s="302" t="s">
        <v>235</v>
      </c>
      <c r="D16" s="302" t="s">
        <v>204</v>
      </c>
    </row>
    <row r="17">
      <c r="A17" s="295" t="s">
        <v>238</v>
      </c>
      <c r="B17" s="302" t="s">
        <v>239</v>
      </c>
      <c r="D17" s="295" t="s">
        <v>204</v>
      </c>
    </row>
    <row r="18">
      <c r="A18" s="302" t="s">
        <v>245</v>
      </c>
      <c r="B18" s="302" t="s">
        <v>243</v>
      </c>
      <c r="D18" s="295" t="s">
        <v>204</v>
      </c>
    </row>
    <row r="19">
      <c r="A19" s="295" t="s">
        <v>242</v>
      </c>
      <c r="B19" s="302" t="s">
        <v>244</v>
      </c>
      <c r="D19" s="295" t="s">
        <v>204</v>
      </c>
    </row>
    <row r="20">
      <c r="A20" s="295" t="s">
        <v>247</v>
      </c>
      <c r="B20" s="302" t="s">
        <v>248</v>
      </c>
    </row>
    <row r="21">
      <c r="A21" s="295" t="s">
        <v>250</v>
      </c>
      <c r="B21" s="302" t="s">
        <v>251</v>
      </c>
      <c r="D21" s="295" t="s">
        <v>204</v>
      </c>
    </row>
    <row r="22">
      <c r="A22" s="295" t="s">
        <v>253</v>
      </c>
      <c r="B22" s="302" t="s">
        <v>254</v>
      </c>
      <c r="D22" s="295" t="s">
        <v>204</v>
      </c>
    </row>
    <row r="23">
      <c r="B23" s="326" t="s">
        <v>255</v>
      </c>
    </row>
  </sheetData>
  <pageMargins left="0.7" right="0.7" top="0.75" bottom="0.75" header="0.3" footer="0.3"/>
  <pageSetup orientation="portrait" r:id="flId1"/>
</worksheet>
</file>

<file path=docProps/app.xml><?xml version="1.0" encoding="utf-8"?>
<Properties xmlns:vt="http://schemas.openxmlformats.org/officeDocument/2006/docPropsVTypes" xmlns="http://schemas.openxmlformats.org/officeDocument/2006/extended-properties">
  <Application>FlexCel Studio for .NET</Application>
  <DocSecurity>0</DocSecurity>
  <HeadingPairs>
    <vt:vector baseType="variant" size="2">
      <vt:variant>
        <vt:lpstr>Worksheets</vt:lpstr>
      </vt:variant>
      <vt:variant>
        <vt:i4>2</vt:i4>
      </vt:variant>
    </vt:vector>
  </HeadingPairs>
  <TitlesOfParts>
    <vt:vector baseType="lpstr" size="2">
      <vt:lpstr>IPA Detail Cost</vt:lpstr>
      <vt:lpstr>&lt;#Config&gt;</vt:lpstr>
    </vt:vector>
  </TitlesOfParts>
  <AppVersion>07.0006</AppVersion>
</Properties>
</file>

<file path=docProps/core.xml><?xml version="1.0" encoding="utf-8"?>
<cp:coreProperties xmlns:dc="http://purl.org/dc/elements/1.1/" xmlns:dcmitype="http://purl.org/dc/dcmitype/" xmlns:dcterms="http://purl.org/dc/terms/" xmlns:xsi="http://www.w3.org/2001/XMLSchema-instance" xmlns:cp="http://schemas.openxmlformats.org/package/2006/metadata/core-properties">
  <dc:creator>Aspen Technology</dc:creator>
  <cp:lastPrinted>2011-08-02T17:28:13Z</cp:lastPrinted>
  <dcterms:created xsi:type="dcterms:W3CDTF">2022-10-20T20:30:24Z</dcterms:created>
  <dcterms:modified xsi:type="dcterms:W3CDTF">2022-10-20T20:30:24Z</dcterms:modified>
</cp:coreProperties>
</file>