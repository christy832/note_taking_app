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AG Pipe Qty Analysis" sheetId="16" r:id="flId1"/>
    <sheet name="&lt;#Config&gt;" sheetId="17" r:id="flId2"/>
  </sheets>
  <definedNames>
    <definedName name="_TBL_AGPipeMatl_">'AG Pipe Qty Analysis'!$A$23:$E$23</definedName>
  </definedNames>
</workbook>
</file>

<file path=xl/sharedStrings.xml><?xml version="1.0" encoding="utf-8"?>
<sst xmlns="http://schemas.openxmlformats.org/spreadsheetml/2006/main" count="178" uniqueCount="161">
  <si>
    <t>Estimate Date:</t>
  </si>
  <si>
    <t>Matl</t>
  </si>
  <si>
    <t>Category</t>
  </si>
  <si>
    <t>Diam</t>
  </si>
  <si>
    <t>Total</t>
  </si>
  <si>
    <t>Avg Diam</t>
  </si>
  <si>
    <t>Aboveground Piping</t>
  </si>
  <si>
    <t>Quantity Analysis</t>
  </si>
  <si>
    <t>Length</t>
  </si>
  <si>
    <t>% of</t>
  </si>
  <si>
    <t>Avg</t>
  </si>
  <si>
    <t>Diam X</t>
  </si>
  <si>
    <t>Pipe Only</t>
  </si>
  <si>
    <t>Hgrs &amp;</t>
  </si>
  <si>
    <t>Fittings</t>
  </si>
  <si>
    <t>Avg Ftgs</t>
  </si>
  <si>
    <t>Avg Vlvs</t>
  </si>
  <si>
    <t>Fab</t>
  </si>
  <si>
    <t>Field</t>
  </si>
  <si>
    <t>Bolt up</t>
  </si>
  <si>
    <t>Fused</t>
  </si>
  <si>
    <t>Thrd</t>
  </si>
  <si>
    <t>Vict</t>
  </si>
  <si>
    <t>Stm</t>
  </si>
  <si>
    <t>Total Lgth</t>
  </si>
  <si>
    <t>Wgt</t>
  </si>
  <si>
    <t>Total Wgt</t>
  </si>
  <si>
    <t>Suppts</t>
  </si>
  <si>
    <t>Span</t>
  </si>
  <si>
    <t>per 100</t>
  </si>
  <si>
    <t>Vlvs</t>
  </si>
  <si>
    <t>Welds</t>
  </si>
  <si>
    <t>Strs Rlf</t>
  </si>
  <si>
    <t>X-ray</t>
  </si>
  <si>
    <t>Conn</t>
  </si>
  <si>
    <t>Traps</t>
  </si>
  <si>
    <t>AG Total</t>
  </si>
  <si>
    <t>Large Bore</t>
  </si>
  <si>
    <t>Small Bore</t>
  </si>
  <si>
    <t>Subtotal 1</t>
  </si>
  <si>
    <t>Erect Inst Pipe</t>
  </si>
  <si>
    <t>Erect Spools</t>
  </si>
  <si>
    <t>Erect Straight Run</t>
  </si>
  <si>
    <t>Subtotal 2</t>
  </si>
  <si>
    <t>Field Fab and St Run</t>
  </si>
  <si>
    <t>Remote Shop Fab</t>
  </si>
  <si>
    <t>Subtotal 3</t>
  </si>
  <si>
    <t>Pct of Total</t>
  </si>
  <si>
    <t>Diam x Length</t>
  </si>
  <si>
    <t>Pct of</t>
  </si>
  <si>
    <t>Currency:</t>
  </si>
  <si>
    <t>Misc - Total Wgt</t>
  </si>
  <si>
    <t>Valves, Ftgs, Pipe,</t>
  </si>
  <si>
    <t>Project Title:</t>
  </si>
  <si>
    <t>Prep. By:</t>
  </si>
  <si>
    <t>Scenario Name:</t>
  </si>
  <si>
    <t>Est. Class:</t>
  </si>
  <si>
    <t>Proj. Location:</t>
  </si>
  <si>
    <t>Job No:</t>
  </si>
  <si>
    <t>Proj. Name:</t>
  </si>
  <si>
    <t>* Does not include Demolition.</t>
  </si>
  <si>
    <t>&lt;#dbvalue(3_KQQ_AGPipeLength;0;0;)&gt;</t>
  </si>
  <si>
    <t>&lt;#dbvalue(3_AQ_AGPipe_AvgDiam;0;0;)&gt;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</si>
  <si>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</si>
  <si>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</si>
  <si>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</si>
  <si>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</si>
  <si>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</si>
  <si>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</si>
  <si>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</si>
  <si>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</si>
  <si>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</si>
  <si>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</si>
  <si>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</si>
  <si>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</si>
  <si>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</si>
  <si>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</si>
  <si>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</si>
  <si>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</si>
  <si>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</si>
  <si>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</si>
  <si>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</si>
  <si>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&lt;#dbvalue(3_KQQ_AGPipe_Sub1_BoreLg;0;0;)&gt;</t>
  </si>
  <si>
    <t>&lt;#dbvalue(3_KQQ_AGPipe_Sub1_BoreSm;0;0;)&gt;</t>
  </si>
  <si>
    <t>&lt;#dbvalue(3_KQQ_AGPipe_Sub3_RemoteFab;0;0;)&gt;</t>
  </si>
  <si>
    <t>&lt;#dbvalue(3_KQQ_AGPipe_Sub3_FieldRunFab;0;0;)&gt;</t>
  </si>
  <si>
    <t>&lt;#dbvalue(3_KQQ_AGPipe_Sub2_Spool;0;0;)&gt;</t>
  </si>
  <si>
    <t>&lt;#dbvalue(3_KQQ_AGPipe_Sub2_StRun;0;0;)&gt;</t>
  </si>
  <si>
    <t>&lt;#dbvalue(3_KQQ_AGPipe_Sub2_InstPipe;0;0;)&gt;</t>
  </si>
  <si>
    <t>TBL_AGPipeMatl</t>
  </si>
  <si>
    <t>&lt;#TBL_AGPipeMatl.Matl;&gt;</t>
  </si>
  <si>
    <t>&lt;#TBL_AGPipeMatl.Length;&gt;</t>
  </si>
  <si>
    <t>&lt;#TBL_AGPipeMatl.Pct of Total;&gt;</t>
  </si>
  <si>
    <t>&lt;#TBL_AGPipeMatl.Avg Diam;&gt;</t>
  </si>
  <si>
    <t>&lt;#TBL_AGPipeMatl.Diam x Length;&gt;</t>
  </si>
  <si>
    <t>ATLEAST(3_AQ_AGPipe_Matl_1;1;)</t>
  </si>
  <si>
    <t>Matl ASC</t>
  </si>
  <si>
    <t>&lt;#dbvalue(3_KQQ_AGAcct3_Weight;0;0;)&gt;</t>
  </si>
  <si>
    <t>&lt;#dbvalue(3_KQQ_AGPipeWeight;0;0;)&gt;</t>
  </si>
  <si>
    <t>&lt;#dbvalue(3_KQQ_AGHgrsSuppts;0;0;)&gt;</t>
  </si>
  <si>
    <t>&lt;#dbvalue(3_KQQ_AGFtgs;0;0;)&gt;</t>
  </si>
  <si>
    <t>&lt;#dbvalue(3_KQQ_AGVlvsTot;0;0;)&gt;</t>
  </si>
  <si>
    <t>&lt;#dbvalue(3_KQQ_AGWeldsFab;0;0;)&gt;</t>
  </si>
  <si>
    <t>&lt;#dbvalue(3_KQQ_AGStrsRlf_Fab;0;0;)&gt;</t>
  </si>
  <si>
    <t>&lt;#dbvalue(3_KQQ_AGXray_Fab;0;0;)&gt;</t>
  </si>
  <si>
    <t>&lt;#dbvalue(3_KQQ_AGWeldsErect;0;0;)&gt;</t>
  </si>
  <si>
    <t>&lt;#dbvalue(3_KQQ_AGConnBoltUp;0;0;)&gt;</t>
  </si>
  <si>
    <t>&lt;#dbvalue(3_KQQ_AGConnFused;0;0;)&gt;</t>
  </si>
  <si>
    <t>&lt;#dbvalue(3_KQQ_AGConnThrd;0;0;)&gt;</t>
  </si>
  <si>
    <t>&lt;#dbvalue(3_KQQ_AGConnVict;0;0;)&gt;</t>
  </si>
  <si>
    <t>&lt;#dbvalue(3_KQQ_AGStrsRlf_Field;0;0;)&gt;</t>
  </si>
  <si>
    <t>&lt;#dbvalue(3_KQQ_AGXray_Field;0;0;)&gt;</t>
  </si>
  <si>
    <t>&lt;#dbvalue(3_KQQ_AGStmTraps;0;0;)&gt;</t>
  </si>
  <si>
    <t>&lt;#dbvalue(3_AQ_AGPipe_AvgDiam_BoreLg;0;0;)&gt;</t>
  </si>
  <si>
    <t>&lt;#dbvalue(3_KQQ_AGAcct3_Weight_BoreLg;0;0;)&gt;</t>
  </si>
  <si>
    <t>&lt;#dbvalue(3_KQQ_AGPipeWeight_BoreLg;0;0;)&gt;</t>
  </si>
  <si>
    <t>&lt;#dbvalue(3_KQQ_AGHgrsSuppts_BoreLg;0;0;)&gt;</t>
  </si>
  <si>
    <t>&lt;#dbvalue(3_KQQ_AGFtgs_BoreLg;0;0;)&gt;</t>
  </si>
  <si>
    <t>&lt;#dbvalue(3_KQQ_AGVlvsTot_BoreLg;0;0;)&gt;</t>
  </si>
  <si>
    <t>&lt;#dbvalue(3_KQQ_AGWeldsFab_BoreLg;0;0;)&gt;</t>
  </si>
  <si>
    <t>&lt;#dbvalue(3_KQQ_AGStrsRlf_Fab_BoreLg;0;0;)&gt;</t>
  </si>
  <si>
    <t>&lt;#dbvalue(3_KQQ_AGXray_Fab_BoreLg;0;0;)&gt;</t>
  </si>
  <si>
    <t>&lt;#dbvalue(3_KQQ_AGWeldsErect_BoreLg;0;0;)&gt;</t>
  </si>
  <si>
    <t>&lt;#dbvalue(3_KQQ_AGConnBoltUp_BoreLg;0;0;)&gt;</t>
  </si>
  <si>
    <t>&lt;#dbvalue(3_KQQ_AGConnFused_BoreLg;0;0;)&gt;</t>
  </si>
  <si>
    <t>&lt;#dbvalue(3_KQQ_AGConnVict_BoreLg;0;0;)&gt;</t>
  </si>
  <si>
    <t>&lt;#dbvalue(3_KQQ_AGStrsRlf_Field_BoreLg;0;0;)&gt;</t>
  </si>
  <si>
    <t>&lt;#dbvalue(3_KQQ_AGXray_Field_BoreLg;0;0;)&gt;</t>
  </si>
  <si>
    <t>&lt;#dbvalue(3_AQ_AGPipe_AvgDiam_BoreSm;0;0;)&gt;</t>
  </si>
  <si>
    <t>&lt;#dbvalue(3_KQQ_AGAcct3_Weight_BoreSm;0;0;)&gt;</t>
  </si>
  <si>
    <t>&lt;#dbvalue(3_KQQ_AGHgrsSuppts_BoreSm;0;0;)&gt;</t>
  </si>
  <si>
    <t>&lt;#dbvalue(3_KQQ_AGPipeWeight_BoreSm;0;0;)&gt;</t>
  </si>
  <si>
    <t>&lt;#dbvalue(3_KQQ_AGVlvsTot_BoreSm;0;0;)&gt;</t>
  </si>
  <si>
    <t>&lt;#dbvalue(3_KQQ_AGWeldsFab_BoreSm;0;0;)&gt;</t>
  </si>
  <si>
    <t>&lt;#dbvalue(3_KQQ_AGStrsRlf_Fab_BoreSm;0;0;)&gt;</t>
  </si>
  <si>
    <t>&lt;#dbvalue(3_KQQ_AGXray_Fab_BoreSm;0;0;)&gt;</t>
  </si>
  <si>
    <t>&lt;#dbvalue(3_KQQ_AGWeldsErect_BoreSm;0;0;)&gt;</t>
  </si>
  <si>
    <t>&lt;#dbvalue(3_KQQ_AGConnBoltUp_BoreSm;0;0;)&gt;</t>
  </si>
  <si>
    <t>&lt;#dbvalue(3_KQQ_AGConnFused_BoreSm;0;0;)&gt;</t>
  </si>
  <si>
    <t>&lt;#dbvalue(3_KQQ_AGConnVict_BoreSm;0;0;)&gt;</t>
  </si>
  <si>
    <t>&lt;#dbvalue(3_KQQ_AGStrsRlf_Field_BoreSm;0;0;)&gt;</t>
  </si>
  <si>
    <t>&lt;#dbvalue(3_KQQ_AGXray_Field_BoreSm;0;0;)&gt;</t>
  </si>
  <si>
    <t>&lt;#dbvalue(3_KQQ_AGFtgs_BoreSm;0;0;)&gt;</t>
  </si>
  <si>
    <t>&lt;#dbvalue(3_KQQ_AGConnThrd_BoreLg;0;0;)&gt;</t>
  </si>
  <si>
    <t>&lt;#dbvalue(3_KQQ_AGConnThrd_BoreSm;0;0;)&gt;</t>
  </si>
  <si>
    <t>&lt;#dbvalue(3_KQQ_AGStmTraps_BoreLg;0;0;)&gt;</t>
  </si>
  <si>
    <t>&lt;#dbvalue(3_KQQ_AGStmTraps_BoreSm;0;0;)&gt;</t>
  </si>
  <si>
    <t>&lt;#dbvalue(3_AQ_AGPipe_AvgDiam_InstPipe;0;0;)&gt;</t>
  </si>
  <si>
    <t>&lt;#dbvalue(3_AQ_AGPipe_AvgDiam_Spool;0;0;)&gt;</t>
  </si>
  <si>
    <t>&lt;#dbvalue(3_AQ_AGPipe_AvgDiam_RemFab;0;0;)&gt;</t>
  </si>
  <si>
    <t>&lt;#dbvalue(3_AQ_AGPipe_AvgDiam_FldRunFab;0;0;)&gt;</t>
  </si>
  <si>
    <t>&lt;#PreparedBy&gt;</t>
  </si>
  <si>
    <t>&lt;#JobNumber&gt;</t>
  </si>
  <si>
    <t>&lt;#EstimateDate&gt;</t>
  </si>
  <si>
    <t>&lt;#ProjectTitle&gt;</t>
  </si>
  <si>
    <t>&lt;#ProjectName&gt;</t>
  </si>
  <si>
    <t>&lt;#EstimateClass&gt;</t>
  </si>
  <si>
    <t>&lt;#ProjectLocation&gt;</t>
  </si>
  <si>
    <t>&lt;#ScenarioName&gt;</t>
  </si>
  <si>
    <t>&lt;#Currency&gt;</t>
  </si>
  <si>
    <t>&lt;#dbvalue(3_AQ_AGPipe_AvgDiam_StRun;0;0;)&gt;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</si>
</sst>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&quot;$&quot;#,##0"/>
    <numFmt numFmtId="165" formatCode="#,##0.0"/>
    <numFmt numFmtId="166" formatCode="_(* #,##0_);_(* \(#,##0\);_(* &quot;-&quot;??_);_(@_)"/>
    <numFmt numFmtId="167" formatCode="0.0%"/>
  </numFmts>
  <fonts count="21">
    <font>
      <sz val="10"/>
      <color auto="1"/>
      <name val="Arial"/>
    </font>
    <font>
      <sz val="10"/>
      <color auto="1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b/>
      <i/>
      <sz val="10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i/>
      <sz val="12"/>
      <color indexed="12"/>
      <name val="Arial"/>
      <family val="2"/>
    </font>
    <font>
      <b/>
      <i/>
      <sz val="8"/>
      <color auto="1"/>
      <name val="Arial"/>
      <family val="2"/>
    </font>
    <font>
      <b/>
      <sz val="8"/>
      <color auto="1"/>
      <name val="Arial"/>
      <family val="2"/>
    </font>
    <font>
      <b/>
      <sz val="8"/>
      <color indexed="20"/>
      <name val="Arial"/>
      <family val="2"/>
    </font>
    <font>
      <b/>
      <i/>
      <sz val="8"/>
      <color indexed="20"/>
      <name val="Arial"/>
      <family val="2"/>
    </font>
    <font>
      <sz val="8"/>
      <color indexed="8"/>
      <name val="Arial"/>
      <family val="2"/>
    </font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3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</borders>
  <cellStyleXfs count="15">
    <xf fontId="0" numFmtId="0" fillId="0" borderId="0"/>
    <xf applyFont="0" applyFill="0" applyBorder="0" applyAlignment="0" applyProtection="0" fontId="1" numFmtId="43" fillId="0" borderId="0"/>
    <xf applyFont="0" applyFill="0" applyBorder="0" applyAlignment="0" fontId="11" numFmtId="4" fillId="0" borderId="1">
      <alignment horizontal="center" vertical="center"/>
    </xf>
    <xf fontId="3" numFmtId="0" fillId="0" borderId="0"/>
    <xf fontId="3" numFmtId="0" fillId="0" borderId="0"/>
    <xf fontId="3" numFmtId="0" fillId="0" borderId="0"/>
    <xf fontId="3" numFmtId="0" fillId="0" borderId="0"/>
    <xf applyFont="0" applyFill="0" applyBorder="0" applyAlignment="0" applyProtection="0" fontId="1" numFmtId="9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Font="0" applyFill="0" applyBorder="0" applyAlignment="0" applyProtection="0" fontId="1" numFmtId="9" fillId="0" borderId="0"/>
    <xf applyNumberFormat="0" applyBorder="0" applyAlignment="0" applyProtection="0" fontId="18" numFmtId="0" fillId="3" borderId="0"/>
    <xf fontId="18" numFmtId="0" fillId="0" borderId="0"/>
    <xf applyNumberFormat="0" applyBorder="0" applyAlignment="0" applyProtection="0" fontId="18" numFmtId="0" fillId="5" borderId="0"/>
    <xf applyNumberFormat="0" applyBorder="0" applyAlignment="0" applyProtection="0" fontId="19" numFmtId="0" fillId="4" borderId="0"/>
  </cellStyleXfs>
  <cellXfs count="162">
    <xf fontId="0" numFmtId="0" fillId="0" borderId="0" xfId="0"/>
    <xf applyFont="1" applyFill="1" applyBorder="1" fontId="10" numFmtId="0" fillId="0" borderId="8" xfId="0"/>
    <xf applyFont="1" applyFill="1" applyBorder="1" fontId="10" numFmtId="0" fillId="0" borderId="1" xfId="0"/>
    <xf applyFont="1" applyFill="1" applyBorder="1" applyAlignment="1" fontId="6" numFmtId="0" fillId="0" borderId="8" xfId="0">
      <alignment horizontal="right" vertical="center"/>
    </xf>
    <xf applyFont="1" applyFill="1" applyBorder="1" fontId="10" numFmtId="0" fillId="0" borderId="4" xfId="0"/>
    <xf applyFont="1" applyFill="1" fontId="10" numFmtId="0" fillId="0" borderId="0" xfId="0"/>
    <xf applyFont="1" applyFill="1" applyBorder="1" fontId="10" numFmtId="0" fillId="0" borderId="0" xfId="0"/>
    <xf applyNumberFormat="1" applyFont="1" applyFill="1" applyBorder="1" fontId="9" numFmtId="166" fillId="0" borderId="1" xfId="1"/>
    <xf applyNumberFormat="1" applyFont="1" applyFill="1" applyBorder="1" fontId="9" numFmtId="2" fillId="0" borderId="1" xfId="0"/>
    <xf applyFont="1" applyFill="1" applyBorder="1" fontId="9" numFmtId="0" fillId="0" borderId="1" xfId="0"/>
    <xf applyFont="1" applyFill="1" applyBorder="1" applyAlignment="1" fontId="8" numFmtId="0" fillId="0" borderId="1" xfId="0">
      <alignment horizontal="right"/>
    </xf>
    <xf applyFont="1" applyFill="1" applyBorder="1" fontId="9" numFmtId="0" fillId="0" borderId="4" xfId="0"/>
    <xf applyFont="1" applyFill="1" fontId="9" numFmtId="0" fillId="0" borderId="0" xfId="0"/>
    <xf applyNumberFormat="1" applyFont="1" applyFill="1" applyBorder="1" fontId="9" numFmtId="166" fillId="0" borderId="0" xfId="1"/>
    <xf applyNumberFormat="1" applyFont="1" applyFill="1" applyBorder="1" fontId="9" numFmtId="2" fillId="0" borderId="0" xfId="0"/>
    <xf applyFont="1" applyFill="1" applyBorder="1" fontId="9" numFmtId="0" fillId="0" borderId="0" xfId="0"/>
    <xf applyFont="1" applyFill="1" applyBorder="1" fontId="9" numFmtId="0" fillId="0" borderId="5" xfId="0"/>
    <xf applyNumberFormat="1" applyFont="1" applyFill="1" applyBorder="1" fontId="9" numFmtId="2" fillId="0" borderId="6" xfId="0"/>
    <xf applyFont="1" applyFill="1" applyBorder="1" applyAlignment="1" fontId="9" numFmtId="0" fillId="0" borderId="6" xfId="0">
      <alignment horizontal="left"/>
    </xf>
    <xf applyFont="1" applyFill="1" applyBorder="1" fontId="9" numFmtId="0" fillId="0" borderId="6" xfId="0"/>
    <xf applyFont="1" applyFill="1" applyBorder="1" fontId="9" numFmtId="0" fillId="0" borderId="7" xfId="0"/>
    <xf applyFont="1" applyFill="1" fontId="4" numFmtId="0" fillId="0" borderId="0" xfId="0"/>
    <xf applyNumberFormat="1" applyFont="1" applyFill="1" fontId="4" numFmtId="3" fillId="0" borderId="0" xfId="0"/>
    <xf applyFont="1" applyFill="1" applyBorder="1" fontId="4" numFmtId="0" fillId="2" borderId="9" xfId="0"/>
    <xf applyFont="1" applyFill="1" applyBorder="1" applyAlignment="1" fontId="4" numFmtId="0" fillId="2" borderId="9" xfId="0">
      <alignment horizontal="center"/>
    </xf>
    <xf applyFont="1" applyFill="1" applyBorder="1" applyAlignment="1" fontId="4" numFmtId="0" fillId="2" borderId="10" xfId="0">
      <alignment horizontal="center"/>
    </xf>
    <xf applyNumberFormat="1" applyFont="1" applyFill="1" applyBorder="1" applyAlignment="1" fontId="4" numFmtId="2" fillId="2" borderId="10" xfId="0">
      <alignment horizontal="center"/>
    </xf>
    <xf applyFont="1" applyFill="1" applyBorder="1" applyAlignment="1" fontId="4" numFmtId="0" fillId="2" borderId="7" xfId="0">
      <alignment horizontal="center"/>
    </xf>
    <xf applyFont="1" applyFill="1" applyBorder="1" applyAlignment="1" fontId="4" numFmtId="0" fillId="2" borderId="6" xfId="0">
      <alignment horizontal="center"/>
    </xf>
    <xf applyFont="1" applyFill="1" applyBorder="1" applyAlignment="1" fontId="12" numFmtId="0" fillId="0" borderId="11" xfId="0">
      <alignment horizontal="left"/>
    </xf>
    <xf applyFont="1" applyFill="1" applyBorder="1" applyAlignment="1" fontId="13" numFmtId="9" fillId="0" borderId="11" xfId="7">
      <alignment horizontal="right" wrapText="1"/>
    </xf>
    <xf applyFont="1" applyFill="1" applyBorder="1" applyAlignment="1" fontId="4" numFmtId="0" fillId="0" borderId="13" xfId="0">
      <alignment horizontal="left"/>
    </xf>
    <xf applyFont="1" applyFill="1" applyBorder="1" applyAlignment="1" fontId="4" numFmtId="0" fillId="0" borderId="14" xfId="0">
      <alignment horizontal="left"/>
    </xf>
    <xf applyFont="1" applyFill="1" applyBorder="1" applyAlignment="1" fontId="12" numFmtId="0" fillId="0" borderId="15" xfId="0">
      <alignment horizontal="right"/>
    </xf>
    <xf applyFont="1" fontId="4" numFmtId="0" fillId="0" borderId="0" xfId="0"/>
    <xf applyFont="1" applyFill="1" applyBorder="1" applyAlignment="1" fontId="4" numFmtId="0" fillId="0" borderId="16" xfId="0">
      <alignment horizontal="left"/>
    </xf>
    <xf applyFont="1" applyFill="1" applyBorder="1" applyAlignment="1" fontId="15" numFmtId="0" fillId="0" borderId="0" xfId="0">
      <alignment horizontal="right"/>
    </xf>
    <xf applyNumberFormat="1" applyFont="1" applyFill="1" applyBorder="1" fontId="14" numFmtId="3" fillId="0" borderId="0" xfId="0"/>
    <xf applyFont="1" applyFill="1" applyBorder="1" applyAlignment="1" fontId="14" numFmtId="9" fillId="0" borderId="0" xfId="7">
      <alignment horizontal="right"/>
    </xf>
    <xf applyNumberFormat="1" applyFont="1" applyFill="1" applyBorder="1" fontId="14" numFmtId="2" fillId="0" borderId="1" xfId="0"/>
    <xf applyNumberFormat="1" applyFont="1" applyFill="1" applyBorder="1" fontId="14" numFmtId="3" fillId="0" borderId="1" xfId="0"/>
    <xf applyNumberFormat="1" applyFont="1" applyFill="1" fontId="4" numFmtId="2" fillId="0" borderId="0" xfId="0"/>
    <xf applyFont="1" applyFill="1" applyBorder="1" applyAlignment="1" fontId="4" numFmtId="0" fillId="2" borderId="17" xfId="0">
      <alignment horizontal="center"/>
    </xf>
    <xf applyNumberFormat="1" applyFont="1" applyFill="1" applyBorder="1" applyAlignment="1" fontId="4" numFmtId="2" fillId="2" borderId="11" xfId="0">
      <alignment horizontal="center"/>
    </xf>
    <xf applyNumberFormat="1" applyFont="1" applyFill="1" applyBorder="1" fontId="13" numFmtId="2" fillId="0" borderId="15" xfId="0"/>
    <xf applyFont="1" applyFill="1" applyBorder="1" fontId="13" numFmtId="9" fillId="0" borderId="11" xfId="7"/>
    <xf applyNumberFormat="1" applyFont="1" applyFill="1" applyBorder="1" applyAlignment="1" fontId="13" numFmtId="3" fillId="0" borderId="17" xfId="6">
      <alignment horizontal="right" wrapText="1"/>
    </xf>
    <xf applyNumberFormat="1" applyFont="1" applyFill="1" applyBorder="1" fontId="13" numFmtId="2" fillId="0" borderId="11" xfId="0"/>
    <xf applyNumberFormat="1" applyFont="1" applyFill="1" applyBorder="1" applyAlignment="1" fontId="13" numFmtId="3" fillId="0" borderId="11" xfId="6">
      <alignment horizontal="right" wrapText="1"/>
    </xf>
    <xf applyNumberFormat="1" applyFont="1" applyFill="1" applyBorder="1" fontId="13" numFmtId="3" fillId="0" borderId="11" xfId="0"/>
    <xf applyNumberFormat="1" applyFont="1" applyFill="1" applyBorder="1" fontId="13" numFmtId="165" fillId="0" borderId="11" xfId="0"/>
    <xf applyNumberFormat="1" applyFont="1" applyFill="1" applyBorder="1" fontId="13" numFmtId="3" fillId="0" borderId="17" xfId="0"/>
    <xf applyNumberFormat="1" applyFont="1" applyFill="1" applyBorder="1" applyAlignment="1" fontId="13" numFmtId="3" fillId="0" borderId="11" xfId="3">
      <alignment horizontal="right" wrapText="1"/>
    </xf>
    <xf applyNumberFormat="1" applyFont="1" applyFill="1" applyBorder="1" applyAlignment="1" fontId="13" numFmtId="3" fillId="0" borderId="11" xfId="5">
      <alignment horizontal="right" wrapText="1"/>
    </xf>
    <xf applyFont="1" applyFill="1" applyBorder="1" applyAlignment="1" fontId="12" numFmtId="0" fillId="0" borderId="18" xfId="0">
      <alignment horizontal="left"/>
    </xf>
    <xf applyNumberFormat="1" applyFont="1" applyFill="1" applyBorder="1" applyAlignment="1" fontId="13" numFmtId="3" fillId="0" borderId="18" xfId="6">
      <alignment horizontal="right" wrapText="1"/>
    </xf>
    <xf applyFont="1" applyFill="1" applyBorder="1" applyAlignment="1" fontId="13" numFmtId="9" fillId="0" borderId="18" xfId="7">
      <alignment horizontal="right" wrapText="1"/>
    </xf>
    <xf applyNumberFormat="1" applyFont="1" applyFill="1" applyBorder="1" fontId="13" numFmtId="2" fillId="0" borderId="18" xfId="0"/>
    <xf applyNumberFormat="1" applyFont="1" applyFill="1" applyBorder="1" fontId="13" numFmtId="3" fillId="0" borderId="18" xfId="0"/>
    <xf applyFont="1" applyFill="1" applyBorder="1" fontId="13" numFmtId="9" fillId="0" borderId="18" xfId="7"/>
    <xf applyNumberFormat="1" applyFont="1" applyFill="1" applyBorder="1" fontId="13" numFmtId="165" fillId="0" borderId="18" xfId="0"/>
    <xf applyNumberFormat="1" applyFont="1" applyFill="1" applyBorder="1" applyAlignment="1" fontId="13" numFmtId="3" fillId="0" borderId="18" xfId="3">
      <alignment horizontal="right" wrapText="1"/>
    </xf>
    <xf applyNumberFormat="1" applyFont="1" applyFill="1" applyBorder="1" applyAlignment="1" fontId="13" numFmtId="3" fillId="0" borderId="18" xfId="5">
      <alignment horizontal="right" wrapText="1"/>
    </xf>
    <xf applyNumberFormat="1" applyFont="1" applyFill="1" applyBorder="1" applyAlignment="1" fontId="4" numFmtId="167" fillId="0" borderId="13" xfId="7">
      <alignment horizontal="right"/>
    </xf>
    <xf applyNumberFormat="1" applyFont="1" applyFill="1" applyBorder="1" fontId="4" numFmtId="3" fillId="0" borderId="13" xfId="0"/>
    <xf applyNumberFormat="1" applyFont="1" applyFill="1" applyBorder="1" fontId="4" numFmtId="167" fillId="0" borderId="13" xfId="7"/>
    <xf applyNumberFormat="1" applyFont="1" applyFill="1" applyBorder="1" fontId="13" numFmtId="165" fillId="0" borderId="13" xfId="0"/>
    <xf applyNumberFormat="1" applyFont="1" applyFill="1" applyBorder="1" fontId="4" numFmtId="165" fillId="0" borderId="13" xfId="0"/>
    <xf applyNumberFormat="1" applyFont="1" applyFill="1" applyBorder="1" applyAlignment="1" fontId="4" numFmtId="167" fillId="0" borderId="14" xfId="7">
      <alignment horizontal="right"/>
    </xf>
    <xf applyNumberFormat="1" applyFont="1" applyFill="1" applyBorder="1" fontId="4" numFmtId="3" fillId="0" borderId="14" xfId="0"/>
    <xf applyNumberFormat="1" applyFont="1" applyFill="1" applyBorder="1" fontId="4" numFmtId="167" fillId="0" borderId="14" xfId="7"/>
    <xf applyNumberFormat="1" applyFont="1" applyFill="1" applyBorder="1" fontId="13" numFmtId="165" fillId="0" borderId="16" xfId="0"/>
    <xf applyNumberFormat="1" applyFont="1" applyFill="1" applyBorder="1" fontId="4" numFmtId="165" fillId="0" borderId="14" xfId="0"/>
    <xf applyNumberFormat="1" applyFont="1" applyFill="1" applyBorder="1" fontId="4" numFmtId="3" fillId="0" borderId="16" xfId="0"/>
    <xf applyNumberFormat="1" applyFont="1" applyFill="1" applyBorder="1" fontId="4" numFmtId="165" fillId="0" borderId="16" xfId="0"/>
    <xf applyNumberFormat="1" applyFont="1" applyFill="1" applyBorder="1" fontId="4" numFmtId="3" fillId="0" borderId="22" xfId="0"/>
    <xf applyNumberFormat="1" applyFont="1" applyFill="1" applyBorder="1" applyAlignment="1" fontId="4" numFmtId="3" fillId="0" borderId="21" xfId="0">
      <alignment horizontal="right"/>
    </xf>
    <xf applyNumberFormat="1" applyFont="1" applyFill="1" applyBorder="1" fontId="13" numFmtId="3" fillId="0" borderId="23" xfId="0"/>
    <xf applyFont="1" applyFill="1" applyBorder="1" applyAlignment="1" fontId="13" numFmtId="9" fillId="0" borderId="15" xfId="7">
      <alignment horizontal="right"/>
    </xf>
    <xf applyNumberFormat="1" applyFont="1" applyFill="1" applyBorder="1" fontId="13" numFmtId="3" fillId="0" borderId="15" xfId="0"/>
    <xf applyFont="1" applyFill="1" applyBorder="1" fontId="13" numFmtId="9" fillId="0" borderId="15" xfId="7"/>
    <xf applyNumberFormat="1" applyFont="1" applyFill="1" applyBorder="1" fontId="13" numFmtId="165" fillId="0" borderId="10" xfId="0"/>
    <xf applyNumberFormat="1" applyFont="1" applyFill="1" applyBorder="1" fontId="13" numFmtId="165" fillId="0" borderId="15" xfId="0"/>
    <xf applyNumberFormat="1" applyFont="1" applyFill="1" applyBorder="1" fontId="13" numFmtId="3" fillId="0" borderId="10" xfId="0"/>
    <xf applyNumberFormat="1" applyFont="1" applyFill="1" applyBorder="1" fontId="13" numFmtId="3" fillId="0" borderId="24" xfId="0"/>
    <xf applyNumberFormat="1" applyFont="1" applyFill="1" applyBorder="1" applyAlignment="1" fontId="13" numFmtId="3" fillId="0" borderId="23" xfId="0">
      <alignment horizontal="right"/>
    </xf>
    <xf applyFont="1" fontId="17" numFmtId="0" fillId="0" borderId="0" xfId="0"/>
    <xf applyNumberFormat="1" applyFont="1" applyFill="1" applyBorder="1" applyAlignment="1" fontId="4" numFmtId="167" fillId="0" borderId="16" xfId="7">
      <alignment horizontal="right"/>
    </xf>
    <xf applyFont="1" applyFill="1" applyBorder="1" applyAlignment="1" fontId="4" numFmtId="0" fillId="0" borderId="26" xfId="4">
      <alignment horizontal="left" wrapText="1"/>
    </xf>
    <xf applyNumberFormat="1" applyFont="1" applyFill="1" applyBorder="1" applyAlignment="1" fontId="4" numFmtId="3" fillId="0" borderId="12" xfId="4">
      <alignment horizontal="right" wrapText="1"/>
    </xf>
    <xf applyNumberFormat="1" applyFont="1" applyFill="1" applyBorder="1" applyAlignment="1" fontId="4" numFmtId="3" fillId="0" borderId="27" xfId="4">
      <alignment horizontal="right" wrapText="1"/>
    </xf>
    <xf applyNumberFormat="1" applyFont="1" applyFill="1" applyBorder="1" applyAlignment="1" fontId="4" numFmtId="10" fillId="0" borderId="12" xfId="7">
      <alignment horizontal="right" wrapText="1"/>
    </xf>
    <xf applyNumberFormat="1" applyFont="1" applyFill="1" fontId="4" numFmtId="10" fillId="0" borderId="0" xfId="7"/>
    <xf applyNumberFormat="1" applyFont="1" applyFill="1" applyBorder="1" applyAlignment="1" fontId="4" numFmtId="2" fillId="0" borderId="12" xfId="4">
      <alignment horizontal="right" wrapText="1"/>
    </xf>
    <xf applyFont="1" applyFill="1" applyBorder="1" applyAlignment="1" fontId="16" numFmtId="0" fillId="0" borderId="0" xfId="4">
      <alignment horizontal="right" wrapText="1"/>
    </xf>
    <xf applyFont="1" applyFill="1" applyBorder="1" fontId="4" numFmtId="0" fillId="0" borderId="26" xfId="0"/>
    <xf applyNumberFormat="1" applyFont="1" applyFill="1" applyBorder="1" fontId="4" numFmtId="3" fillId="0" borderId="12" xfId="0"/>
    <xf applyNumberFormat="1" applyFont="1" applyFill="1" applyBorder="1" fontId="4" numFmtId="10" fillId="0" borderId="12" xfId="7"/>
    <xf applyNumberFormat="1" applyFont="1" applyFill="1" applyBorder="1" fontId="4" numFmtId="2" fillId="0" borderId="12" xfId="0"/>
    <xf applyNumberFormat="1" applyFont="1" applyFill="1" applyBorder="1" fontId="4" numFmtId="3" fillId="0" borderId="27" xfId="0"/>
    <xf applyFont="1" applyFill="1" applyBorder="1" fontId="4" numFmtId="0" fillId="0" borderId="28" xfId="0"/>
    <xf applyNumberFormat="1" applyFont="1" applyFill="1" applyBorder="1" fontId="4" numFmtId="3" fillId="0" borderId="29" xfId="0"/>
    <xf applyNumberFormat="1" applyFont="1" applyFill="1" applyBorder="1" fontId="4" numFmtId="10" fillId="0" borderId="29" xfId="7"/>
    <xf applyNumberFormat="1" applyFont="1" applyFill="1" applyBorder="1" fontId="4" numFmtId="2" fillId="0" borderId="29" xfId="0"/>
    <xf applyNumberFormat="1" applyFont="1" applyFill="1" applyBorder="1" fontId="4" numFmtId="3" fillId="0" borderId="30" xfId="0"/>
    <xf applyFont="1" applyBorder="1" applyAlignment="1" fontId="8" numFmtId="0" fillId="0" borderId="8" xfId="0">
      <alignment horizontal="right"/>
    </xf>
    <xf applyFont="1" applyBorder="1" applyAlignment="1" fontId="8" numFmtId="0" fillId="0" borderId="31" xfId="0">
      <alignment horizontal="right"/>
    </xf>
    <xf applyFont="1" applyBorder="1" applyAlignment="1" fontId="8" numFmtId="0" fillId="0" borderId="9" xfId="0">
      <alignment horizontal="right"/>
    </xf>
    <xf applyFont="1" applyBorder="1" applyAlignment="1" fontId="8" numFmtId="0" fillId="0" borderId="6" xfId="0">
      <alignment horizontal="right"/>
    </xf>
    <xf applyFont="1" applyBorder="1" applyAlignment="1" fontId="8" numFmtId="0" fillId="0" borderId="0" xfId="0">
      <alignment horizontal="right"/>
    </xf>
    <xf applyFont="1" applyBorder="1" applyAlignment="1" fontId="10" numFmtId="0" fillId="0" borderId="0" xfId="0">
      <alignment horizontal="left"/>
    </xf>
    <xf applyNumberFormat="1" applyFont="1" applyBorder="1" fontId="10" numFmtId="3" fillId="0" borderId="0" xfId="0"/>
    <xf applyFont="1" applyBorder="1" applyAlignment="1" fontId="10" numFmtId="0" fillId="0" borderId="1" xfId="0">
      <alignment horizontal="left"/>
    </xf>
    <xf applyFont="1" applyBorder="1" applyAlignment="1" fontId="10" numFmtId="0" fillId="0" borderId="6" xfId="0">
      <alignment horizontal="left"/>
    </xf>
    <xf applyNumberFormat="1" applyFont="1" applyBorder="1" applyAlignment="1" fontId="8" numFmtId="4" fillId="0" borderId="6" xfId="0">
      <alignment horizontal="right"/>
    </xf>
    <xf applyFont="1" applyFill="1" applyBorder="1" fontId="10" numFmtId="0" fillId="0" borderId="31" xfId="0"/>
    <xf applyFont="1" applyFill="1" applyBorder="1" applyAlignment="1" fontId="7" numFmtId="0" fillId="0" borderId="31" xfId="0">
      <alignment horizontal="right" vertical="top"/>
    </xf>
    <xf applyFont="1" applyFill="1" applyBorder="1" fontId="10" numFmtId="0" fillId="0" borderId="5" xfId="0"/>
    <xf applyFont="1" applyFill="1" applyBorder="1" applyAlignment="1" fontId="4" numFmtId="0" fillId="2" borderId="31" xfId="0">
      <alignment horizontal="center"/>
    </xf>
    <xf applyNumberFormat="1" applyFont="1" applyFill="1" applyBorder="1" applyAlignment="1" fontId="4" numFmtId="166" fillId="2" borderId="32" xfId="1">
      <alignment horizontal="center"/>
    </xf>
    <xf applyNumberFormat="1" applyFont="1" applyFill="1" applyBorder="1" applyAlignment="1" fontId="4" numFmtId="2" fillId="2" borderId="32" xfId="0">
      <alignment horizontal="center"/>
    </xf>
    <xf applyNumberFormat="1" applyFont="1" applyFill="1" applyBorder="1" applyAlignment="1" fontId="4" numFmtId="164" fillId="2" borderId="32" xfId="0">
      <alignment horizontal="center"/>
    </xf>
    <xf applyFont="1" applyFill="1" applyBorder="1" applyAlignment="1" fontId="4" numFmtId="0" fillId="2" borderId="32" xfId="0">
      <alignment horizontal="center"/>
    </xf>
    <xf applyFont="1" applyFill="1" applyBorder="1" applyAlignment="1" fontId="4" numFmtId="0" fillId="2" borderId="5" xfId="0">
      <alignment horizontal="center"/>
    </xf>
    <xf applyFont="1" applyFill="1" applyBorder="1" applyAlignment="1" fontId="4" numFmtId="0" fillId="2" borderId="0" xfId="0">
      <alignment horizontal="center"/>
    </xf>
    <xf applyNumberFormat="1" applyFont="1" applyFill="1" applyBorder="1" fontId="9" numFmtId="166" fillId="0" borderId="6" xfId="1"/>
    <xf applyFont="1" applyBorder="1" applyAlignment="1" fontId="8" numFmtId="0" fillId="0" borderId="1" xfId="0">
      <alignment horizontal="right"/>
    </xf>
    <xf applyFont="1" applyFill="1" applyBorder="1" applyAlignment="1" fontId="9" numFmtId="0" fillId="0" borderId="0" xfId="0"/>
    <xf applyFont="1" applyFill="1" applyBorder="1" applyAlignment="1" fontId="9" numFmtId="0" fillId="0" borderId="1" xfId="0"/>
    <xf applyNumberFormat="1" applyFont="1" applyBorder="1" applyAlignment="1" fontId="9" numFmtId="4" fillId="0" borderId="1" xfId="0"/>
    <xf applyNumberFormat="1" applyFont="1" applyFill="1" applyBorder="1" fontId="4" numFmtId="3" fillId="0" borderId="18" xfId="0"/>
    <xf applyNumberFormat="1" applyFont="1" applyFill="1" applyBorder="1" fontId="4" numFmtId="10" fillId="0" borderId="18" xfId="7"/>
    <xf applyNumberFormat="1" applyFont="1" applyFill="1" applyBorder="1" fontId="4" numFmtId="2" fillId="0" borderId="18" xfId="0"/>
    <xf applyNumberFormat="1" applyFont="1" applyFill="1" applyBorder="1" fontId="4" numFmtId="3" fillId="0" borderId="33" xfId="0"/>
    <xf applyFont="1" applyFill="1" applyBorder="1" applyAlignment="1" fontId="4" numFmtId="0" fillId="0" borderId="34" xfId="4">
      <alignment horizontal="left" wrapText="1"/>
    </xf>
    <xf applyNumberFormat="1" applyFont="1" applyFill="1" applyBorder="1" applyAlignment="1" fontId="4" numFmtId="3" fillId="0" borderId="2" xfId="4">
      <alignment horizontal="right" wrapText="1"/>
    </xf>
    <xf applyNumberFormat="1" applyFont="1" applyFill="1" applyBorder="1" applyAlignment="1" fontId="4" numFmtId="10" fillId="0" borderId="2" xfId="7">
      <alignment horizontal="right" wrapText="1"/>
    </xf>
    <xf applyNumberFormat="1" applyFont="1" applyFill="1" applyBorder="1" applyAlignment="1" fontId="4" numFmtId="2" fillId="0" borderId="2" xfId="4">
      <alignment horizontal="right" wrapText="1"/>
    </xf>
    <xf applyNumberFormat="1" applyFont="1" applyFill="1" applyBorder="1" applyAlignment="1" fontId="4" numFmtId="3" fillId="0" borderId="35" xfId="4">
      <alignment horizontal="right" wrapText="1"/>
    </xf>
    <xf applyNumberFormat="1" applyFont="1" applyFill="1" applyBorder="1" applyAlignment="1" fontId="4" numFmtId="10" fillId="2" borderId="11" xfId="0">
      <alignment horizontal="center"/>
    </xf>
    <xf applyFont="1" applyFill="1" applyBorder="1" applyAlignment="1" fontId="2" numFmtId="0" fillId="0" borderId="34" xfId="4">
      <alignment horizontal="left"/>
    </xf>
    <xf applyNumberFormat="1" applyFont="1" applyFill="1" applyBorder="1" applyAlignment="1" fontId="2" numFmtId="3" fillId="0" borderId="2" xfId="4">
      <alignment horizontal="right"/>
    </xf>
    <xf applyNumberFormat="1" applyFont="1" applyFill="1" applyBorder="1" applyAlignment="1" fontId="2" numFmtId="10" fillId="0" borderId="2" xfId="10">
      <alignment horizontal="right"/>
    </xf>
    <xf applyNumberFormat="1" applyFont="1" applyFill="1" applyBorder="1" applyAlignment="1" fontId="2" numFmtId="2" fillId="0" borderId="2" xfId="4">
      <alignment horizontal="right"/>
    </xf>
    <xf applyNumberFormat="1" applyFont="1" applyFill="1" applyBorder="1" applyAlignment="1" fontId="2" numFmtId="3" fillId="0" borderId="35" xfId="4">
      <alignment horizontal="right"/>
    </xf>
    <xf fontId="18" numFmtId="0" fillId="3" borderId="0" xfId="11"/>
    <xf fontId="18" numFmtId="0" fillId="0" borderId="0" xfId="12"/>
    <xf fontId="18" numFmtId="0" fillId="5" borderId="0" xfId="13"/>
    <xf fontId="19" numFmtId="0" fillId="4" borderId="0" xfId="14"/>
    <xf applyFont="1" fontId="18" numFmtId="0" fillId="0" borderId="0" xfId="12"/>
    <xf applyNumberFormat="1" applyFont="1" applyAlignment="1" fontId="20" numFmtId="3" fillId="0" borderId="0" xfId="12">
      <alignment horizontal="right"/>
    </xf>
    <xf applyAlignment="1" fontId="18" numFmtId="0" fillId="0" borderId="0" xfId="12">
      <alignment horizontal="left"/>
    </xf>
    <xf applyNumberFormat="1" applyFont="1" applyFill="1" applyBorder="1" fontId="2" numFmtId="3" fillId="0" borderId="19" xfId="0"/>
    <xf applyNumberFormat="1" applyFont="1" applyFill="1" applyBorder="1" fontId="2" numFmtId="2" fillId="0" borderId="13" xfId="0"/>
    <xf applyNumberFormat="1" applyFont="1" applyFill="1" applyBorder="1" fontId="2" numFmtId="3" fillId="0" borderId="13" xfId="0"/>
    <xf applyNumberFormat="1" applyFont="1" applyFill="1" applyBorder="1" fontId="2" numFmtId="3" fillId="0" borderId="20" xfId="0"/>
    <xf applyNumberFormat="1" applyFont="1" applyFill="1" applyBorder="1" applyAlignment="1" fontId="2" numFmtId="3" fillId="0" borderId="19" xfId="0">
      <alignment horizontal="right"/>
    </xf>
    <xf applyNumberFormat="1" applyFont="1" applyFill="1" applyBorder="1" fontId="2" numFmtId="3" fillId="0" borderId="21" xfId="0"/>
    <xf applyNumberFormat="1" applyFont="1" applyFill="1" applyBorder="1" fontId="2" numFmtId="2" fillId="0" borderId="14" xfId="0"/>
    <xf applyNumberFormat="1" applyFont="1" applyFill="1" applyBorder="1" fontId="2" numFmtId="3" fillId="0" borderId="14" xfId="0"/>
    <xf applyNumberFormat="1" applyFont="1" applyFill="1" applyBorder="1" fontId="2" numFmtId="3" fillId="0" borderId="25" xfId="0"/>
    <xf applyNumberFormat="1" applyFont="1" applyFill="1" applyBorder="1" fontId="2" numFmtId="2" fillId="0" borderId="16" xfId="0"/>
  </cellXfs>
  <cellStyles count="15">
    <cellStyle name="20% - Accent5 2" xfId="13"/>
    <cellStyle name="60% - Accent1 2" xfId="11"/>
    <cellStyle name="Accent5 2" xfId="14"/>
    <cellStyle name="Comma" xfId="1" builtinId="3"/>
    <cellStyle name="Comma [2]" xfId="2"/>
    <cellStyle name="Normal" xfId="0" builtinId="0"/>
    <cellStyle name="Normal 2" xfId="12"/>
    <cellStyle name="Normal_AG Piping Qty Analysis" xfId="3"/>
    <cellStyle name="Normal_AG Piping Qty Analysis 1" xfId="4"/>
    <cellStyle name="Normal_Piping Qty Analysis" xfId="5"/>
    <cellStyle name="Normal_Piping Qty Summary" xfId="6"/>
    <cellStyle name="Percent" xfId="7" builtinId="5"/>
    <cellStyle name="Percent 2" xfId="10"/>
    <cellStyle name="Reports-0" xfId="8"/>
    <cellStyle name="Reports-2" xfId="9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9F82C36-AA24-4673-9C38-EDDA1E4FBA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7"/>
  <dimension ref="A1:AA50"/>
  <sheetViews>
    <sheetView showZeros="0" tabSelected="1" topLeftCell="A1" zoomScale="85" zoomScaleNormal="85" workbookViewId="0">
      <pane xSplit="5" topLeftCell="F1" activePane="topRight" state="frozen"/>
      <selection pane="topRight" activeCell="A8" sqref="A8"/>
    </sheetView>
  </sheetViews>
  <sheetFormatPr defaultColWidth="9.140625" defaultRowHeight="11.25"/>
  <cols>
    <col min="1" max="1" width="15.7109375" style="21" customWidth="1"/>
    <col min="2" max="2" width="8.7109375" style="21" customWidth="1"/>
    <col min="3" max="3" width="9.85546875" style="21" customWidth="1"/>
    <col min="4" max="4" width="8.42578125" style="41" customWidth="1"/>
    <col min="5" max="5" width="11" style="21" customWidth="1"/>
    <col min="6" max="6" width="14" style="21" bestFit="1" customWidth="1"/>
    <col min="7" max="7" width="7.7109375" style="21" customWidth="1"/>
    <col min="8" max="8" width="11.7109375" style="21" customWidth="1"/>
    <col min="9" max="9" width="7.7109375" style="21" customWidth="1"/>
    <col min="10" max="10" width="7.28515625" style="21" customWidth="1"/>
    <col min="11" max="11" width="8.85546875" style="21" customWidth="1"/>
    <col min="12" max="12" width="7.7109375" style="21" customWidth="1"/>
    <col min="13" max="13" width="8.5703125" style="21" bestFit="1" customWidth="1"/>
    <col min="14" max="14" width="6.7109375" style="21" customWidth="1"/>
    <col min="15" max="15" width="7.7109375" style="21" customWidth="1"/>
    <col min="16" max="18" width="6.7109375" style="21" customWidth="1"/>
    <col min="19" max="19" width="7.7109375" style="21" customWidth="1"/>
    <col min="20" max="26" width="6.7109375" style="21" customWidth="1"/>
    <col min="27" max="16384" width="9.140625" style="21"/>
  </cols>
  <sheetData>
    <row r="1" s="5" customFormat="1" ht="37.5" customHeight="1">
      <c r="A1" s="1"/>
      <c r="B1" s="2"/>
      <c r="C1" s="2"/>
      <c r="D1" s="3" t="s">
        <v>6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4"/>
    </row>
    <row r="2" s="6" customFormat="1" ht="20.25" customHeight="1">
      <c r="A2" s="115"/>
      <c r="D2" s="116" t="s">
        <v>7</v>
      </c>
      <c r="Z2" s="117"/>
    </row>
    <row r="3" s="12" customFormat="1" ht="12">
      <c r="A3" s="105" t="s">
        <v>54</v>
      </c>
      <c r="B3" s="112" t="s">
        <v>151</v>
      </c>
      <c r="C3" s="7"/>
      <c r="D3" s="8"/>
      <c r="E3" s="126" t="s">
        <v>53</v>
      </c>
      <c r="F3" s="112" t="s">
        <v>154</v>
      </c>
      <c r="G3" s="9"/>
      <c r="H3" s="9"/>
      <c r="I3" s="9"/>
      <c r="J3" s="9"/>
      <c r="K3" s="10"/>
      <c r="L3" s="9"/>
      <c r="M3" s="128"/>
      <c r="N3" s="129"/>
      <c r="O3" s="9"/>
      <c r="P3" s="9"/>
      <c r="Q3" s="126" t="s">
        <v>57</v>
      </c>
      <c r="R3" s="112" t="s">
        <v>157</v>
      </c>
      <c r="S3" s="9"/>
      <c r="T3" s="9"/>
      <c r="U3" s="9"/>
      <c r="V3" s="9"/>
      <c r="W3" s="9"/>
      <c r="X3" s="9"/>
      <c r="Y3" s="9"/>
      <c r="Z3" s="11"/>
    </row>
    <row r="4" s="12" customFormat="1" ht="12">
      <c r="A4" s="106" t="s">
        <v>58</v>
      </c>
      <c r="B4" s="110" t="s">
        <v>152</v>
      </c>
      <c r="C4" s="13"/>
      <c r="D4" s="14"/>
      <c r="E4" s="109" t="s">
        <v>59</v>
      </c>
      <c r="F4" s="110" t="s">
        <v>155</v>
      </c>
      <c r="G4" s="15"/>
      <c r="H4" s="15"/>
      <c r="I4" s="15"/>
      <c r="J4" s="15"/>
      <c r="K4" s="15"/>
      <c r="L4" s="15"/>
      <c r="M4" s="127"/>
      <c r="N4" s="111"/>
      <c r="O4" s="15"/>
      <c r="P4" s="15"/>
      <c r="Q4" s="109" t="s">
        <v>55</v>
      </c>
      <c r="R4" s="110" t="s">
        <v>158</v>
      </c>
      <c r="S4" s="15"/>
      <c r="T4" s="15"/>
      <c r="U4" s="15"/>
      <c r="V4" s="15"/>
      <c r="W4" s="15"/>
      <c r="X4" s="15"/>
      <c r="Y4" s="15"/>
      <c r="Z4" s="16"/>
    </row>
    <row r="5" s="12" customFormat="1" ht="12">
      <c r="A5" s="107" t="s">
        <v>0</v>
      </c>
      <c r="B5" s="113" t="s">
        <v>153</v>
      </c>
      <c r="C5" s="125"/>
      <c r="D5" s="17"/>
      <c r="E5" s="108" t="s">
        <v>56</v>
      </c>
      <c r="F5" s="113" t="s">
        <v>156</v>
      </c>
      <c r="G5" s="19"/>
      <c r="H5" s="18"/>
      <c r="I5" s="18"/>
      <c r="J5" s="19"/>
      <c r="K5" s="19"/>
      <c r="L5" s="19"/>
      <c r="M5" s="19"/>
      <c r="N5" s="114"/>
      <c r="O5" s="19"/>
      <c r="P5" s="19"/>
      <c r="Q5" s="114" t="s">
        <v>50</v>
      </c>
      <c r="R5" s="113" t="s">
        <v>159</v>
      </c>
      <c r="S5" s="19"/>
      <c r="T5" s="19"/>
      <c r="U5" s="19"/>
      <c r="V5" s="108"/>
      <c r="W5" s="113"/>
      <c r="X5" s="19"/>
      <c r="Y5" s="19"/>
      <c r="Z5" s="20"/>
    </row>
    <row r="6">
      <c r="A6" s="118" t="s">
        <v>2</v>
      </c>
      <c r="B6" s="119" t="s">
        <v>8</v>
      </c>
      <c r="C6" s="119" t="s">
        <v>49</v>
      </c>
      <c r="D6" s="120" t="s">
        <v>10</v>
      </c>
      <c r="E6" s="121" t="s">
        <v>11</v>
      </c>
      <c r="F6" s="121" t="s">
        <v>52</v>
      </c>
      <c r="G6" s="121" t="s">
        <v>9</v>
      </c>
      <c r="H6" s="121" t="s">
        <v>12</v>
      </c>
      <c r="I6" s="121" t="s">
        <v>9</v>
      </c>
      <c r="J6" s="122" t="s">
        <v>13</v>
      </c>
      <c r="K6" s="122" t="s">
        <v>10</v>
      </c>
      <c r="L6" s="122" t="s">
        <v>14</v>
      </c>
      <c r="M6" s="122" t="s">
        <v>15</v>
      </c>
      <c r="N6" s="123" t="s">
        <v>4</v>
      </c>
      <c r="O6" s="123" t="s">
        <v>16</v>
      </c>
      <c r="P6" s="124" t="s">
        <v>17</v>
      </c>
      <c r="Q6" s="122" t="s">
        <v>17</v>
      </c>
      <c r="R6" s="122" t="s">
        <v>17</v>
      </c>
      <c r="S6" s="122" t="s">
        <v>18</v>
      </c>
      <c r="T6" s="122" t="s">
        <v>19</v>
      </c>
      <c r="U6" s="122" t="s">
        <v>20</v>
      </c>
      <c r="V6" s="122" t="s">
        <v>21</v>
      </c>
      <c r="W6" s="122" t="s">
        <v>22</v>
      </c>
      <c r="X6" s="122" t="s">
        <v>18</v>
      </c>
      <c r="Y6" s="118" t="s">
        <v>18</v>
      </c>
      <c r="Z6" s="122" t="s">
        <v>23</v>
      </c>
    </row>
    <row r="7">
      <c r="A7" s="23"/>
      <c r="B7" s="24"/>
      <c r="C7" s="25" t="s">
        <v>24</v>
      </c>
      <c r="D7" s="26" t="s">
        <v>3</v>
      </c>
      <c r="E7" s="25" t="s">
        <v>8</v>
      </c>
      <c r="F7" s="25" t="s">
        <v>51</v>
      </c>
      <c r="G7" s="25" t="s">
        <v>26</v>
      </c>
      <c r="H7" s="25" t="s">
        <v>25</v>
      </c>
      <c r="I7" s="25" t="s">
        <v>26</v>
      </c>
      <c r="J7" s="25" t="s">
        <v>27</v>
      </c>
      <c r="K7" s="25" t="s">
        <v>28</v>
      </c>
      <c r="L7" s="25"/>
      <c r="M7" s="25" t="s">
        <v>29</v>
      </c>
      <c r="N7" s="27" t="s">
        <v>30</v>
      </c>
      <c r="O7" s="27" t="s">
        <v>29</v>
      </c>
      <c r="P7" s="28" t="s">
        <v>31</v>
      </c>
      <c r="Q7" s="25" t="s">
        <v>32</v>
      </c>
      <c r="R7" s="25" t="s">
        <v>33</v>
      </c>
      <c r="S7" s="25" t="s">
        <v>31</v>
      </c>
      <c r="T7" s="25" t="s">
        <v>34</v>
      </c>
      <c r="U7" s="25" t="s">
        <v>34</v>
      </c>
      <c r="V7" s="25" t="s">
        <v>34</v>
      </c>
      <c r="W7" s="25" t="s">
        <v>34</v>
      </c>
      <c r="X7" s="25" t="s">
        <v>32</v>
      </c>
      <c r="Y7" s="24" t="s">
        <v>33</v>
      </c>
      <c r="Z7" s="25" t="s">
        <v>35</v>
      </c>
    </row>
    <row r="8" s="5" customFormat="1" ht="11.25" customHeight="1">
      <c r="A8" s="29" t="s">
        <v>36</v>
      </c>
      <c r="B8" s="46" t="s">
        <v>61</v>
      </c>
      <c r="C8" s="30">
        <v>1</v>
      </c>
      <c r="D8" s="47" t="s">
        <v>62</v>
      </c>
      <c r="E8" s="48" t="e">
        <f>B8*D8</f>
        <v>#VALUE!</v>
      </c>
      <c r="F8" s="49" t="s">
        <v>97</v>
      </c>
      <c r="G8" s="45" t="e">
        <f>IF(F8=0,0,F8/F8)</f>
        <v>#VALUE!</v>
      </c>
      <c r="H8" s="49" t="s">
        <v>98</v>
      </c>
      <c r="I8" s="45" t="e">
        <f>IF(F8=0,0,H8/F8)</f>
        <v>#VALUE!</v>
      </c>
      <c r="J8" s="49" t="s">
        <v>99</v>
      </c>
      <c r="K8" s="50" t="e">
        <f>IF(J8=0,0,B8/J8)</f>
        <v>#VALUE!</v>
      </c>
      <c r="L8" s="51" t="s">
        <v>100</v>
      </c>
      <c r="M8" s="50" t="e">
        <f>IF(L8=0,0,L8/(B8/100))</f>
        <v>#VALUE!</v>
      </c>
      <c r="N8" s="52" t="s">
        <v>101</v>
      </c>
      <c r="O8" s="50" t="e">
        <f>IF(N8=0,0,(N8)/(B8/100))</f>
        <v>#VALUE!</v>
      </c>
      <c r="P8" s="53" t="s">
        <v>102</v>
      </c>
      <c r="Q8" s="49" t="s">
        <v>103</v>
      </c>
      <c r="R8" s="49" t="s">
        <v>104</v>
      </c>
      <c r="S8" s="49" t="s">
        <v>105</v>
      </c>
      <c r="T8" s="49" t="s">
        <v>106</v>
      </c>
      <c r="U8" s="49" t="s">
        <v>107</v>
      </c>
      <c r="V8" s="49" t="s">
        <v>108</v>
      </c>
      <c r="W8" s="49" t="s">
        <v>109</v>
      </c>
      <c r="X8" s="49" t="s">
        <v>110</v>
      </c>
      <c r="Y8" s="51" t="s">
        <v>111</v>
      </c>
      <c r="Z8" s="49" t="s">
        <v>112</v>
      </c>
    </row>
    <row r="9" s="5" customFormat="1" ht="11.25" customHeight="1">
      <c r="A9" s="54"/>
      <c r="B9" s="55"/>
      <c r="C9" s="56"/>
      <c r="D9" s="57"/>
      <c r="E9" s="55"/>
      <c r="F9" s="58"/>
      <c r="G9" s="59"/>
      <c r="H9" s="58"/>
      <c r="I9" s="59"/>
      <c r="J9" s="58"/>
      <c r="K9" s="58"/>
      <c r="L9" s="58"/>
      <c r="M9" s="60"/>
      <c r="N9" s="61"/>
      <c r="O9" s="60"/>
      <c r="P9" s="62"/>
      <c r="Q9" s="58"/>
      <c r="R9" s="58"/>
      <c r="S9" s="58"/>
      <c r="T9" s="58"/>
      <c r="U9" s="58"/>
      <c r="V9" s="58"/>
      <c r="W9" s="58"/>
      <c r="X9" s="58"/>
      <c r="Y9" s="58"/>
      <c r="Z9" s="58"/>
    </row>
    <row r="10">
      <c r="A10" s="31" t="s">
        <v>37</v>
      </c>
      <c r="B10" s="152" t="s">
        <v>82</v>
      </c>
      <c r="C10" s="63" t="e">
        <f>IF(B10=0,0,B10/B12)</f>
        <v>#VALUE!</v>
      </c>
      <c r="D10" s="153" t="s">
        <v>113</v>
      </c>
      <c r="E10" s="64" t="e">
        <f>D10*B10</f>
        <v>#VALUE!</v>
      </c>
      <c r="F10" s="154" t="s">
        <v>114</v>
      </c>
      <c r="G10" s="65">
        <f>IF(F12=0,0,F10/F12)</f>
        <v>0</v>
      </c>
      <c r="H10" s="154" t="s">
        <v>115</v>
      </c>
      <c r="I10" s="65" t="e">
        <f>IF(F10=0,0,H10/F10)</f>
        <v>#VALUE!</v>
      </c>
      <c r="J10" s="154" t="s">
        <v>116</v>
      </c>
      <c r="K10" s="66" t="e">
        <f>IF(J10=0,0,B10/J10)</f>
        <v>#VALUE!</v>
      </c>
      <c r="L10" s="154" t="s">
        <v>117</v>
      </c>
      <c r="M10" s="67" t="e">
        <f>IF(L10=0,0,L10/(B10/100))</f>
        <v>#VALUE!</v>
      </c>
      <c r="N10" s="154" t="s">
        <v>118</v>
      </c>
      <c r="O10" s="67" t="e">
        <f>IF(N10=0,0,(N10)/(B10/100))</f>
        <v>#VALUE!</v>
      </c>
      <c r="P10" s="154" t="s">
        <v>119</v>
      </c>
      <c r="Q10" s="155" t="s">
        <v>120</v>
      </c>
      <c r="R10" s="154" t="s">
        <v>121</v>
      </c>
      <c r="S10" s="154" t="s">
        <v>122</v>
      </c>
      <c r="T10" s="154" t="s">
        <v>123</v>
      </c>
      <c r="U10" s="154" t="s">
        <v>124</v>
      </c>
      <c r="V10" s="154" t="s">
        <v>143</v>
      </c>
      <c r="W10" s="154" t="s">
        <v>125</v>
      </c>
      <c r="X10" s="154" t="s">
        <v>126</v>
      </c>
      <c r="Y10" s="156" t="s">
        <v>127</v>
      </c>
      <c r="Z10" s="154" t="s">
        <v>145</v>
      </c>
    </row>
    <row r="11">
      <c r="A11" s="32" t="s">
        <v>38</v>
      </c>
      <c r="B11" s="157" t="s">
        <v>83</v>
      </c>
      <c r="C11" s="68" t="e">
        <f>IF(B11=0,0,B11/B12)</f>
        <v>#VALUE!</v>
      </c>
      <c r="D11" s="158" t="s">
        <v>128</v>
      </c>
      <c r="E11" s="69" t="e">
        <f>D11*B11</f>
        <v>#VALUE!</v>
      </c>
      <c r="F11" s="69" t="s">
        <v>129</v>
      </c>
      <c r="G11" s="70">
        <f>IF(F12=0,0,F11/F12)</f>
        <v>0</v>
      </c>
      <c r="H11" s="159" t="s">
        <v>131</v>
      </c>
      <c r="I11" s="70" t="e">
        <f>IF(F11=0,0,H11/F11)</f>
        <v>#VALUE!</v>
      </c>
      <c r="J11" s="69" t="s">
        <v>130</v>
      </c>
      <c r="K11" s="71" t="e">
        <f>IF(J11=0,0,B11/J11)</f>
        <v>#VALUE!</v>
      </c>
      <c r="L11" s="69" t="s">
        <v>142</v>
      </c>
      <c r="M11" s="72" t="e">
        <f>IF(L11=0,0,L11/(B11/100))</f>
        <v>#VALUE!</v>
      </c>
      <c r="N11" s="73" t="s">
        <v>132</v>
      </c>
      <c r="O11" s="74" t="e">
        <f>IF(N11=0,0,(N11)/(B11/100))</f>
        <v>#VALUE!</v>
      </c>
      <c r="P11" s="69" t="s">
        <v>133</v>
      </c>
      <c r="Q11" s="75" t="s">
        <v>134</v>
      </c>
      <c r="R11" s="69" t="s">
        <v>135</v>
      </c>
      <c r="S11" s="69" t="s">
        <v>136</v>
      </c>
      <c r="T11" s="69" t="s">
        <v>137</v>
      </c>
      <c r="U11" s="69" t="s">
        <v>138</v>
      </c>
      <c r="V11" s="159" t="s">
        <v>144</v>
      </c>
      <c r="W11" s="69" t="s">
        <v>139</v>
      </c>
      <c r="X11" s="69" t="s">
        <v>140</v>
      </c>
      <c r="Y11" s="76" t="s">
        <v>141</v>
      </c>
      <c r="Z11" s="159" t="s">
        <v>146</v>
      </c>
    </row>
    <row r="12" s="5" customFormat="1">
      <c r="A12" s="33" t="s">
        <v>39</v>
      </c>
      <c r="B12" s="77">
        <f>SUM(B10:B11)</f>
        <v>0</v>
      </c>
      <c r="C12" s="78" t="e">
        <f>SUM(C10:C11)</f>
        <v>#VALUE!</v>
      </c>
      <c r="D12" s="44">
        <f>IF(B12=0,0,E12/B12)</f>
        <v>0</v>
      </c>
      <c r="E12" s="79" t="e">
        <f>SUM(E10:E11)</f>
        <v>#VALUE!</v>
      </c>
      <c r="F12" s="79">
        <f>SUM(F10:F11)</f>
        <v>0</v>
      </c>
      <c r="G12" s="80">
        <f>SUM(G10:G11)</f>
        <v>0</v>
      </c>
      <c r="H12" s="79">
        <f>SUM(H10:H11)</f>
        <v>0</v>
      </c>
      <c r="I12" s="80">
        <f>IF(F12=0,0,H12/F12)</f>
        <v>0</v>
      </c>
      <c r="J12" s="79">
        <f>SUM(J10:J11)</f>
        <v>0</v>
      </c>
      <c r="K12" s="81">
        <f>IF(J12=0,0,B12/J12)</f>
        <v>0</v>
      </c>
      <c r="L12" s="79">
        <f>SUM(L10:L11)</f>
        <v>0</v>
      </c>
      <c r="M12" s="82">
        <f>IF(L12=0,0,L12/(B12/100))</f>
        <v>0</v>
      </c>
      <c r="N12" s="83">
        <f>SUM(N10:N11)</f>
        <v>0</v>
      </c>
      <c r="O12" s="81">
        <f>IF(N12=0,0,(N12)/(B12/100))</f>
        <v>0</v>
      </c>
      <c r="P12" s="79">
        <f>SUM(P10:P11)</f>
        <v>0</v>
      </c>
      <c r="Q12" s="84">
        <f>SUM(Q10:Q11)</f>
        <v>0</v>
      </c>
      <c r="R12" s="79">
        <f>SUM(R10:R11)</f>
        <v>0</v>
      </c>
      <c r="S12" s="79">
        <f>SUM(S10:S11)</f>
        <v>0</v>
      </c>
      <c r="T12" s="79">
        <f>SUM(T10:T11)</f>
        <v>0</v>
      </c>
      <c r="U12" s="79">
        <f>SUM(U10:U11)</f>
        <v>0</v>
      </c>
      <c r="V12" s="79">
        <f>SUM(V10:V11)</f>
        <v>0</v>
      </c>
      <c r="W12" s="79">
        <f>SUM(W10:W11)</f>
        <v>0</v>
      </c>
      <c r="X12" s="79">
        <f>SUM(X10:X11)</f>
        <v>0</v>
      </c>
      <c r="Y12" s="85">
        <f>SUM(Y10:Y11)</f>
        <v>0</v>
      </c>
      <c r="Z12" s="79">
        <f>SUM(Z10:Z11)</f>
        <v>0</v>
      </c>
    </row>
    <row r="13" ht="12.75">
      <c r="A13" s="31" t="s">
        <v>40</v>
      </c>
      <c r="B13" s="152" t="s">
        <v>88</v>
      </c>
      <c r="C13" s="63" t="e">
        <f>IF(B13=0,0,B13/B16)</f>
        <v>#VALUE!</v>
      </c>
      <c r="D13" s="153" t="s">
        <v>147</v>
      </c>
      <c r="E13" s="64" t="e">
        <f>D13*B13</f>
        <v>#VALUE!</v>
      </c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/>
    </row>
    <row r="14" ht="12.75">
      <c r="A14" s="32" t="s">
        <v>41</v>
      </c>
      <c r="B14" s="157" t="s">
        <v>86</v>
      </c>
      <c r="C14" s="68" t="e">
        <f>IF(B14=0,0,B14/B16)</f>
        <v>#VALUE!</v>
      </c>
      <c r="D14" s="158" t="s">
        <v>148</v>
      </c>
      <c r="E14" s="69" t="e">
        <f>D14*B14</f>
        <v>#VALUE!</v>
      </c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/>
    </row>
    <row r="15" ht="12.75">
      <c r="A15" s="32" t="s">
        <v>42</v>
      </c>
      <c r="B15" s="157" t="s">
        <v>87</v>
      </c>
      <c r="C15" s="68" t="e">
        <f>IF(B15=0,0,B15/B16)</f>
        <v>#VALUE!</v>
      </c>
      <c r="D15" s="158" t="s">
        <v>160</v>
      </c>
      <c r="E15" s="69" t="e">
        <f>D15*B15</f>
        <v>#VALUE!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/>
    </row>
    <row r="16" ht="12.75">
      <c r="A16" s="33" t="s">
        <v>43</v>
      </c>
      <c r="B16" s="77">
        <f>SUM(B13:B15)</f>
        <v>0</v>
      </c>
      <c r="C16" s="78" t="e">
        <f>SUM(C13:C15)</f>
        <v>#VALUE!</v>
      </c>
      <c r="D16" s="44">
        <f>IF(B16=0,0,E16/B16)</f>
        <v>0</v>
      </c>
      <c r="E16" s="79" t="e">
        <f>SUM(E13:E15)</f>
        <v>#VALUE!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/>
    </row>
    <row r="17" ht="12.75">
      <c r="A17" s="35" t="s">
        <v>44</v>
      </c>
      <c r="B17" s="160" t="s">
        <v>85</v>
      </c>
      <c r="C17" s="87" t="e">
        <f>IF(B17=0,0,B17/B19)</f>
        <v>#VALUE!</v>
      </c>
      <c r="D17" s="161" t="s">
        <v>150</v>
      </c>
      <c r="E17" s="73" t="e">
        <f>D17*B17</f>
        <v>#VALUE!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/>
    </row>
    <row r="18" ht="12.75">
      <c r="A18" s="32" t="s">
        <v>45</v>
      </c>
      <c r="B18" s="157" t="s">
        <v>84</v>
      </c>
      <c r="C18" s="68" t="e">
        <f>IF(B18=0,0,B18/B19)</f>
        <v>#VALUE!</v>
      </c>
      <c r="D18" s="158" t="s">
        <v>149</v>
      </c>
      <c r="E18" s="69" t="e">
        <f>D18*B18</f>
        <v>#VALUE!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/>
    </row>
    <row r="19" ht="12.75">
      <c r="A19" s="33" t="s">
        <v>46</v>
      </c>
      <c r="B19" s="77">
        <f>SUM(B17:B18)</f>
        <v>0</v>
      </c>
      <c r="C19" s="78" t="e">
        <f>SUM(C17:C18)</f>
        <v>#VALUE!</v>
      </c>
      <c r="D19" s="44">
        <f>IF(B19=0,0,E19/B19)</f>
        <v>0</v>
      </c>
      <c r="E19" s="79" t="e">
        <f>SUM(E17:E18)</f>
        <v>#VALUE!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/>
    </row>
    <row r="20" ht="12.75">
      <c r="A20" s="36"/>
      <c r="B20" s="37"/>
      <c r="C20" s="38"/>
      <c r="D20" s="39"/>
      <c r="E20" s="40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/>
    </row>
    <row r="22">
      <c r="A22" s="42" t="s">
        <v>1</v>
      </c>
      <c r="B22" s="42" t="s">
        <v>8</v>
      </c>
      <c r="C22" s="139" t="s">
        <v>47</v>
      </c>
      <c r="D22" s="43" t="s">
        <v>5</v>
      </c>
      <c r="E22" s="43" t="s">
        <v>48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>
      <c r="A23" s="140" t="s">
        <v>90</v>
      </c>
      <c r="B23" s="141" t="s">
        <v>91</v>
      </c>
      <c r="C23" s="142" t="s">
        <v>92</v>
      </c>
      <c r="D23" s="143" t="s">
        <v>93</v>
      </c>
      <c r="E23" s="144" t="s">
        <v>94</v>
      </c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>
      <c r="A24" s="134"/>
      <c r="B24" s="135"/>
      <c r="C24" s="136"/>
      <c r="D24" s="137"/>
      <c r="E24" s="138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>
      <c r="A25" s="88"/>
      <c r="B25" s="89"/>
      <c r="C25" s="91"/>
      <c r="D25" s="93"/>
      <c r="E25" s="90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>
      <c r="A26" s="88"/>
      <c r="B26" s="89"/>
      <c r="C26" s="91"/>
      <c r="D26" s="93"/>
      <c r="E26" s="90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>
      <c r="A27" s="95"/>
      <c r="B27" s="96"/>
      <c r="C27" s="97"/>
      <c r="D27" s="98"/>
      <c r="E27" s="99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>
      <c r="A28" s="95"/>
      <c r="B28" s="96"/>
      <c r="C28" s="97"/>
      <c r="D28" s="98"/>
      <c r="E28" s="99"/>
      <c r="F28" s="94"/>
    </row>
    <row r="29">
      <c r="A29" s="95"/>
      <c r="B29" s="96"/>
      <c r="C29" s="97"/>
      <c r="D29" s="98"/>
      <c r="E29" s="99"/>
    </row>
    <row r="30">
      <c r="A30" s="95"/>
      <c r="B30" s="96"/>
      <c r="C30" s="97"/>
      <c r="D30" s="98"/>
      <c r="E30" s="99"/>
    </row>
    <row r="31">
      <c r="A31" s="95"/>
      <c r="B31" s="96"/>
      <c r="C31" s="97"/>
      <c r="D31" s="98"/>
      <c r="E31" s="99"/>
    </row>
    <row r="32">
      <c r="A32" s="95"/>
      <c r="B32" s="96"/>
      <c r="C32" s="97"/>
      <c r="D32" s="98"/>
      <c r="E32" s="99"/>
    </row>
    <row r="33">
      <c r="A33" s="95"/>
      <c r="B33" s="96"/>
      <c r="C33" s="97"/>
      <c r="D33" s="98"/>
      <c r="E33" s="99"/>
    </row>
    <row r="34">
      <c r="A34" s="95"/>
      <c r="B34" s="96"/>
      <c r="C34" s="97"/>
      <c r="D34" s="98"/>
      <c r="E34" s="99"/>
    </row>
    <row r="35">
      <c r="A35" s="95"/>
      <c r="B35" s="96"/>
      <c r="C35" s="97"/>
      <c r="D35" s="98"/>
      <c r="E35" s="99"/>
    </row>
    <row r="36">
      <c r="A36" s="95"/>
      <c r="B36" s="96"/>
      <c r="C36" s="97"/>
      <c r="D36" s="98"/>
      <c r="E36" s="99"/>
    </row>
    <row r="37">
      <c r="A37" s="95"/>
      <c r="B37" s="96"/>
      <c r="C37" s="97"/>
      <c r="D37" s="98"/>
      <c r="E37" s="99"/>
    </row>
    <row r="38">
      <c r="A38" s="100"/>
      <c r="B38" s="101"/>
      <c r="C38" s="102"/>
      <c r="D38" s="103"/>
      <c r="E38" s="104"/>
    </row>
    <row r="39">
      <c r="A39" s="51" t="s">
        <v>60</v>
      </c>
      <c r="B39" s="130"/>
      <c r="C39" s="131"/>
      <c r="D39" s="132"/>
      <c r="E39" s="133"/>
    </row>
    <row r="40">
      <c r="C40" s="92"/>
      <c r="E40" s="22"/>
    </row>
    <row r="41">
      <c r="B41" s="22"/>
      <c r="C41" s="92"/>
      <c r="E41" s="22"/>
    </row>
    <row r="42">
      <c r="B42" s="22"/>
      <c r="C42" s="92"/>
      <c r="E42" s="22"/>
    </row>
    <row r="43">
      <c r="B43" s="22"/>
      <c r="C43" s="92"/>
      <c r="E43" s="22"/>
    </row>
    <row r="44">
      <c r="B44" s="22"/>
      <c r="C44" s="92"/>
      <c r="E44" s="22"/>
    </row>
    <row r="45">
      <c r="B45" s="22"/>
      <c r="C45" s="92"/>
      <c r="E45" s="22"/>
    </row>
    <row r="46">
      <c r="B46" s="22"/>
      <c r="C46" s="92"/>
      <c r="E46" s="22"/>
    </row>
    <row r="47">
      <c r="B47" s="22"/>
      <c r="C47" s="92"/>
      <c r="E47" s="22"/>
    </row>
    <row r="48">
      <c r="B48" s="22"/>
      <c r="C48" s="92"/>
      <c r="E48" s="22"/>
    </row>
    <row r="49">
      <c r="B49" s="22"/>
      <c r="C49" s="92"/>
      <c r="E49" s="22"/>
    </row>
    <row r="50">
      <c r="B50" s="22"/>
      <c r="C50" s="92"/>
      <c r="E50" s="22"/>
    </row>
  </sheetData>
  <pageMargins left="0.5" right="0.5" top="1" bottom="1" header="0.5" footer="0.5"/>
  <pageSetup fitToHeight="2" orientation="landscape" horizontalDpi="300" r:id="flId1"/>
  <headerFooter alignWithMargins="0">
    <oddFooter>&amp;L&amp;8Page &amp;P of &amp;N&amp;C&amp;8Note: In-Line Instruments are not included in this analysis at the present time&amp;R&amp;8Report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3"/>
  <sheetViews>
    <sheetView topLeftCell="A1" workbookViewId="0">
      <selection activeCell="D12" sqref="D12"/>
    </sheetView>
  </sheetViews>
  <sheetFormatPr defaultColWidth="9.140625" defaultRowHeight="15"/>
  <cols>
    <col min="1" max="1" width="22.5703125" style="146" bestFit="1" customWidth="1"/>
    <col min="2" max="2" width="26" style="146" customWidth="1"/>
    <col min="3" max="3" width="23.7109375" style="146" customWidth="1"/>
    <col min="4" max="4" width="35.5703125" style="146" bestFit="1" customWidth="1"/>
    <col min="5" max="7" width="2.7109375" style="146" customWidth="1"/>
    <col min="8" max="8" width="13.140625" style="146" bestFit="1" customWidth="1"/>
    <col min="9" max="9" width="10.85546875" style="146" bestFit="1" customWidth="1"/>
    <col min="10" max="12" width="2.7109375" style="146" customWidth="1"/>
    <col min="13" max="13" width="34.42578125" style="146" customWidth="1"/>
    <col min="14" max="14" width="40.140625" style="146" customWidth="1"/>
    <col min="15" max="16384" width="9.140625" style="146"/>
  </cols>
  <sheetData>
    <row r="3">
      <c r="A3" s="145" t="s">
        <v>63</v>
      </c>
    </row>
    <row r="4">
      <c r="A4" s="145" t="s">
        <v>64</v>
      </c>
    </row>
    <row r="5">
      <c r="A5" s="145" t="s">
        <v>65</v>
      </c>
    </row>
    <row r="8">
      <c r="A8" s="147" t="s">
        <v>66</v>
      </c>
      <c r="B8" s="147"/>
      <c r="C8" s="147"/>
      <c r="D8" s="147"/>
      <c r="H8" s="147" t="s">
        <v>67</v>
      </c>
      <c r="I8" s="147"/>
      <c r="M8" s="147" t="s">
        <v>68</v>
      </c>
      <c r="N8" s="147"/>
    </row>
    <row r="9">
      <c r="A9" s="148" t="s">
        <v>69</v>
      </c>
      <c r="B9" s="148" t="s">
        <v>70</v>
      </c>
      <c r="C9" s="148" t="s">
        <v>71</v>
      </c>
      <c r="D9" s="148" t="s">
        <v>72</v>
      </c>
      <c r="H9" s="148" t="s">
        <v>73</v>
      </c>
      <c r="I9" s="148" t="s">
        <v>74</v>
      </c>
      <c r="M9" s="148" t="s">
        <v>75</v>
      </c>
      <c r="N9" s="148" t="s">
        <v>76</v>
      </c>
    </row>
    <row r="10">
      <c r="A10" s="146" t="s">
        <v>89</v>
      </c>
      <c r="B10" s="146" t="s">
        <v>95</v>
      </c>
      <c r="D10" s="146" t="s">
        <v>96</v>
      </c>
      <c r="H10" s="149" t="s">
        <v>77</v>
      </c>
      <c r="I10" s="150">
        <v>1234.56</v>
      </c>
    </row>
    <row r="11">
      <c r="H11" s="149" t="s">
        <v>78</v>
      </c>
      <c r="I11" s="151" t="s">
        <v>79</v>
      </c>
    </row>
    <row r="12">
      <c r="H12" s="149" t="s">
        <v>80</v>
      </c>
      <c r="I12" s="151" t="s">
        <v>79</v>
      </c>
    </row>
    <row r="13">
      <c r="H13" s="149" t="s">
        <v>81</v>
      </c>
      <c r="I13" s="150">
        <v>1234.56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AG Pipe Qty Analysis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2022-10-20T20:30:19Z</dcterms:created>
  <dcterms:modified xsi:type="dcterms:W3CDTF">2022-10-20T20:30:19Z</dcterms:modified>
</cp:coreProperties>
</file>