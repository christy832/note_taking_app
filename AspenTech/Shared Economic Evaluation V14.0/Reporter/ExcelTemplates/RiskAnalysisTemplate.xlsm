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vml" ContentType="application/vnd.openxmlformats-officedocument.vmlDrawing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sheets/sheet5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 defaultThemeVersion="166925"/>
  <bookViews>
    <workbookView xWindow="-120" yWindow="-120" windowWidth="22740" windowHeight="14640"/>
  </bookViews>
  <sheets>
    <sheet name="Base Estimate" sheetId="1" r:id="flId1"/>
    <sheet name="User Input - Ranges" sheetId="3" r:id="flId2"/>
    <sheet name="User Input - Correlations" sheetId="4" r:id="flId3"/>
    <sheet name="Positive Definiteness Check" sheetId="5" r:id="flId4" state="hidden"/>
    <sheet name="&lt;#Config&gt;" sheetId="2" r:id="flId5"/>
  </sheets>
  <definedNames>
    <definedName name="__00_ICQ_ConstInd__X">'Base Estimate'!$A$17:$G$17</definedName>
    <definedName name="__00_ICQ_Contingency__X">'Base Estimate'!$A$39:$G$39</definedName>
    <definedName name="__00_ICQ_Engineering__X">'Base Estimate'!$A$33:$G$33</definedName>
    <definedName name="__00_ICQ_FldOfcInd__X">'Base Estimate'!$A$14:$G$14</definedName>
    <definedName name="__00_ICQ_Freight__X">'Base Estimate'!$A$27:$G$27</definedName>
    <definedName name="__00_ICQ_OtherProjCosts__X">'Base Estimate'!$A$36:$G$36</definedName>
    <definedName name="__00_ICQ_TaxesPermits__X">'Base Estimate'!$A$30:$G$30</definedName>
    <definedName name="__CostElementsMatl__">'User Input - Ranges'!$A$14:$I$14</definedName>
    <definedName name="__CostElementsMhr__">'User Input - Ranges'!$A$15:$I$15</definedName>
    <definedName name="__CostElementsWageRate__">'User Input - Ranges'!$A$16:$I$16</definedName>
    <definedName name="__TDCAcctSumry__X">'Base Estimate'!$A$8:$G$8</definedName>
    <definedName name="_xlnm._FilterDatabase" hidden="1" localSheetId="1">'User Input - Ranges'!$A$13:$I$13</definedName>
    <definedName name="AcctInOrExclude">'User Input - Ranges'!$H$14:$H$22</definedName>
    <definedName name="Correlation_Matrix">'User Input - Correlations'!$C$11:$AF$40</definedName>
    <definedName name="Cost_Elements">'User Input - Ranges'!$A$14:$I$22</definedName>
    <definedName name="Currency">'Base Estimate'!$H$6</definedName>
    <definedName name="EstimateClass">'Base Estimate'!$E$6</definedName>
    <definedName name="EstimateDate">'Base Estimate'!$B$6</definedName>
    <definedName name="IFC">'Base Estimate'!$G$19</definedName>
    <definedName name="JobNumber">'Base Estimate'!$E$5</definedName>
    <definedName name="NumIterations">'User Input - Ranges'!$C$9</definedName>
    <definedName name="PreparedBy">'Base Estimate'!$H$5</definedName>
    <definedName name="ProjectLocation">'Base Estimate'!$B$5</definedName>
    <definedName name="ProjectName">'Base Estimate'!$B$4</definedName>
    <definedName name="ProjectTitle">'Base Estimate'!$B$3</definedName>
    <definedName name="ScenarioName">'Base Estimate'!$E$4</definedName>
    <definedName name="TDC">'Base Estimate'!$G$10</definedName>
    <definedName name="TDM">'Base Estimate'!$F$10</definedName>
    <definedName name="TFC">'Base Estimate'!$G$22</definedName>
    <definedName name="TIC">'Base Estimate'!$G$44</definedName>
    <definedName name="UseCorMatrix">'User Input - Ranges'!$C$11</definedName>
    <definedName name="UserComments">'User Input - Ranges'!$I$14:$I$22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FV"/>
      </xcalcf:calcFeatures>
    </ext>
  </extLst>
</workbook>
</file>

<file path=xl/comments2.xml><?xml version="1.0" encoding="utf-8"?>
<comments xmlns="http://schemas.openxmlformats.org/spreadsheetml/2006/main">
  <authors>
    <author>Marathe, Sameer</author>
  </authors>
  <commentList>
    <comment ref="C9" authorId="0">
      <text>
        <r>
          <rPr>
            <sz val="9"/>
            <color auto="1"/>
            <rFont val="Tahoma"/>
            <family val="2"/>
          </rPr>
          <t xml:space="preserve">Minimum: 5,000
Maximum: 50,000
</t>
        </r>
      </text>
    </comment>
    <comment ref="C11" authorId="0">
      <text>
        <r>
          <rPr>
            <sz val="9"/>
            <color auto="1"/>
            <rFont val="Tahoma"/>
            <family val="2"/>
          </rPr>
          <t xml:space="preserve">Yes: Use Correlation Matrix specified in "User Input - Correlations"
No: Use uncorrelated sampling</t>
        </r>
      </text>
    </comment>
  </commentList>
</comments>
</file>

<file path=xl/sharedStrings.xml><?xml version="1.0" encoding="utf-8"?>
<sst xmlns="http://schemas.openxmlformats.org/spreadsheetml/2006/main" count="535" uniqueCount="213">
  <si>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</si>
  <si>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</si>
  <si>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</si>
  <si>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</si>
  <si>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</si>
  <si>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</si>
  <si>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</si>
  <si>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</si>
  <si>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</si>
  <si>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Group A/C No</t>
  </si>
  <si>
    <t>Account</t>
  </si>
  <si>
    <t>MH</t>
  </si>
  <si>
    <t>Wage Rate</t>
  </si>
  <si>
    <t>Labor Cost</t>
  </si>
  <si>
    <t>Matl Cost</t>
  </si>
  <si>
    <t>Total Cost</t>
  </si>
  <si>
    <t>Percentages</t>
  </si>
  <si>
    <t>of TDC</t>
  </si>
  <si>
    <t>Total Direct Field Costs</t>
  </si>
  <si>
    <t>(TDMH)</t>
  </si>
  <si>
    <t>(TDL)</t>
  </si>
  <si>
    <t>(TDM)</t>
  </si>
  <si>
    <t>(TDC)</t>
  </si>
  <si>
    <t>COA</t>
  </si>
  <si>
    <t>Description</t>
  </si>
  <si>
    <t>Indirect Wage Rate</t>
  </si>
  <si>
    <t>Total</t>
  </si>
  <si>
    <t>Indirect Field Costs (IFC)</t>
  </si>
  <si>
    <t>of TDL</t>
  </si>
  <si>
    <t>(IFMH)</t>
  </si>
  <si>
    <t>(IFC)</t>
  </si>
  <si>
    <t>Total Field Costs (TDFC+IFC)</t>
  </si>
  <si>
    <t>of TIC</t>
  </si>
  <si>
    <t>(TFMH)</t>
  </si>
  <si>
    <t>(TFCL)</t>
  </si>
  <si>
    <t>(TFCM)</t>
  </si>
  <si>
    <t>(TFC)</t>
  </si>
  <si>
    <t xml:space="preserve">Freight </t>
  </si>
  <si>
    <t>Taxes and Permits</t>
  </si>
  <si>
    <t>Engineering and HO</t>
  </si>
  <si>
    <t>Other Project Costs</t>
  </si>
  <si>
    <t>Contingency</t>
  </si>
  <si>
    <t>Total EPC Costs (EPC)</t>
  </si>
  <si>
    <t>(TEPCMH)</t>
  </si>
  <si>
    <t>(TEPC)</t>
  </si>
  <si>
    <t>Project Total Costs (TFC+EPC)</t>
  </si>
  <si>
    <t>(TMH)</t>
  </si>
  <si>
    <t>(TLC)</t>
  </si>
  <si>
    <t>(TMC)</t>
  </si>
  <si>
    <t>(TIC)</t>
  </si>
  <si>
    <t>PROJECT METRICS</t>
  </si>
  <si>
    <t>Lang Factor (Equipment to Project Total Cost)</t>
  </si>
  <si>
    <t>TDC to TIC</t>
  </si>
  <si>
    <t>EPC to TIC</t>
  </si>
  <si>
    <t>Risk Analysis</t>
  </si>
  <si>
    <t>Base Estimate Summary</t>
  </si>
  <si>
    <t>Data Sources:</t>
  </si>
  <si>
    <t>Included Configs:</t>
  </si>
  <si>
    <t>Application to run:</t>
  </si>
  <si>
    <t>Data</t>
  </si>
  <si>
    <t>Table Name</t>
  </si>
  <si>
    <t>Source Name</t>
  </si>
  <si>
    <t>Filter</t>
  </si>
  <si>
    <t>Sort Fields ("," separated) ASC or DESC</t>
  </si>
  <si>
    <t>Format</t>
  </si>
  <si>
    <t>Format Name</t>
  </si>
  <si>
    <t>Format Def</t>
  </si>
  <si>
    <t>Expressions</t>
  </si>
  <si>
    <t>Name</t>
  </si>
  <si>
    <t>Expression</t>
  </si>
  <si>
    <t>NumVal(Border;NumericFormat;TextAlign)</t>
  </si>
  <si>
    <t>Test</t>
  </si>
  <si>
    <t>Desc(Border;TextAlign)</t>
  </si>
  <si>
    <t>User Input: Ranges and Distributions</t>
  </si>
  <si>
    <t>Instructions</t>
  </si>
  <si>
    <t>Cost Element</t>
  </si>
  <si>
    <t>Min. %</t>
  </si>
  <si>
    <t>Min. Value</t>
  </si>
  <si>
    <t>Expected Value</t>
  </si>
  <si>
    <t>Max. Value</t>
  </si>
  <si>
    <t>Max. %</t>
  </si>
  <si>
    <t>Desc1(TextAlign)</t>
  </si>
  <si>
    <t>NumVal1(NumericFormat;TextAlign)</t>
  </si>
  <si>
    <t>&lt;#CostElementsMatl.Matl Cost&gt;&lt;#Format cell(NumVal1)&gt;</t>
  </si>
  <si>
    <t>&lt;#CostElementsMhr.MH&gt;&lt;#Format cell(NumVal1)&gt;</t>
  </si>
  <si>
    <t>Wage rate</t>
  </si>
  <si>
    <t>Paint</t>
  </si>
  <si>
    <t>Insulation</t>
  </si>
  <si>
    <t>Electrical</t>
  </si>
  <si>
    <t>Instruments</t>
  </si>
  <si>
    <t>Steel</t>
  </si>
  <si>
    <t>Civil</t>
  </si>
  <si>
    <t>Piping</t>
  </si>
  <si>
    <t>Equipment</t>
  </si>
  <si>
    <t>Manhours</t>
  </si>
  <si>
    <t>Material cost</t>
  </si>
  <si>
    <t>User Input: Correlations</t>
  </si>
  <si>
    <t>CostElementsMatl</t>
  </si>
  <si>
    <t>00_TAQ_TDC_AcctSumry_Cal</t>
  </si>
  <si>
    <t>CostElementsMhr</t>
  </si>
  <si>
    <t>CostElementsWageRate</t>
  </si>
  <si>
    <t>MH &gt; 0</t>
  </si>
  <si>
    <t>FullDes ASC</t>
  </si>
  <si>
    <t>[Matl Cost] &gt; 0</t>
  </si>
  <si>
    <t>[Wage Rate] &gt; 0</t>
  </si>
  <si>
    <t>Field Office</t>
  </si>
  <si>
    <t>Construction Indirects</t>
  </si>
  <si>
    <t>&lt;#if(&lt;#00_ICQ_FldOfcInd.#RowCount&gt; = 0; &lt;#delete row&gt;;)&gt;</t>
  </si>
  <si>
    <t>&lt;#if(&lt;#00_ICQ_ConstInd.#RowCount&gt; = 0; &lt;#delete row&gt;;)&gt;</t>
  </si>
  <si>
    <t>&lt;#00_ICQ_FldOfcInd.Description;&gt;&lt;#format range(B14:B14;Desc)&gt;</t>
  </si>
  <si>
    <t>&lt;#00_ICQ_FldOfcInd.Ind Cost;&gt;</t>
  </si>
  <si>
    <t>&lt;#00_ICQ_ConstInd.Description;&gt;&lt;#format range(B17:B17;Desc)&gt;</t>
  </si>
  <si>
    <t>&lt;#00_ICQ_ConstInd.Ind Cost;&gt;</t>
  </si>
  <si>
    <t>Field office</t>
  </si>
  <si>
    <t>FieldOffice</t>
  </si>
  <si>
    <t>00_ICQ_FldOfcInd</t>
  </si>
  <si>
    <t>[Ind Cost] &gt; 0</t>
  </si>
  <si>
    <t>ConstructionInd</t>
  </si>
  <si>
    <t>00_ICQ_ConstInd</t>
  </si>
  <si>
    <t>Freight</t>
  </si>
  <si>
    <t>TaxesPermits</t>
  </si>
  <si>
    <t>EnggHomeOfc</t>
  </si>
  <si>
    <t>OtherInd</t>
  </si>
  <si>
    <t>&lt;#if(or(&lt;#FieldOffice.#RowCount&gt; &gt; 0, &lt;#ConstructionInd.#RowCount&gt; &gt; 0, &lt;#Freight.#RowCount&gt; &gt; 0, &lt;#TaxesPermits.#RowCount&gt; &gt; 0, &lt;#EnggHomeOfc.#RowCount&gt; &gt; 0,&lt;#OtherInd.#RowCount&gt; &gt; 0); &lt;#delete row&gt;;)&gt;</t>
  </si>
  <si>
    <t>&lt;#aggregate(SUM;FieldOffice.Ind Cost)&gt;&lt;#Format cell(NumVal1)&gt;</t>
  </si>
  <si>
    <t>&lt;#aggregate(SUM;ConstructionInd.Ind Cost)&gt;&lt;#Format cell(NumVal1)&gt;</t>
  </si>
  <si>
    <t>Construction indirects</t>
  </si>
  <si>
    <t>Taxes and permits</t>
  </si>
  <si>
    <t>Engineering and home office</t>
  </si>
  <si>
    <t>Other project indirects</t>
  </si>
  <si>
    <t>Indirects</t>
  </si>
  <si>
    <t>&lt;#Evaluate(RIGHT(&lt;#CostElementsMhr.FullDes&gt;,LEN(&lt;#CostElementsMhr.FullDes&gt;)-4))&gt;&lt;#Format cell(Desc1)&gt;</t>
  </si>
  <si>
    <t>&lt;#Evaluate(RIGHT(&lt;#CostElementsMatl.FullDes&gt;,LEN(&lt;#CostElementsMatl.FullDes&gt;)-4))&gt;&lt;#Format cell(Desc1)&gt;</t>
  </si>
  <si>
    <t>&lt;#Evaluate(RIGHT(&lt;#CostElementsWageRate.FullDes&gt;,LEN(&lt;#CostElementsWageRate.FullDes&gt;)-4))&gt;&lt;#Format cell(Desc1)&gt;</t>
  </si>
  <si>
    <t>&lt;#if(&lt;#FieldOffice.#RowCount&gt; = 0; &lt;#delete row&gt;;Field office)&gt;</t>
  </si>
  <si>
    <t>&lt;#if(&lt;#ConstructionInd.#RowCount&gt; = 0; &lt;#delete row&gt;;Construction indirects)&gt;</t>
  </si>
  <si>
    <t>&lt;#if(&lt;#Freight.#RowCount&gt; = 0; &lt;#delete row&gt;;Freight)&gt;</t>
  </si>
  <si>
    <t>&lt;#if(&lt;#TaxesPermits.#RowCount&gt; = 0; &lt;#delete row&gt;;Taxes and permits)&gt;</t>
  </si>
  <si>
    <t>&lt;#if(&lt;#EnggHomeOfc.#RowCount&gt; = 0; &lt;#delete row&gt;;Engineering and home office)&gt;</t>
  </si>
  <si>
    <t>&lt;#if(&lt;#OtherInd.#RowCount&gt; = 0; &lt;#delete row&gt;;Other project indirects)&gt;</t>
  </si>
  <si>
    <t>&lt;#ProjectTitle;&gt;</t>
  </si>
  <si>
    <t>&lt;#ProjectName;&gt;</t>
  </si>
  <si>
    <t>&lt;#ProjectLocation;&gt;</t>
  </si>
  <si>
    <t>&lt;#EstimateDate;&gt;</t>
  </si>
  <si>
    <t>&lt;#ScenarioName;&gt;</t>
  </si>
  <si>
    <t>&lt;#JobNumber;&gt;</t>
  </si>
  <si>
    <t>&lt;#EstimateClass;&gt;</t>
  </si>
  <si>
    <t>&lt;#PreparedBy;&gt;</t>
  </si>
  <si>
    <t>&lt;#Currency;&gt;</t>
  </si>
  <si>
    <t>TDCAcctSumry</t>
  </si>
  <si>
    <r>
      <t xml:space="preserve">-   E.g. if Min. value is </t>
    </r>
    <r>
      <rPr>
        <b/>
        <sz val="10"/>
        <color theme="1"/>
        <rFont val="Arial"/>
        <family val="2"/>
      </rPr>
      <t>15% less</t>
    </r>
    <r>
      <rPr>
        <sz val="10"/>
        <color theme="1"/>
        <rFont val="Arial"/>
        <family val="2"/>
      </rPr>
      <t xml:space="preserve"> than expected value, enter "</t>
    </r>
    <r>
      <rPr>
        <b/>
        <sz val="10"/>
        <color theme="1"/>
        <rFont val="Arial"/>
        <family val="2"/>
      </rPr>
      <t>-15.0%</t>
    </r>
    <r>
      <rPr>
        <sz val="10"/>
        <color theme="1"/>
        <rFont val="Arial"/>
        <family val="2"/>
      </rPr>
      <t>" in the Min. % column</t>
    </r>
  </si>
  <si>
    <r>
      <t xml:space="preserve">-   E.g. if the Max. value is </t>
    </r>
    <r>
      <rPr>
        <b/>
        <sz val="10"/>
        <color theme="1"/>
        <rFont val="Arial"/>
        <family val="2"/>
      </rPr>
      <t>20% higher</t>
    </r>
    <r>
      <rPr>
        <sz val="10"/>
        <color theme="1"/>
        <rFont val="Arial"/>
        <family val="2"/>
      </rPr>
      <t xml:space="preserve"> than expected value, enter "</t>
    </r>
    <r>
      <rPr>
        <b/>
        <sz val="10"/>
        <color theme="1"/>
        <rFont val="Arial"/>
        <family val="2"/>
      </rPr>
      <t>20.0%</t>
    </r>
    <r>
      <rPr>
        <sz val="10"/>
        <color theme="1"/>
        <rFont val="Arial"/>
        <family val="2"/>
      </rPr>
      <t>" in the Max. % column</t>
    </r>
  </si>
  <si>
    <t>- Set the correlation coefficients between cost elements.</t>
  </si>
  <si>
    <t xml:space="preserve">- Coefficient values should be:  -1.0 &lt;= [Coefficient] &lt;= 1.0</t>
  </si>
  <si>
    <t>- Diagonal values must be = 1.0 (Do not edit diagonal values)</t>
  </si>
  <si>
    <t>NumVal2(NumericFormat;TextAlign)</t>
  </si>
  <si>
    <t>&lt;#CostElementsWageRate.Wage Rate&gt;&lt;#Format cell(NumVal2)&gt;</t>
  </si>
  <si>
    <t>&lt;#if(&lt;#00_ICQ_Freight.#RowCount&gt; = 0; &lt;#delete row&gt;;)&gt;</t>
  </si>
  <si>
    <t>&lt;#00_ICQ_Freight.Description;&gt;&lt;#format range(B27:B27;Desc)&gt;</t>
  </si>
  <si>
    <t>&lt;#if(&lt;#00_ICQ_Freight.Ind MH&gt; &gt; 0;&lt;#00_ICQ_Freight.Ind MH&gt;;)&gt;</t>
  </si>
  <si>
    <t>&lt;#00_ICQ_Freight.Ind Cost;&gt;</t>
  </si>
  <si>
    <t>00_ICQ_Freight</t>
  </si>
  <si>
    <t>&lt;#aggregate(SUM;Freight.Ind Cost)&gt;&lt;#Format cell(NumVal1)&gt;</t>
  </si>
  <si>
    <t>&lt;#if(&lt;#00_ICQ_FldOfcInd.Ind MH&gt; &gt; 0;&lt;#00_ICQ_FldOfcInd.Ind MH&gt;;)&gt;</t>
  </si>
  <si>
    <t>&lt;#if(&lt;#00_ICQ_ConstInd.Ind MH&gt; &gt; 0;&lt;#00_ICQ_ConstInd.Ind MH&gt;;)&gt;</t>
  </si>
  <si>
    <t>&lt;#if(&lt;#00_ICQ_TaxesPermits.#RowCount&gt; = 0; &lt;#delete row&gt;;)&gt;</t>
  </si>
  <si>
    <t>&lt;#00_ICQ_TaxesPermits.Description;&gt;&lt;#format range(B30:B30;Desc)&gt;</t>
  </si>
  <si>
    <t>&lt;#00_ICQ_TaxesPermits.Ind Cost;&gt;</t>
  </si>
  <si>
    <t>&lt;#if(&lt;#00_ICQ_TaxesPermits.Ind MH&gt; &gt; 0;&lt;#00_ICQ_TaxesPermits.Ind MH&gt;;)&gt;</t>
  </si>
  <si>
    <t>00_ICQ_TaxesPermits</t>
  </si>
  <si>
    <t>&lt;#if(&lt;#00_ICQ_Engineering.#RowCount&gt; = 0; &lt;#delete row&gt;;)&gt;</t>
  </si>
  <si>
    <t>&lt;#00_ICQ_Engineering.Description;&gt;&lt;#format range(B33:B33;Desc)&gt;</t>
  </si>
  <si>
    <t>&lt;#if(&lt;#00_ICQ_Engineering.Ind MH&gt; &gt; 0;&lt;#00_ICQ_Engineering.Ind MH&gt;;)&gt;</t>
  </si>
  <si>
    <t>&lt;#00_ICQ_Engineering.Ind Cost;&gt;</t>
  </si>
  <si>
    <t>00_ICQ_Engineering</t>
  </si>
  <si>
    <t>&lt;#if(&lt;#00_ICQ_OtherProjCosts.#RowCount&gt; = 0; &lt;#delete row&gt;;)&gt;</t>
  </si>
  <si>
    <t>&lt;#if(&lt;#00_ICQ_OtherProjCosts.Ind MH&gt; &gt; 0;&lt;#00_ICQ_OtherProjCosts.Ind MH&gt;;)&gt;</t>
  </si>
  <si>
    <t>&lt;#00_ICQ_OtherProjCosts.Ind Cost;&gt;</t>
  </si>
  <si>
    <t>00_ICQ_OtherProjCosts</t>
  </si>
  <si>
    <t>&lt;#if(&lt;#00_ICQ_Contingency.#RowCount&gt; = 0; &lt;#delete row&gt;;)&gt;</t>
  </si>
  <si>
    <t>&lt;#if(&lt;#00_ICQ_Contingency.Ind MH&gt; &gt; 0;&lt;#00_ICQ_Contingency.Ind MH&gt;;)&gt;</t>
  </si>
  <si>
    <t>&lt;#00_ICQ_OtherProjCosts.Description;&gt;&lt;#format range(B36:B36;Desc)&gt;</t>
  </si>
  <si>
    <t>&lt;#00_ICQ_Contingency.Description;&gt;&lt;#format range(B39:B39;Desc)&gt;</t>
  </si>
  <si>
    <t>&lt;#00_ICQ_Contingency.Ind Cost;&gt;</t>
  </si>
  <si>
    <t>&lt;#aggregate(SUM;TaxesPermits.Ind Cost)&gt;&lt;#Format cell(NumVal1)&gt;</t>
  </si>
  <si>
    <t>&lt;#aggregate(SUM;EnggHomeOfc.Ind Cost)&gt;&lt;#Format cell(NumVal1)&gt;</t>
  </si>
  <si>
    <t>&lt;#aggregate(SUM;OtherInd.Ind Cost)&gt;&lt;#Format cell(NumVal1)&gt;</t>
  </si>
  <si>
    <t>&lt;#00_ICQ_FldOfcInd.Code;&gt;&lt;#format range(__00_ICQ_FldOfcInd__X;NumVal)&gt;&lt;#format range(D14:D14;NumVal2)&gt;</t>
  </si>
  <si>
    <t>&lt;#00_ICQ_ConstInd.Code;&gt;&lt;#format range(__00_ICQ_ConstInd__X;NumVal)&gt;&lt;#format range(D17:D17;NumVal2)&gt;</t>
  </si>
  <si>
    <t>&lt;#00_ICQ_Freight.Code;&gt;&lt;#format range(__00_ICQ_Freight__X;NumVal)&gt;&lt;#format range(D27:D27;NumVal2)&gt;</t>
  </si>
  <si>
    <t>&lt;#00_ICQ_TaxesPermits.Code;&gt;&lt;#format range(__00_ICQ_TaxesPermits__X;NumVal)&gt;&lt;#format range(D30:D30;NumVal2)&gt;</t>
  </si>
  <si>
    <t>&lt;#00_ICQ_Engineering.Code;&gt;&lt;#format range(__00_ICQ_Engineering__X;NumVal)&gt;&lt;#format range(D33:D33;NumVal2)&gt;</t>
  </si>
  <si>
    <t>&lt;#00_ICQ_OtherProjCosts.Code;&gt;&lt;#format range(__00_ICQ_OtherProjCosts__X;NumVal)&gt;&lt;#format range(D36:D36;NumVal2)&gt;</t>
  </si>
  <si>
    <t>&lt;#00_ICQ_Contingency.Code;&gt;&lt;#format range(__00_ICQ_Contingency__X;NumVal)&gt;&lt;#format range(D39:D39;NumVal2)&gt;</t>
  </si>
  <si>
    <t>&lt;#TDCAcctSumry.*;&gt;&lt;#format range(__TDCAcctSumry__X;NumVal)&gt;&lt;#format range(B8:B8;Desc)&gt;&lt;#format range(D8:D8;NumVal2)&gt;</t>
  </si>
  <si>
    <t>Use Correlation Matrix?</t>
  </si>
  <si>
    <t>Include/Exclude</t>
  </si>
  <si>
    <t>Comments</t>
  </si>
  <si>
    <t>Include</t>
  </si>
  <si>
    <t>Correlation Matrix Positive Definiteness Check</t>
  </si>
  <si>
    <t>Positive Def. Check:</t>
  </si>
  <si>
    <t xml:space="preserve">-   Set the number of iterations (optional)</t>
  </si>
  <si>
    <t xml:space="preserve">-   Select correlated or uncorrelated analysis</t>
  </si>
  <si>
    <t xml:space="preserve">-   If "Exclude" is selected, that cost element will not be involved in the Monte Carlo simulation but will be added as </t>
  </si>
  <si>
    <t xml:space="preserve">    a constant to the total cost.</t>
  </si>
  <si>
    <t xml:space="preserve">-   Modify the min and max percentage values in the column C and G</t>
  </si>
  <si>
    <t xml:space="preserve">-   Select Include/Exclude option for each of the cost elements in column H</t>
  </si>
  <si>
    <t xml:space="preserve">-   Input comments in column I (optional)</t>
  </si>
  <si>
    <t>Matrix Definiteness</t>
  </si>
  <si>
    <t xml:space="preserve">- Edit coefficient values in the lower half of the matrix only. </t>
  </si>
  <si>
    <t xml:space="preserve">- The correlation matrix has to be positive definite, i.e. cell B8 should show 'Positive' </t>
  </si>
  <si>
    <t>Number of Iterations</t>
  </si>
  <si>
    <t>No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</si>
</sst>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76" formatCode="0.0%"/>
    <numFmt numFmtId="177" formatCode="0.00_);[Red]\(0.00\)"/>
  </numFmts>
  <fonts count="33">
    <font>
      <sz val="11"/>
      <color theme="1"/>
      <name val="等线"/>
      <family val="2"/>
      <scheme val="minor"/>
    </font>
    <font>
      <b/>
      <i/>
      <sz val="12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auto="1"/>
      <name val="Arial"/>
      <family val="2"/>
    </font>
    <font>
      <sz val="8"/>
      <color indexed="62"/>
      <name val="Arial"/>
      <family val="2"/>
    </font>
    <font>
      <sz val="10"/>
      <color indexed="62"/>
      <name val="Arial"/>
      <family val="2"/>
    </font>
    <font>
      <sz val="10"/>
      <color indexed="8"/>
      <name val="Arial"/>
      <family val="2"/>
    </font>
    <font>
      <sz val="8"/>
      <color auto="1"/>
      <name val="Arial"/>
      <family val="2"/>
    </font>
    <font>
      <b/>
      <sz val="10"/>
      <color auto="1"/>
      <name val="Arial"/>
      <family val="2"/>
    </font>
    <font>
      <sz val="11"/>
      <color theme="1"/>
      <name val="Arial"/>
      <family val="2"/>
    </font>
    <font>
      <sz val="9"/>
      <color auto="1"/>
      <name val="Arial"/>
      <family val="2"/>
    </font>
    <font>
      <b/>
      <sz val="8"/>
      <color auto="1"/>
      <name val="Arial"/>
      <family val="2"/>
    </font>
    <font>
      <b/>
      <sz val="9"/>
      <color auto="1"/>
      <name val="Arial"/>
      <family val="2"/>
    </font>
    <font>
      <sz val="10"/>
      <color theme="1"/>
      <name val="Arial"/>
      <family val="2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auto="1"/>
      <name val="等线"/>
      <family val="2"/>
      <scheme val="minor"/>
    </font>
    <font>
      <b/>
      <sz val="11"/>
      <color theme="3"/>
      <name val="等线"/>
      <family val="2"/>
      <scheme val="minor"/>
    </font>
    <font>
      <sz val="11"/>
      <color rgb="FF3F3F76"/>
      <name val="等线"/>
      <family val="2"/>
      <scheme val="minor"/>
    </font>
    <font>
      <sz val="10"/>
      <color auto="1"/>
      <name val="Arial"/>
      <family val="2"/>
    </font>
    <font>
      <b/>
      <sz val="10"/>
      <color indexed="8"/>
      <name val="Arial"/>
      <family val="2"/>
    </font>
    <font>
      <sz val="10"/>
      <color rgb="FF3F3F76"/>
      <name val="Arial"/>
      <family val="2"/>
    </font>
    <font>
      <b/>
      <sz val="10"/>
      <color theme="3"/>
      <name val="Arial"/>
      <family val="2"/>
    </font>
    <font>
      <b/>
      <sz val="15"/>
      <color theme="3"/>
      <name val="等线"/>
      <family val="2"/>
      <scheme val="minor"/>
    </font>
    <font>
      <sz val="9"/>
      <color auto="1"/>
      <name val="Tahoma"/>
      <family val="2"/>
    </font>
    <font>
      <b/>
      <sz val="10"/>
      <color theme="1"/>
      <name val="Arial"/>
      <family val="2"/>
    </font>
    <font>
      <b/>
      <sz val="11"/>
      <color theme="3"/>
      <name val="Arial"/>
      <family val="2"/>
    </font>
    <font>
      <sz val="9"/>
      <color auto="1"/>
      <name val="等线"/>
      <family val="3"/>
      <charset val="134"/>
      <scheme val="minor"/>
    </font>
    <font>
      <sz val="11"/>
      <color theme="1"/>
      <name val="Calibri"/>
      <family val="2"/>
    </font>
    <font>
      <b/>
      <sz val="12"/>
      <color theme="3"/>
      <name val="Arial"/>
      <family val="2"/>
    </font>
    <font>
      <sz val="12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99"/>
        <bgColor auto="1"/>
      </patternFill>
    </fill>
    <fill>
      <patternFill patternType="solid">
        <fgColor tint="-0.0499893185216834" theme="0"/>
        <bgColor auto="1"/>
      </patternFill>
    </fill>
    <fill>
      <patternFill patternType="solid">
        <fgColor tint="0.799890133365886" theme="9"/>
        <bgColor auto="1"/>
      </patternFill>
    </fill>
    <fill>
      <patternFill patternType="solid">
        <fgColor tint="0.399884029663991" theme="4"/>
        <bgColor auto="1"/>
      </patternFill>
    </fill>
    <fill>
      <patternFill patternType="solid">
        <fgColor theme="8"/>
      </patternFill>
    </fill>
    <fill>
      <patternFill patternType="solid">
        <fgColor tint="0.799890133365886" theme="8"/>
        <bgColor auto="1"/>
      </patternFill>
    </fill>
    <fill>
      <patternFill patternType="solid">
        <fgColor rgb="FFFFCC99"/>
      </patternFill>
    </fill>
    <fill>
      <patternFill patternType="solid">
        <fgColor theme="0"/>
        <bgColor auto="1"/>
      </patternFill>
    </fill>
    <fill>
      <patternFill patternType="solid">
        <fgColor rgb="FFFFFF00"/>
        <bgColor auto="1"/>
      </patternFill>
    </fill>
    <fill>
      <patternFill patternType="solid">
        <fgColor tint="-0.499984740745262" theme="0"/>
        <bgColor auto="1"/>
      </patternFill>
    </fill>
    <fill>
      <patternFill patternType="solid">
        <fgColor rgb="FFFFC000"/>
        <bgColor auto="1"/>
      </patternFill>
    </fill>
    <fill>
      <patternFill patternType="solid">
        <fgColor rgb="FF00B0F0"/>
        <bgColor auto="1"/>
      </patternFill>
    </fill>
    <fill>
      <patternFill patternType="solid">
        <fgColor indexed="43"/>
        <bgColor auto="1"/>
      </patternFill>
    </fill>
    <fill>
      <patternFill patternType="solid">
        <fgColor theme="0"/>
        <bgColor auto="1"/>
      </patternFill>
    </fill>
    <fill>
      <patternFill patternType="solid">
        <fgColor tint="0.399975585192419" theme="5"/>
        <bgColor auto="1"/>
      </patternFill>
    </fill>
  </fills>
  <borders count="53">
    <border>
      <left/>
      <right/>
      <top/>
      <bottom/>
      <diagonal/>
    </border>
    <border>
      <left/>
      <right/>
      <top style="thin">
        <color auto="1"/>
      </top>
      <bottom style="thin">
        <color indexed="8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/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13">
    <xf fontId="0" numFmtId="0" fillId="0" borderId="0"/>
    <xf applyFont="0" applyFill="0" applyBorder="0" applyAlignment="0" applyProtection="0" fontId="5" numFmtId="43" fillId="0" borderId="0"/>
    <xf applyFont="0" applyFill="0" applyBorder="0" applyAlignment="0" applyProtection="0" fontId="5" numFmtId="9" fillId="0" borderId="0"/>
    <xf fontId="8" numFmtId="0" fillId="0" borderId="0"/>
    <xf fontId="5" numFmtId="0" fillId="0" borderId="0"/>
    <xf applyNumberFormat="0" applyBorder="0" applyAlignment="0" applyProtection="0" fontId="16" numFmtId="0" fillId="5" borderId="0"/>
    <xf applyNumberFormat="0" applyBorder="0" applyAlignment="0" applyProtection="0" fontId="17" numFmtId="0" fillId="6" borderId="0"/>
    <xf applyNumberFormat="0" applyBorder="0" applyAlignment="0" applyProtection="0" fontId="16" numFmtId="0" fillId="7" borderId="0"/>
    <xf applyNumberFormat="0" applyFill="0" applyBorder="0" applyAlignment="0" applyProtection="0" fontId="19" numFmtId="0" fillId="0" borderId="0"/>
    <xf applyNumberFormat="0" applyAlignment="0" applyProtection="0" fontId="20" numFmtId="0" fillId="8" borderId="40"/>
    <xf fontId="16" numFmtId="0" fillId="0" borderId="0"/>
    <xf fontId="21" numFmtId="0" fillId="0" borderId="0"/>
    <xf applyNumberFormat="0" applyFill="0" applyAlignment="0" applyProtection="0" fontId="25" numFmtId="0" fillId="0" borderId="47"/>
  </cellStyleXfs>
  <cellXfs count="309">
    <xf fontId="0" numFmtId="0" fillId="0" borderId="0" xfId="0"/>
    <xf applyNumberFormat="1" applyFont="1" applyFill="1" applyBorder="1" applyAlignment="1" fontId="8" numFmtId="3" fillId="14" borderId="1" xfId="1">
      <alignment horizontal="center"/>
    </xf>
    <xf applyNumberFormat="1" applyFont="1" applyFill="1" applyBorder="1" applyAlignment="1" fontId="8" numFmtId="4" fillId="14" borderId="1" xfId="1">
      <alignment horizontal="center"/>
    </xf>
    <xf applyNumberFormat="1" applyFont="1" applyFill="1" applyBorder="1" applyAlignment="1" fontId="8" numFmtId="3" fillId="0" borderId="31" xfId="1"/>
    <xf applyNumberFormat="1" applyFont="1" applyFill="1" applyBorder="1" applyAlignment="1" applyProtection="1" fontId="5" numFmtId="176" fillId="0" borderId="0" xfId="2"/>
    <xf applyNumberFormat="1" applyFont="1" applyFill="1" applyBorder="1" applyAlignment="1" applyProtection="1" fontId="5" numFmtId="3" fillId="0" borderId="45" xfId="0"/>
    <xf applyNumberFormat="1" applyFont="1" applyBorder="1" applyAlignment="1" fontId="0" numFmtId="1" fillId="0" borderId="2" xfId="0"/>
    <xf applyNumberFormat="1" applyFont="1" applyFill="1" applyBorder="1" applyAlignment="1" applyProtection="1" fontId="11" numFmtId="3" fillId="0" borderId="0" xfId="0"/>
    <xf applyNumberFormat="1" applyFont="1" applyFill="1" applyBorder="1" applyAlignment="1" applyProtection="1" fontId="12" numFmtId="3" fillId="0" borderId="0" xfId="1">
      <alignment horizontal="right"/>
    </xf>
    <xf applyNumberFormat="1" applyFont="1" applyFill="1" applyBorder="1" applyAlignment="1" applyProtection="1" fontId="12" numFmtId="4" fillId="0" borderId="0" xfId="1"/>
    <xf applyNumberFormat="1" applyFont="1" applyFill="1" applyBorder="1" applyAlignment="1" applyProtection="1" fontId="13" numFmtId="176" fillId="0" borderId="0" xfId="2"/>
    <xf applyNumberFormat="1" applyFont="1" applyFill="1" applyBorder="1" applyAlignment="1" applyProtection="1" fontId="14" numFmtId="3" fillId="0" borderId="39" xfId="0"/>
    <xf applyNumberFormat="1" applyFont="1" applyFill="1" applyBorder="1" applyAlignment="1" fontId="8" numFmtId="1" fillId="14" borderId="3" xfId="3">
      <alignment horizontal="center"/>
    </xf>
    <xf applyNumberFormat="1" applyFont="1" applyFill="1" applyBorder="1" applyAlignment="1" fontId="8" numFmtId="3" fillId="14" borderId="9" xfId="3">
      <alignment horizontal="center"/>
    </xf>
    <xf applyNumberFormat="1" applyFont="1" applyFill="1" applyBorder="1" applyAlignment="1" applyProtection="1" fontId="5" numFmtId="176" fillId="0" borderId="44" xfId="2"/>
    <xf applyNumberFormat="1" applyFont="1" applyFill="1" applyBorder="1" applyAlignment="1" fontId="8" numFmtId="1" fillId="0" borderId="3" xfId="3">
      <alignment horizontal="center"/>
    </xf>
    <xf applyNumberFormat="1" applyFont="1" applyFill="1" applyBorder="1" applyAlignment="1" applyProtection="1" fontId="10" numFmtId="3" fillId="3" borderId="4" xfId="0">
      <alignment horizontal="right"/>
    </xf>
    <xf applyNumberFormat="1" applyFont="1" applyFill="1" applyBorder="1" applyAlignment="1" applyProtection="1" fontId="10" numFmtId="3" fillId="3" borderId="5" xfId="1"/>
    <xf applyNumberFormat="1" applyFont="1" applyFill="1" applyBorder="1" applyAlignment="1" applyProtection="1" fontId="10" numFmtId="4" fillId="3" borderId="6" xfId="1"/>
    <xf applyNumberFormat="1" applyFont="1" applyFill="1" applyBorder="1" applyAlignment="1" applyProtection="1" fontId="10" numFmtId="176" fillId="3" borderId="6" xfId="2"/>
    <xf applyNumberFormat="1" applyFont="1" applyFill="1" applyBorder="1" applyAlignment="1" applyProtection="1" fontId="10" numFmtId="3" fillId="3" borderId="7" xfId="0"/>
    <xf applyNumberFormat="1" applyFont="1" applyBorder="1" applyAlignment="1" fontId="15" numFmtId="1" fillId="0" borderId="2" xfId="0"/>
    <xf applyNumberFormat="1" applyFont="1" applyFill="1" applyBorder="1" applyAlignment="1" applyProtection="1" fontId="15" numFmtId="3" fillId="0" borderId="0" xfId="0"/>
    <xf applyNumberFormat="1" applyFont="1" applyFill="1" applyBorder="1" applyAlignment="1" applyProtection="1" fontId="5" numFmtId="3" fillId="0" borderId="39" xfId="0"/>
    <xf applyNumberFormat="1" applyFont="1" applyBorder="1" applyAlignment="1" fontId="15" numFmtId="3" fillId="0" borderId="0" xfId="0"/>
    <xf applyNumberFormat="1" applyFont="1" applyBorder="1" applyAlignment="1" fontId="5" numFmtId="3" fillId="0" borderId="0" xfId="1"/>
    <xf applyNumberFormat="1" applyFont="1" applyBorder="1" applyAlignment="1" fontId="5" numFmtId="4" fillId="0" borderId="0" xfId="1"/>
    <xf applyNumberFormat="1" applyFont="1" applyBorder="1" applyAlignment="1" fontId="15" numFmtId="3" fillId="0" borderId="0" xfId="1"/>
    <xf applyNumberFormat="1" applyFont="1" applyBorder="1" applyAlignment="1" fontId="0" numFmtId="3" fillId="0" borderId="0" xfId="1"/>
    <xf applyNumberFormat="1" applyFont="1" applyBorder="1" applyAlignment="1" fontId="10" numFmtId="176" fillId="0" borderId="0" xfId="2"/>
    <xf applyNumberFormat="1" applyFont="1" applyBorder="1" applyAlignment="1" fontId="10" numFmtId="3" fillId="0" borderId="39" xfId="0"/>
    <xf applyNumberFormat="1" applyFont="1" applyFill="1" applyBorder="1" applyAlignment="1" applyProtection="1" fontId="9" numFmtId="176" fillId="0" borderId="0" xfId="2"/>
    <xf applyNumberFormat="1" applyFont="1" applyFill="1" applyBorder="1" applyAlignment="1" applyProtection="1" fontId="12" numFmtId="3" fillId="0" borderId="39" xfId="0"/>
    <xf applyNumberFormat="1" applyFont="1" applyFill="1" applyBorder="1" applyAlignment="1" applyProtection="1" fontId="5" numFmtId="3" fillId="0" borderId="0" xfId="1"/>
    <xf applyNumberFormat="1" applyFont="1" applyFill="1" applyBorder="1" applyAlignment="1" applyProtection="1" fontId="5" numFmtId="4" fillId="0" borderId="0" xfId="1"/>
    <xf applyNumberFormat="1" applyFont="1" applyFill="1" applyBorder="1" applyAlignment="1" applyProtection="1" fontId="15" numFmtId="3" fillId="0" borderId="0" xfId="1"/>
    <xf applyNumberFormat="1" applyFont="1" applyFill="1" applyBorder="1" applyAlignment="1" fontId="8" numFmtId="1" fillId="14" borderId="8" xfId="3">
      <alignment horizontal="center"/>
    </xf>
    <xf applyNumberFormat="1" applyFont="1" applyFill="1" applyBorder="1" applyAlignment="1" fontId="8" numFmtId="3" fillId="14" borderId="9" xfId="3">
      <alignment horizontal="center"/>
    </xf>
    <xf applyNumberFormat="1" applyFont="1" applyFill="1" applyBorder="1" applyAlignment="1" fontId="8" numFmtId="3" fillId="14" borderId="9" xfId="1">
      <alignment horizontal="center"/>
    </xf>
    <xf applyNumberFormat="1" applyFont="1" applyFill="1" applyBorder="1" applyAlignment="1" fontId="8" numFmtId="4" fillId="14" borderId="9" xfId="1">
      <alignment horizontal="center"/>
    </xf>
    <xf applyNumberFormat="1" applyFont="1" applyBorder="1" fontId="10" numFmtId="3" fillId="0" borderId="11" xfId="4"/>
    <xf applyNumberFormat="1" applyFont="1" applyFill="1" applyBorder="1" applyAlignment="1" applyProtection="1" fontId="5" numFmtId="3" fillId="0" borderId="12" xfId="1"/>
    <xf applyNumberFormat="1" applyFont="1" applyFill="1" applyBorder="1" applyAlignment="1" applyProtection="1" fontId="5" numFmtId="176" fillId="0" borderId="13" xfId="2"/>
    <xf applyNumberFormat="1" applyFont="1" applyFill="1" applyBorder="1" applyAlignment="1" applyProtection="1" fontId="5" numFmtId="3" fillId="0" borderId="34" xfId="0"/>
    <xf applyNumberFormat="1" applyFont="1" applyFill="1" applyBorder="1" applyAlignment="1" fontId="8" numFmtId="1" fillId="0" borderId="14" xfId="3">
      <alignment horizontal="center"/>
    </xf>
    <xf applyNumberFormat="1" applyFont="1" applyFill="1" applyBorder="1" applyAlignment="1" applyProtection="1" fontId="5" numFmtId="176" fillId="0" borderId="11" xfId="2"/>
    <xf applyNumberFormat="1" applyFont="1" applyFill="1" applyBorder="1" applyAlignment="1" applyProtection="1" fontId="5" numFmtId="3" fillId="0" borderId="34" xfId="0"/>
    <xf applyNumberFormat="1" applyFont="1" applyBorder="1" fontId="10" numFmtId="3" fillId="0" borderId="16" xfId="4"/>
    <xf applyNumberFormat="1" applyFont="1" applyFill="1" applyBorder="1" applyAlignment="1" applyProtection="1" fontId="5" numFmtId="176" fillId="0" borderId="16" xfId="2"/>
    <xf applyNumberFormat="1" applyFont="1" applyFill="1" applyBorder="1" applyAlignment="1" applyProtection="1" fontId="10" numFmtId="3" fillId="0" borderId="16" xfId="0"/>
    <xf applyNumberFormat="1" applyFont="1" applyAlignment="1" fontId="10" numFmtId="176" fillId="0" borderId="0" xfId="2"/>
    <xf applyNumberFormat="1" applyFont="1" applyBorder="1" applyAlignment="1" fontId="10" numFmtId="3" fillId="0" borderId="34" xfId="0"/>
    <xf applyNumberFormat="1" applyFont="1" applyFill="1" applyBorder="1" applyAlignment="1" applyProtection="1" fontId="5" numFmtId="3" fillId="0" borderId="19" xfId="1"/>
    <xf applyNumberFormat="1" applyFont="1" applyFill="1" applyBorder="1" applyAlignment="1" applyProtection="1" fontId="5" numFmtId="176" fillId="0" borderId="20" xfId="2"/>
    <xf applyNumberFormat="1" applyFont="1" applyFill="1" applyBorder="1" applyAlignment="1" applyProtection="1" fontId="5" numFmtId="3" fillId="0" borderId="21" xfId="0"/>
    <xf applyNumberFormat="1" applyFont="1" applyFill="1" applyBorder="1" applyAlignment="1" applyProtection="1" fontId="5" numFmtId="3" fillId="0" borderId="24" xfId="1"/>
    <xf applyNumberFormat="1" applyFont="1" applyFill="1" applyBorder="1" applyAlignment="1" applyProtection="1" fontId="5" numFmtId="3" fillId="0" borderId="25" xfId="1"/>
    <xf applyNumberFormat="1" applyFont="1" applyBorder="1" applyAlignment="1" fontId="0" numFmtId="1" fillId="0" borderId="0" xfId="0"/>
    <xf applyNumberFormat="1" applyFont="1" applyFill="1" applyBorder="1" applyAlignment="1" applyProtection="1" fontId="10" numFmtId="3" fillId="0" borderId="49" xfId="0">
      <alignment horizontal="left"/>
    </xf>
    <xf applyNumberFormat="1" applyFont="1" applyFill="1" applyBorder="1" applyAlignment="1" applyProtection="1" fontId="12" numFmtId="3" fillId="0" borderId="49" xfId="1">
      <alignment horizontal="right"/>
    </xf>
    <xf applyNumberFormat="1" applyFont="1" applyFill="1" applyBorder="1" applyAlignment="1" applyProtection="1" fontId="12" numFmtId="4" fillId="0" borderId="49" xfId="1"/>
    <xf applyNumberFormat="1" applyFont="1" applyFill="1" applyBorder="1" applyAlignment="1" applyProtection="1" fontId="5" numFmtId="176" fillId="0" borderId="49" xfId="2"/>
    <xf applyNumberFormat="1" applyFont="1" applyFill="1" applyBorder="1" applyAlignment="1" applyProtection="1" fontId="5" numFmtId="3" fillId="0" borderId="50" xfId="0"/>
    <xf applyNumberFormat="1" applyFont="1" applyBorder="1" applyAlignment="1" fontId="0" numFmtId="1" fillId="0" borderId="42" xfId="0"/>
    <xf applyNumberFormat="1" applyFont="1" applyFill="1" applyBorder="1" applyAlignment="1" applyProtection="1" fontId="10" numFmtId="3" fillId="4" borderId="5" xfId="1"/>
    <xf applyNumberFormat="1" applyFont="1" applyFill="1" applyBorder="1" applyAlignment="1" applyProtection="1" fontId="10" numFmtId="4" fillId="4" borderId="9" xfId="1"/>
    <xf applyNumberFormat="1" applyFont="1" applyFill="1" applyBorder="1" applyAlignment="1" applyProtection="1" fontId="10" numFmtId="176" fillId="4" borderId="6" xfId="2"/>
    <xf applyNumberFormat="1" applyFont="1" applyFill="1" applyBorder="1" applyAlignment="1" applyProtection="1" fontId="10" numFmtId="3" fillId="4" borderId="7" xfId="0"/>
    <xf applyNumberFormat="1" applyFont="1" applyBorder="1" applyAlignment="1" fontId="15" numFmtId="1" fillId="0" borderId="9" xfId="0"/>
    <xf applyNumberFormat="1" applyFont="1" applyFill="1" applyBorder="1" applyAlignment="1" applyProtection="1" fontId="15" numFmtId="3" fillId="0" borderId="42" xfId="0"/>
    <xf applyNumberFormat="1" applyFont="1" applyFill="1" applyBorder="1" applyAlignment="1" applyProtection="1" fontId="5" numFmtId="3" fillId="0" borderId="42" xfId="1">
      <alignment horizontal="right"/>
    </xf>
    <xf applyNumberFormat="1" applyFont="1" applyFill="1" applyBorder="1" applyAlignment="1" applyProtection="1" fontId="5" numFmtId="4" fillId="0" borderId="42" xfId="1"/>
    <xf applyNumberFormat="1" applyFont="1" applyFill="1" applyBorder="1" applyAlignment="1" applyProtection="1" fontId="12" numFmtId="3" fillId="0" borderId="42" xfId="1">
      <alignment horizontal="right"/>
    </xf>
    <xf applyNumberFormat="1" applyFont="1" applyFill="1" applyBorder="1" applyAlignment="1" applyProtection="1" fontId="13" numFmtId="176" fillId="0" borderId="42" xfId="2"/>
    <xf applyNumberFormat="1" applyFont="1" applyFill="1" applyBorder="1" applyAlignment="1" applyProtection="1" fontId="14" numFmtId="3" fillId="0" borderId="46" xfId="0"/>
    <xf applyNumberFormat="1" applyFont="1" fontId="15" numFmtId="1" fillId="0" borderId="0" xfId="0"/>
    <xf applyFont="1" fontId="15" numFmtId="0" fillId="0" borderId="0" xfId="0"/>
    <xf applyNumberFormat="1" fontId="0" numFmtId="1" fillId="0" borderId="0" xfId="0"/>
    <xf applyNumberFormat="1" applyFont="1" applyFill="1" applyBorder="1" applyAlignment="1" applyProtection="1" fontId="10" numFmtId="3" fillId="0" borderId="28" xfId="0"/>
    <xf applyNumberFormat="1" applyFont="1" applyFill="1" applyBorder="1" applyAlignment="1" applyProtection="1" fontId="5" numFmtId="3" fillId="0" borderId="5" xfId="1"/>
    <xf applyNumberFormat="1" applyFont="1" applyFill="1" applyBorder="1" applyAlignment="1" applyProtection="1" fontId="5" numFmtId="4" fillId="0" borderId="6" xfId="1"/>
    <xf applyNumberFormat="1" applyFont="1" applyFill="1" applyBorder="1" applyAlignment="1" applyProtection="1" fontId="15" numFmtId="3" fillId="0" borderId="9" xfId="1"/>
    <xf applyNumberFormat="1" applyFont="1" applyFill="1" applyBorder="1" applyAlignment="1" applyProtection="1" fontId="15" numFmtId="3" fillId="0" borderId="4" xfId="1"/>
    <xf applyNumberFormat="1" applyFont="1" applyFill="1" applyBorder="1" applyAlignment="1" applyProtection="1" fontId="9" numFmtId="176" fillId="0" borderId="6" xfId="2"/>
    <xf applyNumberFormat="1" applyFont="1" applyFill="1" applyBorder="1" applyAlignment="1" applyProtection="1" fontId="12" numFmtId="3" fillId="0" borderId="7" xfId="0"/>
    <xf applyNumberFormat="1" applyFont="1" applyFill="1" applyBorder="1" applyAlignment="1" applyProtection="1" fontId="5" numFmtId="3" fillId="0" borderId="15" xfId="0"/>
    <xf applyNumberFormat="1" applyFont="1" applyFill="1" applyBorder="1" applyAlignment="1" applyProtection="1" fontId="5" numFmtId="4" fillId="0" borderId="29" xfId="1"/>
    <xf applyNumberFormat="1" applyFont="1" applyFill="1" applyBorder="1" applyAlignment="1" applyProtection="1" fontId="15" numFmtId="3" fillId="0" borderId="11" xfId="1"/>
    <xf applyNumberFormat="1" applyFont="1" applyFill="1" applyBorder="1" applyAlignment="1" applyProtection="1" fontId="15" numFmtId="3" fillId="0" borderId="44" xfId="1"/>
    <xf applyNumberFormat="1" applyFont="1" applyFill="1" applyBorder="1" applyAlignment="1" applyProtection="1" fontId="5" numFmtId="176" fillId="0" borderId="29" xfId="2"/>
    <xf applyNumberFormat="1" applyFont="1" applyFill="1" applyBorder="1" applyAlignment="1" applyProtection="1" fontId="5" numFmtId="3" fillId="0" borderId="30" xfId="0"/>
    <xf applyNumberFormat="1" applyFont="1" applyFill="1" applyBorder="1" applyAlignment="1" applyProtection="1" fontId="5" numFmtId="3" fillId="0" borderId="17" xfId="0"/>
    <xf applyNumberFormat="1" applyFont="1" applyFill="1" applyBorder="1" applyAlignment="1" applyProtection="1" fontId="5" numFmtId="3" fillId="0" borderId="31" xfId="1"/>
    <xf applyFont="1" applyFill="1" applyBorder="1" applyAlignment="1" applyProtection="1" fontId="5" numFmtId="9" fillId="0" borderId="32" xfId="2"/>
    <xf applyNumberFormat="1" applyFont="1" applyFill="1" applyBorder="1" applyAlignment="1" applyProtection="1" fontId="15" numFmtId="3" fillId="0" borderId="16" xfId="1"/>
    <xf applyNumberFormat="1" applyFont="1" applyFill="1" applyBorder="1" applyAlignment="1" applyProtection="1" fontId="15" numFmtId="3" fillId="0" borderId="33" xfId="1"/>
    <xf applyNumberFormat="1" applyFont="1" applyFill="1" applyBorder="1" applyAlignment="1" applyProtection="1" fontId="5" numFmtId="176" fillId="0" borderId="32" xfId="2"/>
    <xf applyNumberFormat="1" applyFont="1" applyFill="1" applyBorder="1" applyAlignment="1" applyProtection="1" fontId="5" numFmtId="3" fillId="0" borderId="34" xfId="0"/>
    <xf applyNumberFormat="1" applyFont="1" applyFill="1" applyBorder="1" applyAlignment="1" applyProtection="1" fontId="5" numFmtId="3" fillId="0" borderId="35" xfId="0"/>
    <xf applyNumberFormat="1" applyFont="1" applyFill="1" applyBorder="1" applyAlignment="1" fontId="8" numFmtId="3" fillId="0" borderId="36" xfId="1"/>
    <xf applyFont="1" applyFill="1" applyBorder="1" applyAlignment="1" fontId="8" numFmtId="9" fillId="0" borderId="36" xfId="2"/>
    <xf applyNumberFormat="1" applyFont="1" applyFill="1" applyBorder="1" applyAlignment="1" applyProtection="1" fontId="5" numFmtId="3" fillId="0" borderId="36" xfId="1"/>
    <xf applyNumberFormat="1" applyFont="1" applyFill="1" applyBorder="1" applyAlignment="1" applyProtection="1" fontId="5" numFmtId="176" fillId="0" borderId="37" xfId="2"/>
    <xf applyNumberFormat="1" applyFont="1" applyFill="1" applyBorder="1" applyAlignment="1" applyProtection="1" fontId="5" numFmtId="3" fillId="0" borderId="38" xfId="0"/>
    <xf applyNumberFormat="1" applyFont="1" applyFill="1" applyBorder="1" applyAlignment="1" applyProtection="1" fontId="5" numFmtId="176" fillId="0" borderId="0" xfId="2">
      <alignment horizontal="right"/>
    </xf>
    <xf fontId="17" numFmtId="0" fillId="6" borderId="0" xfId="6"/>
    <xf fontId="16" numFmtId="0" fillId="5" borderId="0" xfId="5"/>
    <xf fontId="16" numFmtId="0" fillId="7" borderId="0" xfId="7"/>
    <xf applyNumberFormat="1" applyFont="1" applyFill="1" applyBorder="1" applyAlignment="1" applyProtection="1" fontId="10" numFmtId="3" fillId="3" borderId="5" xfId="1">
      <alignment horizontal="right"/>
    </xf>
    <xf applyNumberFormat="1" applyFont="1" applyFill="1" applyBorder="1" applyAlignment="1" applyProtection="1" fontId="10" numFmtId="176" fillId="3" borderId="7" xfId="2"/>
    <xf applyNumberFormat="1" applyFont="1" applyFill="1" applyBorder="1" applyAlignment="1" fontId="15" numFmtId="1" fillId="3" borderId="3" xfId="0"/>
    <xf applyNumberFormat="1" applyFont="1" applyFill="1" applyBorder="1" applyAlignment="1" fontId="8" numFmtId="1" fillId="3" borderId="3" xfId="3">
      <alignment horizontal="center"/>
    </xf>
    <xf applyNumberFormat="1" applyFont="1" applyFill="1" applyBorder="1" applyAlignment="1" fontId="8" numFmtId="1" fillId="0" borderId="14" xfId="3">
      <alignment horizontal="center"/>
    </xf>
    <xf applyNumberFormat="1" applyFont="1" applyFill="1" applyBorder="1" applyAlignment="1" fontId="8" numFmtId="3" fillId="0" borderId="0" xfId="1">
      <alignment horizontal="right"/>
    </xf>
    <xf applyNumberFormat="1" applyFont="1" applyFill="1" applyBorder="1" applyAlignment="1" fontId="8" numFmtId="3" fillId="0" borderId="0" xfId="1"/>
    <xf applyNumberFormat="1" applyFill="1" applyBorder="1" applyAlignment="1" fontId="0" numFmtId="1" fillId="3" borderId="3" xfId="0"/>
    <xf applyNumberFormat="1" applyFont="1" applyFill="1" applyBorder="1" applyAlignment="1" applyProtection="1" fontId="5" numFmtId="3" fillId="0" borderId="39" xfId="0"/>
    <xf applyNumberFormat="1" applyFont="1" applyFill="1" applyBorder="1" applyAlignment="1" applyProtection="1" fontId="5" numFmtId="3" fillId="0" borderId="46" xfId="0"/>
    <xf applyNumberFormat="1" applyFont="1" applyFill="1" applyBorder="1" applyAlignment="1" fontId="8" numFmtId="3" fillId="2" borderId="9" xfId="1">
      <alignment horizontal="center"/>
    </xf>
    <xf applyNumberFormat="1" applyFont="1" applyFill="1" applyBorder="1" applyAlignment="1" fontId="8" numFmtId="3" fillId="0" borderId="48" xfId="3">
      <alignment horizontal="center"/>
    </xf>
    <xf applyNumberFormat="1" applyFont="1" applyFill="1" applyBorder="1" applyAlignment="1" fontId="8" numFmtId="3" fillId="0" borderId="52" xfId="3">
      <alignment horizontal="center"/>
    </xf>
    <xf applyNumberFormat="1" applyFont="1" applyFill="1" applyBorder="1" applyAlignment="1" fontId="8" numFmtId="3" fillId="0" borderId="43" xfId="3">
      <alignment horizontal="center"/>
    </xf>
    <xf applyNumberFormat="1" applyFont="1" applyFill="1" applyBorder="1" applyAlignment="1" fontId="8" numFmtId="3" fillId="0" borderId="14" xfId="3">
      <alignment horizontal="center"/>
    </xf>
    <xf applyNumberFormat="1" applyFont="1" applyFill="1" applyBorder="1" applyAlignment="1" fontId="8" numFmtId="3" fillId="0" borderId="14" xfId="3">
      <alignment horizontal="center"/>
    </xf>
    <xf applyNumberFormat="1" applyFont="1" applyFill="1" applyBorder="1" applyAlignment="1" applyProtection="1" fontId="15" numFmtId="3" fillId="0" borderId="18" xfId="0"/>
    <xf applyNumberFormat="1" applyFont="1" applyFill="1" applyBorder="1" applyAlignment="1" fontId="8" numFmtId="3" fillId="0" borderId="52" xfId="3">
      <alignment horizontal="center"/>
    </xf>
    <xf applyNumberFormat="1" applyFont="1" applyFill="1" applyBorder="1" applyAlignment="1" fontId="8" numFmtId="49" fillId="0" borderId="0" xfId="3"/>
    <xf applyNumberFormat="1" applyFont="1" applyFill="1" applyBorder="1" applyAlignment="1" fontId="8" numFmtId="49" fillId="0" borderId="0" xfId="3">
      <alignment horizontal="left"/>
    </xf>
    <xf applyNumberFormat="1" applyFont="1" applyFill="1" applyBorder="1" applyAlignment="1" fontId="8" numFmtId="49" fillId="0" borderId="33" xfId="3">
      <alignment horizontal="left"/>
    </xf>
    <xf applyNumberFormat="1" applyFont="1" applyBorder="1" fontId="5" numFmtId="49" fillId="0" borderId="11" xfId="4"/>
    <xf applyNumberFormat="1" applyFont="1" applyBorder="1" fontId="5" numFmtId="49" fillId="0" borderId="16" xfId="4"/>
    <xf applyNumberFormat="1" applyFont="1" applyFill="1" applyBorder="1" applyAlignment="1" applyProtection="1" fontId="15" numFmtId="49" fillId="0" borderId="23" xfId="0"/>
    <xf applyNumberFormat="1" applyFont="1" applyFill="1" applyBorder="1" applyAlignment="1" fontId="8" numFmtId="3" fillId="14" borderId="3" xfId="3">
      <alignment horizontal="center"/>
    </xf>
    <xf applyNumberFormat="1" applyFont="1" applyAlignment="1" fontId="18" numFmtId="3" fillId="0" borderId="0" xfId="0">
      <alignment horizontal="right"/>
    </xf>
    <xf fontId="16" numFmtId="0" fillId="0" borderId="0" xfId="10"/>
    <xf applyNumberFormat="1" applyFont="1" applyFill="1" applyBorder="1" applyAlignment="1" fontId="3" numFmtId="1" fillId="15" borderId="2" xfId="10">
      <alignment horizontal="right"/>
    </xf>
    <xf applyNumberFormat="1" applyFont="1" applyFill="1" applyBorder="1" applyAlignment="1" fontId="4" numFmtId="3" fillId="15" borderId="0" xfId="10">
      <alignment horizontal="left"/>
    </xf>
    <xf applyNumberFormat="1" applyFont="1" applyFill="1" applyBorder="1" applyAlignment="1" fontId="6" numFmtId="3" fillId="15" borderId="0" xfId="1">
      <alignment horizontal="left"/>
    </xf>
    <xf applyNumberFormat="1" applyFont="1" applyFill="1" applyBorder="1" applyAlignment="1" fontId="4" numFmtId="4" fillId="15" borderId="39" xfId="1"/>
    <xf applyNumberFormat="1" applyFont="1" applyFill="1" applyBorder="1" applyAlignment="1" fontId="3" numFmtId="1" fillId="15" borderId="2" xfId="1">
      <alignment horizontal="right"/>
    </xf>
    <xf applyNumberFormat="1" applyFont="1" applyFill="1" applyBorder="1" applyAlignment="1" fontId="4" numFmtId="3" fillId="15" borderId="0" xfId="1">
      <alignment horizontal="left"/>
    </xf>
    <xf applyNumberFormat="1" applyFont="1" applyFill="1" applyBorder="1" applyAlignment="1" fontId="3" numFmtId="3" fillId="15" borderId="0" xfId="10">
      <alignment horizontal="right"/>
    </xf>
    <xf applyBorder="1" fontId="20" numFmtId="0" fillId="8" borderId="0" xfId="9"/>
    <xf applyFill="1" applyBorder="1" fontId="16" numFmtId="0" fillId="15" borderId="0" xfId="10"/>
    <xf applyFill="1" applyBorder="1" fontId="16" numFmtId="0" fillId="15" borderId="39" xfId="10"/>
    <xf applyNumberFormat="1" applyFont="1" applyFill="1" applyBorder="1" applyAlignment="1" fontId="3" numFmtId="3" fillId="15" borderId="0" xfId="1">
      <alignment horizontal="right"/>
    </xf>
    <xf applyBorder="1" fontId="20" numFmtId="0" fillId="8" borderId="42" xfId="9"/>
    <xf applyBorder="1" fontId="20" numFmtId="0" fillId="8" borderId="46" xfId="9"/>
    <xf applyNumberFormat="1" applyFont="1" applyFill="1" applyBorder="1" applyAlignment="1" fontId="8" numFmtId="3" fillId="0" borderId="0" xfId="3">
      <alignment horizontal="left"/>
    </xf>
    <xf applyNumberFormat="1" fontId="16" numFmtId="1" fillId="0" borderId="0" xfId="10"/>
    <xf applyAlignment="1" fontId="0" numFmtId="0" fillId="0" borderId="0" xfId="0">
      <alignment horizontal="left"/>
    </xf>
    <xf applyNumberFormat="1" applyFont="1" applyFill="1" applyBorder="1" applyAlignment="1" fontId="8" numFmtId="3" fillId="14" borderId="48" xfId="3">
      <alignment horizontal="center"/>
    </xf>
    <xf applyNumberFormat="1" applyBorder="1" fontId="16" numFmtId="1" fillId="0" borderId="49" xfId="10"/>
    <xf applyNumberFormat="1" applyFont="1" applyFill="1" applyBorder="1" applyAlignment="1" fontId="3" numFmtId="1" fillId="15" borderId="49" xfId="0">
      <alignment horizontal="right"/>
    </xf>
    <xf applyNumberFormat="1" applyFont="1" applyFill="1" applyBorder="1" applyAlignment="1" fontId="4" numFmtId="3" fillId="15" borderId="49" xfId="0">
      <alignment horizontal="left"/>
    </xf>
    <xf applyNumberFormat="1" applyFont="1" applyFill="1" applyBorder="1" applyAlignment="1" fontId="6" numFmtId="3" fillId="15" borderId="49" xfId="1">
      <alignment horizontal="left"/>
    </xf>
    <xf applyNumberFormat="1" applyFont="1" applyFill="1" applyBorder="1" applyAlignment="1" fontId="4" numFmtId="4" fillId="15" borderId="49" xfId="1"/>
    <xf applyNumberFormat="1" applyFont="1" applyFill="1" applyBorder="1" applyAlignment="1" fontId="7" numFmtId="3" fillId="15" borderId="49" xfId="1"/>
    <xf applyNumberFormat="1" applyFont="1" applyFill="1" applyBorder="1" applyAlignment="1" fontId="6" numFmtId="176" fillId="15" borderId="49" xfId="2"/>
    <xf applyNumberFormat="1" applyFont="1" applyFill="1" applyBorder="1" applyAlignment="1" fontId="4" numFmtId="3" fillId="15" borderId="50" xfId="0"/>
    <xf applyNumberFormat="1" applyFont="1" applyFill="1" applyBorder="1" applyAlignment="1" fontId="3" numFmtId="1" fillId="15" borderId="0" xfId="1">
      <alignment horizontal="right"/>
    </xf>
    <xf applyNumberFormat="1" applyFont="1" applyFill="1" applyBorder="1" applyAlignment="1" fontId="4" numFmtId="4" fillId="15" borderId="0" xfId="1"/>
    <xf applyNumberFormat="1" applyFont="1" applyFill="1" applyBorder="1" applyAlignment="1" fontId="3" numFmtId="3" fillId="15" borderId="0" xfId="0">
      <alignment horizontal="right"/>
    </xf>
    <xf applyNumberFormat="1" applyFont="1" applyFill="1" applyBorder="1" applyAlignment="1" fontId="6" numFmtId="176" fillId="15" borderId="0" xfId="2"/>
    <xf applyNumberFormat="1" applyFont="1" applyFill="1" applyBorder="1" applyAlignment="1" fontId="4" numFmtId="3" fillId="15" borderId="39" xfId="0"/>
    <xf applyNumberFormat="1" applyFont="1" applyFill="1" applyBorder="1" applyAlignment="1" fontId="3" numFmtId="1" fillId="15" borderId="0" xfId="0">
      <alignment horizontal="right"/>
    </xf>
    <xf applyNumberFormat="1" applyFont="1" applyFill="1" applyBorder="1" applyAlignment="1" fontId="4" numFmtId="3" fillId="15" borderId="0" xfId="0">
      <alignment horizontal="left"/>
    </xf>
    <xf applyNumberFormat="1" applyFont="1" applyFill="1" applyBorder="1" applyAlignment="1" fontId="6" numFmtId="3" fillId="15" borderId="42" xfId="1">
      <alignment horizontal="left"/>
    </xf>
    <xf applyNumberFormat="1" applyFont="1" applyFill="1" applyBorder="1" applyAlignment="1" fontId="4" numFmtId="3" fillId="15" borderId="46" xfId="0"/>
    <xf fontId="21" numFmtId="0" fillId="0" borderId="0" xfId="11"/>
    <xf applyFill="1" applyBorder="1" fontId="21" numFmtId="0" fillId="15" borderId="42" xfId="11"/>
    <xf applyFill="1" applyBorder="1" fontId="16" numFmtId="0" fillId="15" borderId="42" xfId="10"/>
    <xf applyNumberFormat="1" applyFont="1" applyFill="1" applyBorder="1" applyAlignment="1" fontId="4" numFmtId="3" fillId="15" borderId="42" xfId="1">
      <alignment horizontal="left"/>
    </xf>
    <xf applyNumberFormat="1" applyFont="1" applyFill="1" applyBorder="1" applyAlignment="1" fontId="3" numFmtId="3" fillId="15" borderId="42" xfId="1">
      <alignment horizontal="right"/>
    </xf>
    <xf applyNumberFormat="1" applyFont="1" applyFill="1" applyBorder="1" applyAlignment="1" fontId="4" numFmtId="3" fillId="15" borderId="42" xfId="10">
      <alignment horizontal="left"/>
    </xf>
    <xf applyFill="1" applyBorder="1" fontId="21" numFmtId="0" fillId="15" borderId="39" xfId="11"/>
    <xf applyFill="1" applyBorder="1" fontId="21" numFmtId="0" fillId="15" borderId="0" xfId="11"/>
    <xf applyFill="1" applyBorder="1" fontId="19" numFmtId="0" fillId="15" borderId="0" xfId="8"/>
    <xf applyNumberFormat="1" applyFont="1" applyBorder="1" fontId="23" numFmtId="10" fillId="8" borderId="0" xfId="9"/>
    <xf applyNumberFormat="1" applyFont="1" applyBorder="1" fontId="15" numFmtId="3" fillId="0" borderId="0" xfId="10"/>
    <xf applyFont="1" applyBorder="1" fontId="23" numFmtId="0" fillId="8" borderId="2" xfId="9" quotePrefix="1"/>
    <xf applyFont="1" applyFill="1" applyBorder="1" fontId="15" numFmtId="0" fillId="15" borderId="2" xfId="10" quotePrefix="1"/>
    <xf applyNumberFormat="1" applyFont="1" applyFill="1" applyBorder="1" applyAlignment="1" fontId="22" numFmtId="49" fillId="0" borderId="0" xfId="3"/>
    <xf applyNumberFormat="1" applyFont="1" applyFill="1" applyBorder="1" applyAlignment="1" fontId="8" numFmtId="3" fillId="0" borderId="43" xfId="3">
      <alignment horizontal="center"/>
    </xf>
    <xf applyNumberFormat="1" applyFont="1" applyFill="1" applyBorder="1" applyAlignment="1" applyProtection="1" fontId="5" numFmtId="176" fillId="0" borderId="44" xfId="2"/>
    <xf applyNumberFormat="1" applyFont="1" applyFill="1" applyBorder="1" applyAlignment="1" applyProtection="1" fontId="5" numFmtId="3" fillId="0" borderId="45" xfId="0"/>
    <xf applyBorder="1" fontId="16" numFmtId="0" fillId="0" borderId="46" xfId="10"/>
    <xf applyFont="1" applyFill="1" applyBorder="1" fontId="28" numFmtId="0" fillId="10" borderId="2" xfId="8" quotePrefix="1"/>
    <xf applyFill="1" applyBorder="1" fontId="19" numFmtId="0" fillId="10" borderId="0" xfId="8" quotePrefix="1"/>
    <xf applyFill="1" applyBorder="1" fontId="19" numFmtId="0" fillId="10" borderId="0" xfId="8"/>
    <xf applyFill="1" applyBorder="1" fontId="21" numFmtId="0" fillId="10" borderId="0" xfId="11"/>
    <xf applyFill="1" applyBorder="1" fontId="21" numFmtId="0" fillId="10" borderId="39" xfId="11"/>
    <xf applyFill="1" applyBorder="1" fontId="21" numFmtId="0" fillId="10" borderId="42" xfId="11"/>
    <xf applyFill="1" applyBorder="1" fontId="21" numFmtId="0" fillId="10" borderId="46" xfId="11"/>
    <xf applyFill="1" applyBorder="1" fontId="21" numFmtId="0" fillId="15" borderId="46" xfId="11"/>
    <xf applyNumberFormat="1" applyFont="1" applyFill="1" applyBorder="1" applyAlignment="1" fontId="3" numFmtId="3" fillId="15" borderId="2" xfId="1">
      <alignment horizontal="right"/>
    </xf>
    <xf applyNumberFormat="1" applyFill="1" applyBorder="1" fontId="21" numFmtId="2" fillId="10" borderId="0" xfId="11"/>
    <xf applyNumberFormat="1" applyFont="1" applyAlignment="1" fontId="18" numFmtId="4" fillId="0" borderId="0" xfId="0">
      <alignment horizontal="right"/>
    </xf>
    <xf applyNumberFormat="1" applyFont="1" applyBorder="1" fontId="15" numFmtId="4" fillId="0" borderId="0" xfId="10"/>
    <xf applyBorder="1" fontId="16" numFmtId="0" fillId="0" borderId="49" xfId="10"/>
    <xf applyBorder="1" fontId="16" numFmtId="0" fillId="0" borderId="42" xfId="10"/>
    <xf applyNumberFormat="1" applyFont="1" applyFill="1" applyBorder="1" applyAlignment="1" fontId="8" numFmtId="3" fillId="14" borderId="49" xfId="3">
      <alignment horizontal="center"/>
    </xf>
    <xf applyNumberFormat="1" applyFont="1" applyFill="1" applyBorder="1" applyAlignment="1" fontId="8" numFmtId="3" fillId="14" borderId="50" xfId="3">
      <alignment horizontal="center"/>
    </xf>
    <xf applyNumberFormat="1" applyFont="1" applyFill="1" applyBorder="1" fontId="23" numFmtId="0" fillId="0" borderId="0" xfId="9"/>
    <xf applyNumberFormat="1" applyBorder="1" fontId="16" numFmtId="0" fillId="0" borderId="39" xfId="10"/>
    <xf applyNumberFormat="1" applyFont="1" applyBorder="1" fontId="0" numFmtId="1" fillId="0" borderId="52" xfId="10"/>
    <xf applyNumberFormat="1" applyBorder="1" fontId="16" numFmtId="10" fillId="0" borderId="42" xfId="10"/>
    <xf applyFill="1" applyBorder="1" fontId="0" numFmtId="0" fillId="15" borderId="49" xfId="0"/>
    <xf applyFill="1" applyBorder="1" fontId="0" numFmtId="0" fillId="15" borderId="50" xfId="0"/>
    <xf applyFill="1" applyBorder="1" fontId="21" numFmtId="0" fillId="15" borderId="2" xfId="11"/>
    <xf applyFill="1" applyBorder="1" fontId="0" numFmtId="0" fillId="15" borderId="39" xfId="0"/>
    <xf applyNumberFormat="1" applyFont="1" applyFill="1" applyBorder="1" applyAlignment="1" fontId="3" numFmtId="1" fillId="15" borderId="2" xfId="10">
      <alignment horizontal="right"/>
    </xf>
    <xf applyNumberFormat="1" applyFont="1" applyFill="1" applyBorder="1" applyAlignment="1" fontId="3" numFmtId="1" fillId="15" borderId="2" xfId="1">
      <alignment horizontal="right"/>
    </xf>
    <xf applyNumberFormat="1" applyFont="1" applyFill="1" applyBorder="1" applyAlignment="1" fontId="3" numFmtId="3" fillId="15" borderId="2" xfId="1">
      <alignment horizontal="right"/>
    </xf>
    <xf applyNumberFormat="1" applyFont="1" applyFill="1" applyBorder="1" applyAlignment="1" fontId="4" numFmtId="3" fillId="15" borderId="42" xfId="10">
      <alignment horizontal="left"/>
    </xf>
    <xf applyNumberFormat="1" applyFont="1" applyFill="1" applyBorder="1" applyAlignment="1" fontId="3" numFmtId="3" fillId="15" borderId="42" xfId="1">
      <alignment horizontal="right"/>
    </xf>
    <xf applyNumberFormat="1" applyFont="1" applyFill="1" applyBorder="1" applyAlignment="1" fontId="4" numFmtId="3" fillId="15" borderId="42" xfId="1">
      <alignment horizontal="left"/>
    </xf>
    <xf applyFill="1" applyBorder="1" fontId="16" numFmtId="0" fillId="15" borderId="42" xfId="10"/>
    <xf applyFill="1" applyBorder="1" fontId="21" numFmtId="0" fillId="15" borderId="42" xfId="11"/>
    <xf applyFill="1" applyBorder="1" fontId="0" numFmtId="0" fillId="15" borderId="42" xfId="0"/>
    <xf applyFill="1" applyBorder="1" fontId="0" numFmtId="0" fillId="15" borderId="46" xfId="0"/>
    <xf applyNumberFormat="1" applyFont="1" applyBorder="1" fontId="15" numFmtId="177" fillId="0" borderId="51" xfId="0"/>
    <xf applyFont="1" fontId="5" numFmtId="0" fillId="0" borderId="0" xfId="11"/>
    <xf applyFill="1" applyBorder="1" fontId="21" numFmtId="0" fillId="15" borderId="0" xfId="11"/>
    <xf applyFill="1" applyBorder="1" fontId="0" numFmtId="0" fillId="15" borderId="0" xfId="0"/>
    <xf applyNumberFormat="1" applyFont="1" applyFill="1" applyBorder="1" applyAlignment="1" fontId="4" numFmtId="3" fillId="15" borderId="0" xfId="10">
      <alignment horizontal="left"/>
    </xf>
    <xf applyNumberFormat="1" applyFont="1" applyFill="1" applyBorder="1" applyAlignment="1" fontId="6" numFmtId="3" fillId="15" borderId="0" xfId="1">
      <alignment horizontal="left"/>
    </xf>
    <xf applyNumberFormat="1" applyFont="1" applyFill="1" applyBorder="1" fontId="4" numFmtId="4" fillId="15" borderId="0" xfId="1"/>
    <xf applyFont="1" applyFill="1" applyBorder="1" fontId="5" numFmtId="0" fillId="15" borderId="0" xfId="11"/>
    <xf applyNumberFormat="1" applyFont="1" applyFill="1" applyBorder="1" applyAlignment="1" fontId="4" numFmtId="3" fillId="15" borderId="0" xfId="1">
      <alignment horizontal="left"/>
    </xf>
    <xf applyNumberFormat="1" applyFont="1" applyFill="1" applyBorder="1" applyAlignment="1" fontId="3" numFmtId="3" fillId="15" borderId="0" xfId="10">
      <alignment horizontal="right"/>
    </xf>
    <xf applyFill="1" applyBorder="1" fontId="16" numFmtId="0" fillId="15" borderId="0" xfId="10"/>
    <xf applyNumberFormat="1" applyFont="1" applyFill="1" applyBorder="1" applyAlignment="1" fontId="3" numFmtId="3" fillId="15" borderId="0" xfId="1">
      <alignment horizontal="right"/>
    </xf>
    <xf applyFont="1" applyFill="1" applyBorder="1" fontId="24" numFmtId="0" fillId="15" borderId="48" xfId="8"/>
    <xf applyFill="1" applyBorder="1" fontId="19" numFmtId="0" fillId="15" borderId="49" xfId="8"/>
    <xf applyFill="1" applyBorder="1" fontId="16" numFmtId="0" fillId="15" borderId="49" xfId="10"/>
    <xf applyFill="1" applyBorder="1" fontId="16" numFmtId="0" fillId="15" borderId="50" xfId="10"/>
    <xf applyBorder="1" fontId="20" numFmtId="0" fillId="8" borderId="39" xfId="9"/>
    <xf applyFont="1" applyFill="1" applyBorder="1" fontId="15" numFmtId="0" fillId="15" borderId="2" xfId="10" quotePrefix="1"/>
    <xf applyFill="1" applyBorder="1" fontId="16" numFmtId="0" fillId="15" borderId="39" xfId="10"/>
    <xf applyNumberFormat="1" applyFont="1" applyFill="1" applyBorder="1" fontId="15" numFmtId="177" fillId="15" borderId="51" xfId="0"/>
    <xf applyNumberFormat="1" applyFont="1" applyBorder="1" fontId="15" numFmtId="11" fillId="0" borderId="51" xfId="11"/>
    <xf applyNumberFormat="1" applyFont="1" applyFill="1" applyBorder="1" applyAlignment="1" fontId="3" numFmtId="3" fillId="15" borderId="52" xfId="1">
      <alignment horizontal="right"/>
    </xf>
    <xf applyNumberFormat="1" applyFont="1" applyFill="1" applyBorder="1" applyAlignment="1" fontId="22" numFmtId="3" fillId="14" borderId="51" xfId="3">
      <alignment horizontal="center"/>
    </xf>
    <xf applyFill="1" applyBorder="1" fontId="21" numFmtId="0" fillId="13" borderId="51" xfId="11"/>
    <xf applyFill="1" applyBorder="1" fontId="21" numFmtId="0" fillId="12" borderId="51" xfId="11"/>
    <xf applyFill="1" applyBorder="1" fontId="21" numFmtId="0" fillId="10" borderId="51" xfId="11"/>
    <xf applyFill="1" applyBorder="1" fontId="21" numFmtId="0" fillId="4" borderId="51" xfId="11"/>
    <xf applyFill="1" applyBorder="1" applyAlignment="1" fontId="21" numFmtId="0" fillId="13" borderId="51" xfId="11">
      <alignment wrapText="1"/>
    </xf>
    <xf applyFill="1" applyBorder="1" applyAlignment="1" fontId="21" numFmtId="0" fillId="12" borderId="51" xfId="11">
      <alignment wrapText="1"/>
    </xf>
    <xf applyFill="1" applyBorder="1" applyAlignment="1" fontId="21" numFmtId="0" fillId="10" borderId="51" xfId="11">
      <alignment wrapText="1"/>
    </xf>
    <xf applyFill="1" applyBorder="1" applyAlignment="1" fontId="21" numFmtId="0" fillId="4" borderId="51" xfId="11">
      <alignment wrapText="1"/>
    </xf>
    <xf applyNumberFormat="1" applyFont="1" applyFill="1" applyBorder="1" applyAlignment="1" fontId="8" numFmtId="3" fillId="13" borderId="51" xfId="3">
      <alignment horizontal="left"/>
    </xf>
    <xf applyNumberFormat="1" applyFont="1" applyFill="1" applyBorder="1" applyAlignment="1" fontId="8" numFmtId="3" fillId="12" borderId="51" xfId="3">
      <alignment horizontal="left"/>
    </xf>
    <xf applyNumberFormat="1" applyFont="1" applyFill="1" applyBorder="1" applyAlignment="1" fontId="8" numFmtId="3" fillId="10" borderId="51" xfId="3">
      <alignment horizontal="left"/>
    </xf>
    <xf applyNumberFormat="1" applyFont="1" applyFill="1" applyBorder="1" applyAlignment="1" fontId="8" numFmtId="3" fillId="4" borderId="51" xfId="3">
      <alignment horizontal="left"/>
    </xf>
    <xf applyFont="1" applyFill="1" applyBorder="1" fontId="28" numFmtId="0" fillId="10" borderId="48" xfId="8" quotePrefix="1"/>
    <xf applyFill="1" applyBorder="1" fontId="21" numFmtId="0" fillId="10" borderId="49" xfId="11"/>
    <xf applyFill="1" applyBorder="1" fontId="21" numFmtId="0" fillId="10" borderId="50" xfId="11"/>
    <xf applyFont="1" applyFill="1" applyBorder="1" fontId="28" numFmtId="0" fillId="10" borderId="52" xfId="8" quotePrefix="1"/>
    <xf applyNumberFormat="1" applyFont="1" applyFill="1" applyBorder="1" applyAlignment="1" fontId="3" numFmtId="3" fillId="15" borderId="52" xfId="1">
      <alignment horizontal="right"/>
    </xf>
    <xf applyNumberFormat="1" applyFont="1" applyFill="1" applyBorder="1" fontId="10" numFmtId="2" fillId="11" borderId="51" xfId="11"/>
    <xf applyNumberFormat="1" applyFill="1" applyBorder="1" fontId="21" numFmtId="2" fillId="11" borderId="51" xfId="11"/>
    <xf applyNumberFormat="1" applyBorder="1" fontId="21" numFmtId="2" fillId="0" borderId="51" xfId="11"/>
    <xf applyNumberFormat="1" applyFont="1" applyFill="1" applyBorder="1" applyAlignment="1" fontId="3" numFmtId="1" fillId="15" borderId="48" xfId="10">
      <alignment horizontal="right"/>
    </xf>
    <xf applyNumberFormat="1" applyFont="1" applyFill="1" applyBorder="1" applyAlignment="1" fontId="4" numFmtId="3" fillId="15" borderId="49" xfId="10">
      <alignment horizontal="left"/>
    </xf>
    <xf applyNumberFormat="1" applyFont="1" applyFill="1" applyBorder="1" applyAlignment="1" fontId="6" numFmtId="3" fillId="15" borderId="49" xfId="1">
      <alignment horizontal="left"/>
    </xf>
    <xf applyNumberFormat="1" applyFont="1" applyFill="1" applyBorder="1" applyAlignment="1" fontId="4" numFmtId="4" fillId="15" borderId="50" xfId="1"/>
    <xf applyFill="1" applyBorder="1" fontId="16" numFmtId="0" fillId="15" borderId="46" xfId="10"/>
    <xf applyNumberFormat="1" applyFont="1" applyFill="1" applyBorder="1" applyAlignment="1" fontId="3" numFmtId="3" fillId="0" borderId="2" xfId="1">
      <alignment horizontal="right"/>
    </xf>
    <xf applyNumberFormat="1" applyFont="1" applyFill="1" applyBorder="1" applyAlignment="1" fontId="4" numFmtId="3" fillId="0" borderId="0" xfId="10">
      <alignment horizontal="left"/>
    </xf>
    <xf applyNumberFormat="1" applyFont="1" applyFill="1" applyBorder="1" applyAlignment="1" fontId="3" numFmtId="3" fillId="0" borderId="0" xfId="1">
      <alignment horizontal="right"/>
    </xf>
    <xf applyNumberFormat="1" applyFont="1" applyFill="1" applyBorder="1" applyAlignment="1" fontId="4" numFmtId="3" fillId="0" borderId="0" xfId="1">
      <alignment horizontal="left"/>
    </xf>
    <xf applyFill="1" applyBorder="1" fontId="16" numFmtId="0" fillId="0" borderId="0" xfId="10"/>
    <xf applyFill="1" fontId="25" numFmtId="0" fillId="0" borderId="47" xfId="12"/>
    <xf applyFill="1" fontId="16" numFmtId="0" fillId="0" borderId="0" xfId="10"/>
    <xf applyFill="1" fontId="20" numFmtId="0" fillId="16" borderId="40" xfId="9"/>
    <xf applyBorder="1" fontId="16" numFmtId="0" fillId="0" borderId="0" xfId="10"/>
    <xf applyFont="1" applyBorder="1" fontId="23" numFmtId="0" fillId="8" borderId="52" xfId="9" quotePrefix="1"/>
    <xf applyNumberFormat="1" applyFont="1" applyFill="1" fontId="31" numFmtId="1" fillId="0" borderId="47" xfId="12"/>
    <xf applyNumberFormat="1" applyFont="1" applyFill="1" fontId="32" numFmtId="1" fillId="0" borderId="0" xfId="10"/>
    <xf applyNumberFormat="1" applyFont="1" applyFill="1" applyBorder="1" applyAlignment="1" applyProtection="1" fontId="5" numFmtId="3" fillId="14" borderId="4" xfId="0">
      <alignment horizontal="center"/>
    </xf>
    <xf applyNumberFormat="1" applyFont="1" applyFill="1" applyBorder="1" applyAlignment="1" applyProtection="1" fontId="5" numFmtId="3" fillId="14" borderId="10" xfId="0">
      <alignment horizontal="center"/>
    </xf>
    <xf applyNumberFormat="1" applyFont="1" applyFill="1" applyBorder="1" applyAlignment="1" applyProtection="1" fontId="10" numFmtId="3" fillId="4" borderId="48" xfId="0">
      <alignment horizontal="right"/>
    </xf>
    <xf applyNumberFormat="1" applyFont="1" applyFill="1" applyBorder="1" applyAlignment="1" applyProtection="1" fontId="10" numFmtId="3" fillId="4" borderId="4" xfId="0">
      <alignment horizontal="right"/>
    </xf>
    <xf applyNumberFormat="1" applyFont="1" applyFill="1" applyBorder="1" applyAlignment="1" fontId="1" numFmtId="3" fillId="15" borderId="48" xfId="0">
      <alignment horizontal="center"/>
    </xf>
    <xf applyFill="1" applyBorder="1" applyAlignment="1" fontId="0" numFmtId="0" fillId="15" borderId="49" xfId="0">
      <alignment horizontal="center"/>
    </xf>
    <xf applyFill="1" applyBorder="1" applyAlignment="1" fontId="0" numFmtId="0" fillId="15" borderId="50" xfId="0">
      <alignment horizontal="center"/>
    </xf>
    <xf applyNumberFormat="1" applyFont="1" applyFill="1" applyBorder="1" applyAlignment="1" fontId="2" numFmtId="3" fillId="15" borderId="52" xfId="0">
      <alignment horizontal="center"/>
    </xf>
    <xf applyFill="1" applyBorder="1" applyAlignment="1" fontId="0" numFmtId="0" fillId="15" borderId="42" xfId="0">
      <alignment horizontal="center"/>
    </xf>
    <xf applyFill="1" applyBorder="1" applyAlignment="1" fontId="0" numFmtId="0" fillId="15" borderId="46" xfId="0">
      <alignment horizontal="center"/>
    </xf>
    <xf applyNumberFormat="1" applyFont="1" applyFill="1" applyBorder="1" applyAlignment="1" fontId="1" numFmtId="3" fillId="15" borderId="48" xfId="10">
      <alignment horizontal="center"/>
    </xf>
    <xf applyFill="1" applyBorder="1" applyAlignment="1" fontId="21" numFmtId="0" fillId="15" borderId="49" xfId="11">
      <alignment horizontal="center"/>
    </xf>
    <xf applyFill="1" applyBorder="1" applyAlignment="1" fontId="21" numFmtId="0" fillId="15" borderId="50" xfId="11">
      <alignment horizontal="center"/>
    </xf>
    <xf applyNumberFormat="1" applyFont="1" applyFill="1" applyBorder="1" applyAlignment="1" fontId="2" numFmtId="3" fillId="15" borderId="52" xfId="10">
      <alignment horizontal="center"/>
    </xf>
    <xf applyFill="1" applyBorder="1" applyAlignment="1" fontId="21" numFmtId="0" fillId="15" borderId="42" xfId="11">
      <alignment horizontal="center"/>
    </xf>
    <xf applyFill="1" applyBorder="1" applyAlignment="1" fontId="21" numFmtId="0" fillId="15" borderId="46" xfId="11">
      <alignment horizontal="center"/>
    </xf>
    <xf applyFill="1" applyBorder="1" applyAlignment="1" fontId="21" numFmtId="0" fillId="15" borderId="49" xfId="11"/>
    <xf applyBorder="1" applyAlignment="1" fontId="0" numFmtId="0" fillId="0" borderId="49" xfId="0"/>
    <xf applyBorder="1" applyAlignment="1" fontId="0" numFmtId="0" fillId="0" borderId="50" xfId="0"/>
    <xf applyNumberFormat="1" applyFont="1" applyFill="1" applyBorder="1" applyAlignment="1" fontId="2" numFmtId="3" fillId="15" borderId="2" xfId="10">
      <alignment horizontal="center"/>
    </xf>
    <xf applyFill="1" applyBorder="1" applyAlignment="1" fontId="21" numFmtId="0" fillId="15" borderId="0" xfId="11">
      <alignment horizontal="center"/>
    </xf>
    <xf applyFill="1" applyBorder="1" applyAlignment="1" fontId="21" numFmtId="0" fillId="15" borderId="0" xfId="11"/>
    <xf applyBorder="1" applyAlignment="1" fontId="0" numFmtId="0" fillId="0" borderId="0" xfId="0"/>
    <xf applyBorder="1" applyAlignment="1" fontId="0" numFmtId="0" fillId="0" borderId="39" xfId="0"/>
    <xf applyNumberFormat="1" applyFont="1" applyFill="1" applyBorder="1" applyAlignment="1" fontId="1" numFmtId="3" fillId="15" borderId="48" xfId="10">
      <alignment horizontal="center"/>
    </xf>
    <xf applyNumberFormat="1" applyFont="1" applyFill="1" applyBorder="1" applyAlignment="1" fontId="1" numFmtId="3" fillId="15" borderId="49" xfId="10">
      <alignment horizontal="center"/>
    </xf>
    <xf applyFont="1" applyBorder="1" applyAlignment="1" fontId="30" numFmtId="0" fillId="0" borderId="51" xfId="0">
      <alignment horizontal="center" wrapText="1"/>
    </xf>
    <xf applyNumberFormat="1" applyFont="1" applyFill="1" applyBorder="1" applyAlignment="1" fontId="2" numFmtId="3" fillId="15" borderId="0" xfId="10">
      <alignment horizontal="center"/>
    </xf>
  </cellXfs>
  <cellStyles count="13">
    <cellStyle name="20% - Accent5" xfId="7" builtinId="46"/>
    <cellStyle name="60% - Accent1" xfId="5" builtinId="32"/>
    <cellStyle name="Accent5" xfId="6" builtinId="45"/>
    <cellStyle name="Comma 2" xfId="1"/>
    <cellStyle name="Heading 1" xfId="12" builtinId="16"/>
    <cellStyle name="Heading 4" xfId="8" builtinId="19"/>
    <cellStyle name="Input" xfId="9" builtinId="20"/>
    <cellStyle name="Normal" xfId="0" builtinId="0"/>
    <cellStyle name="Normal 2" xfId="4"/>
    <cellStyle name="Normal 2 3" xfId="10"/>
    <cellStyle name="Normal 3" xfId="11"/>
    <cellStyle name="Normal_KbProject Proj Cost Sumry" xfId="3"/>
    <cellStyle name="Percent 2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6" Type="http://schemas.openxmlformats.org/officeDocument/2006/relationships/sharedStrings" Target="sharedStrings.xml" /><Relationship Id="flId8" Type="http://schemas.openxmlformats.org/officeDocument/2006/relationships/theme" Target="theme/theme1.xml" /><Relationship Id="flId7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Relationship Id="flId3" Type="http://schemas.openxmlformats.org/officeDocument/2006/relationships/worksheet" Target="worksheets/sheet3.xml" /><Relationship Id="flId4" Type="http://schemas.openxmlformats.org/officeDocument/2006/relationships/worksheet" Target="worksheets/sheet4.xml" /><Relationship Id="flId5" Type="http://schemas.openxmlformats.org/officeDocument/2006/relationships/worksheet" Target="worksheets/sheet5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2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3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_rels/drawing4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28575</xdr:colOff>
      <xdr:row>0</xdr:row>
      <xdr:rowOff>28575</xdr:rowOff>
    </xdr:from>
    <xdr:to>
      <xdr:col>0</xdr:col>
      <xdr:colOff>666750</xdr:colOff>
      <xdr:row>1</xdr:row>
      <xdr:rowOff>200025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2CC9B80A-4D75-4C1C-B357-58A1300392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28575</xdr:colOff>
      <xdr:row>0</xdr:row>
      <xdr:rowOff>28575</xdr:rowOff>
    </xdr:from>
    <xdr:to>
      <xdr:col>0</xdr:col>
      <xdr:colOff>666750</xdr:colOff>
      <xdr:row>1</xdr:row>
      <xdr:rowOff>200025</xdr:rowOff>
    </xdr:to>
    <xdr:pic>
      <xdr:nvPicPr>
        <xdr:cNvPr id="2058" name="&lt;#Logo&gt;">
          <a:extLst>
            <a:ext xmlns:a="http://schemas.openxmlformats.org/drawingml/2006/main" uri="{FF2B5EF4-FFF2-40B4-BE49-F238E27FC236}">
              <a16:creationId xmlns:a16="http://schemas.microsoft.com/office/drawing/2014/main" id="{CF2B483A-EEB9-415C-87F4-8EFC753248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28575</xdr:colOff>
      <xdr:row>0</xdr:row>
      <xdr:rowOff>28575</xdr:rowOff>
    </xdr:from>
    <xdr:to>
      <xdr:col>0</xdr:col>
      <xdr:colOff>666750</xdr:colOff>
      <xdr:row>1</xdr:row>
      <xdr:rowOff>304800</xdr:rowOff>
    </xdr:to>
    <xdr:pic>
      <xdr:nvPicPr>
        <xdr:cNvPr id="3073" name="&lt;#Logo&gt;">
          <a:extLst>
            <a:ext xmlns:a="http://schemas.openxmlformats.org/drawingml/2006/main" uri="{FF2B5EF4-FFF2-40B4-BE49-F238E27FC236}">
              <a16:creationId xmlns:a16="http://schemas.microsoft.com/office/drawing/2014/main" id="{F7D7BB4C-7D8A-4B55-A352-2F39DB7E14A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638175</xdr:colOff>
      <xdr:row>1</xdr:row>
      <xdr:rowOff>276225</xdr:rowOff>
    </xdr:to>
    <xdr:pic>
      <xdr:nvPicPr>
        <xdr:cNvPr id="4097" name="&lt;#Logo&gt;">
          <a:extLst>
            <a:ext xmlns:a="http://schemas.openxmlformats.org/drawingml/2006/main" uri="{FF2B5EF4-FFF2-40B4-BE49-F238E27FC236}">
              <a16:creationId xmlns:a16="http://schemas.microsoft.com/office/drawing/2014/main" id="{C77E737E-A690-4D0F-8D36-7D6337030A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Relationship Id="flId2" Type="http://schemas.openxmlformats.org/officeDocument/2006/relationships/drawing" Target="../drawings/drawing2.xml" /><Relationship Id="flId3" Type="http://schemas.openxmlformats.org/officeDocument/2006/relationships/vmlDrawing" Target="../drawings/vmlDrawing1.vml" /><Relationship Id="flId4" Type="http://schemas.openxmlformats.org/officeDocument/2006/relationships/comments" Target="../comments2.xml" /></Relationships>
</file>

<file path=xl/worksheets/_rels/sheet3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3.bin" /><Relationship Id="flId2" Type="http://schemas.openxmlformats.org/officeDocument/2006/relationships/drawing" Target="../drawings/drawing3.xml" /></Relationships>
</file>

<file path=xl/worksheets/_rels/sheet4.xml.rels>&#65279;<?xml version="1.0" encoding="utf-8" standalone="yes"?><Relationships xmlns="http://schemas.openxmlformats.org/package/2006/relationships"><Relationship Id="flId1" Type="http://schemas.openxmlformats.org/officeDocument/2006/relationships/drawing" Target="../drawings/drawing4.xml" /></Relationships>
</file>

<file path=xl/worksheets/_rels/sheet5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5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1"/>
  <dimension ref="A1:I52"/>
  <sheetViews>
    <sheetView tabSelected="1" topLeftCell="A1" workbookViewId="0">
      <selection activeCell="A1" sqref="A1:I1"/>
    </sheetView>
  </sheetViews>
  <sheetFormatPr defaultColWidth="9" defaultRowHeight="12.75" customHeight="1"/>
  <cols>
    <col min="1" max="1" width="14.625" style="77" customWidth="1"/>
    <col min="2" max="2" width="34.75" customWidth="1"/>
    <col min="3" max="3" width="17.75" customWidth="1"/>
    <col min="4" max="4" width="19.375" customWidth="1"/>
    <col min="5" max="7" width="17.75" customWidth="1"/>
    <col min="9" max="9" width="7.875" customWidth="1"/>
  </cols>
  <sheetData>
    <row r="1" ht="37.5" customHeight="1">
      <c r="A1" s="285" t="s">
        <v>54</v>
      </c>
      <c r="B1" s="286"/>
      <c r="C1" s="286"/>
      <c r="D1" s="286"/>
      <c r="E1" s="286"/>
      <c r="F1" s="286"/>
      <c r="G1" s="286"/>
      <c r="H1" s="286"/>
      <c r="I1" s="287"/>
    </row>
    <row r="2" ht="21" customHeight="1">
      <c r="A2" s="288" t="s">
        <v>55</v>
      </c>
      <c r="B2" s="289"/>
      <c r="C2" s="289"/>
      <c r="D2" s="289"/>
      <c r="E2" s="289"/>
      <c r="F2" s="289"/>
      <c r="G2" s="289"/>
      <c r="H2" s="289"/>
      <c r="I2" s="290"/>
    </row>
    <row r="3" ht="14.25">
      <c r="A3" s="153" t="s">
        <v>0</v>
      </c>
      <c r="B3" s="154" t="s">
        <v>140</v>
      </c>
      <c r="C3" s="155"/>
      <c r="D3" s="156"/>
      <c r="E3" s="157"/>
      <c r="F3" s="156"/>
      <c r="G3" s="156"/>
      <c r="H3" s="158"/>
      <c r="I3" s="159"/>
    </row>
    <row r="4" ht="14.25">
      <c r="A4" s="160" t="s">
        <v>1</v>
      </c>
      <c r="B4" s="140" t="s">
        <v>141</v>
      </c>
      <c r="C4" s="137"/>
      <c r="D4" s="162" t="s">
        <v>2</v>
      </c>
      <c r="E4" s="140" t="s">
        <v>144</v>
      </c>
      <c r="G4" s="137"/>
      <c r="H4" s="163"/>
      <c r="I4" s="164"/>
    </row>
    <row r="5" ht="14.25">
      <c r="A5" s="165" t="s">
        <v>3</v>
      </c>
      <c r="B5" s="166" t="s">
        <v>142</v>
      </c>
      <c r="C5" s="137"/>
      <c r="D5" s="145" t="s">
        <v>4</v>
      </c>
      <c r="E5" s="140" t="s">
        <v>145</v>
      </c>
      <c r="F5" s="137"/>
      <c r="G5" s="145" t="s">
        <v>5</v>
      </c>
      <c r="H5" s="140" t="s">
        <v>147</v>
      </c>
      <c r="I5" s="164"/>
    </row>
    <row r="6" ht="14.25">
      <c r="A6" s="165" t="s">
        <v>6</v>
      </c>
      <c r="B6" s="166" t="s">
        <v>143</v>
      </c>
      <c r="C6" s="137"/>
      <c r="D6" s="145" t="s">
        <v>7</v>
      </c>
      <c r="E6" s="166" t="s">
        <v>146</v>
      </c>
      <c r="F6" s="167"/>
      <c r="G6" s="145" t="s">
        <v>8</v>
      </c>
      <c r="H6" s="166" t="s">
        <v>148</v>
      </c>
      <c r="I6" s="168"/>
    </row>
    <row r="7" ht="14.25">
      <c r="A7" s="132" t="s">
        <v>9</v>
      </c>
      <c r="B7" s="37" t="s">
        <v>10</v>
      </c>
      <c r="C7" s="38" t="s">
        <v>11</v>
      </c>
      <c r="D7" s="38" t="s">
        <v>12</v>
      </c>
      <c r="E7" s="118" t="s">
        <v>13</v>
      </c>
      <c r="F7" s="38" t="s">
        <v>14</v>
      </c>
      <c r="G7" s="38" t="s">
        <v>15</v>
      </c>
      <c r="H7" s="281" t="s">
        <v>16</v>
      </c>
      <c r="I7" s="282"/>
    </row>
    <row r="8" ht="14.25">
      <c r="A8" s="119" t="s">
        <v>194</v>
      </c>
      <c r="B8" s="126"/>
      <c r="C8" s="113"/>
      <c r="D8" s="113"/>
      <c r="E8" s="113"/>
      <c r="F8" s="113"/>
      <c r="G8" s="113"/>
      <c r="H8" s="104">
        <f>IFERROR($G8/$G$10, 0)</f>
        <v>0</v>
      </c>
      <c r="I8" s="116" t="str">
        <f>"of TDC"</f>
        <v>of TDC</v>
      </c>
    </row>
    <row r="9" ht="14.25">
      <c r="A9" s="120"/>
      <c r="B9" s="127"/>
      <c r="C9" s="114"/>
      <c r="D9" s="114"/>
      <c r="E9" s="114"/>
      <c r="F9" s="114"/>
      <c r="G9" s="114"/>
      <c r="H9" s="4"/>
      <c r="I9" s="117"/>
    </row>
    <row r="10" ht="14.25">
      <c r="A10" s="115"/>
      <c r="B10" s="16" t="s">
        <v>18</v>
      </c>
      <c r="C10" s="17">
        <f>SUM(C8:C9)</f>
        <v>0</v>
      </c>
      <c r="D10" s="18"/>
      <c r="E10" s="17">
        <f>SUM(E8:E9)</f>
        <v>0</v>
      </c>
      <c r="F10" s="17">
        <f>SUM(F8:F9)</f>
        <v>0</v>
      </c>
      <c r="G10" s="108">
        <f>SUM(G8:G9)</f>
        <v>0</v>
      </c>
      <c r="H10" s="19">
        <f>IFERROR(($E$10+$F$10)/$G$10, 0)</f>
        <v>0</v>
      </c>
      <c r="I10" s="109" t="s">
        <v>17</v>
      </c>
    </row>
    <row r="11" ht="14.25">
      <c r="A11" s="6"/>
      <c r="B11" s="7"/>
      <c r="C11" s="8" t="s">
        <v>19</v>
      </c>
      <c r="D11" s="9"/>
      <c r="E11" s="8" t="s">
        <v>20</v>
      </c>
      <c r="F11" s="8" t="s">
        <v>21</v>
      </c>
      <c r="G11" s="8" t="s">
        <v>22</v>
      </c>
      <c r="H11" s="10"/>
      <c r="I11" s="11"/>
    </row>
    <row r="12" ht="14.25">
      <c r="A12" s="12" t="s">
        <v>23</v>
      </c>
      <c r="B12" s="13" t="s">
        <v>24</v>
      </c>
      <c r="C12" s="1" t="s">
        <v>11</v>
      </c>
      <c r="D12" s="2" t="s">
        <v>25</v>
      </c>
      <c r="E12" s="1"/>
      <c r="F12" s="1"/>
      <c r="G12" s="1" t="s">
        <v>26</v>
      </c>
      <c r="H12" s="281" t="s">
        <v>16</v>
      </c>
      <c r="I12" s="282"/>
    </row>
    <row r="13" ht="14.25">
      <c r="A13" s="121" t="s">
        <v>107</v>
      </c>
      <c r="B13" s="182" t="s">
        <v>105</v>
      </c>
      <c r="C13" s="113"/>
      <c r="D13" s="113"/>
      <c r="E13" s="113"/>
      <c r="F13" s="113"/>
      <c r="G13" s="113"/>
      <c r="H13" s="14"/>
      <c r="I13" s="5"/>
    </row>
    <row r="14" ht="14.25">
      <c r="A14" s="121" t="s">
        <v>187</v>
      </c>
      <c r="B14" s="127" t="s">
        <v>109</v>
      </c>
      <c r="C14" s="113" t="s">
        <v>163</v>
      </c>
      <c r="D14" s="113" t="e">
        <f>IF(C14&gt;0,G14/C14,"")</f>
        <v>#VALUE!</v>
      </c>
      <c r="E14" s="113"/>
      <c r="F14" s="113"/>
      <c r="G14" s="113" t="s">
        <v>110</v>
      </c>
      <c r="H14" s="14">
        <f>IFERROR($G14/$G$19, 0)</f>
        <v>0</v>
      </c>
      <c r="I14" s="5" t="str">
        <f>"of IFC"</f>
        <v>of IFC</v>
      </c>
    </row>
    <row r="15" ht="14.25">
      <c r="A15" s="183"/>
      <c r="B15" s="126"/>
      <c r="C15" s="113"/>
      <c r="D15" s="113"/>
      <c r="E15" s="113"/>
      <c r="F15" s="113"/>
      <c r="G15" s="113"/>
      <c r="H15" s="184"/>
      <c r="I15" s="185"/>
    </row>
    <row r="16" ht="14.25">
      <c r="A16" s="183" t="s">
        <v>108</v>
      </c>
      <c r="B16" s="182" t="s">
        <v>106</v>
      </c>
      <c r="C16" s="113"/>
      <c r="D16" s="113"/>
      <c r="E16" s="113"/>
      <c r="F16" s="113"/>
      <c r="G16" s="113"/>
      <c r="H16" s="184"/>
      <c r="I16" s="185"/>
    </row>
    <row r="17" ht="14.25">
      <c r="A17" s="183" t="s">
        <v>188</v>
      </c>
      <c r="B17" s="127" t="s">
        <v>111</v>
      </c>
      <c r="C17" s="113" t="s">
        <v>164</v>
      </c>
      <c r="D17" s="113" t="e">
        <f>IF(C17&gt;0,G17/C17,"")</f>
        <v>#VALUE!</v>
      </c>
      <c r="E17" s="113"/>
      <c r="F17" s="113"/>
      <c r="G17" s="113" t="s">
        <v>112</v>
      </c>
      <c r="H17" s="14">
        <f>IFERROR($G17/$G$19, 0)</f>
        <v>0</v>
      </c>
      <c r="I17" s="5" t="str">
        <f>"of IFC"</f>
        <v>of IFC</v>
      </c>
    </row>
    <row r="18" ht="14.25">
      <c r="A18" s="122"/>
      <c r="B18" s="128"/>
      <c r="C18" s="3"/>
      <c r="D18" s="3"/>
      <c r="E18" s="3"/>
      <c r="F18" s="3"/>
      <c r="G18" s="3"/>
      <c r="H18" s="14"/>
      <c r="I18" s="5"/>
    </row>
    <row r="19" ht="14.25">
      <c r="A19" s="15"/>
      <c r="B19" s="16" t="s">
        <v>27</v>
      </c>
      <c r="C19" s="17">
        <f>SUM(C13:C18)</f>
        <v>0</v>
      </c>
      <c r="D19" s="18"/>
      <c r="E19" s="17"/>
      <c r="F19" s="17"/>
      <c r="G19" s="17">
        <f>SUM(G13:G18)</f>
        <v>0</v>
      </c>
      <c r="H19" s="19">
        <f>IFERROR($G$19/$E$10,0)</f>
        <v>0</v>
      </c>
      <c r="I19" s="20" t="s">
        <v>28</v>
      </c>
    </row>
    <row r="20" ht="14.25">
      <c r="A20" s="21"/>
      <c r="B20" s="22"/>
      <c r="C20" s="8" t="s">
        <v>29</v>
      </c>
      <c r="D20" s="9"/>
      <c r="E20" s="8"/>
      <c r="F20" s="8"/>
      <c r="G20" s="8" t="s">
        <v>30</v>
      </c>
      <c r="H20" s="4"/>
      <c r="I20" s="23"/>
    </row>
    <row r="21" ht="14.25">
      <c r="A21" s="21"/>
      <c r="B21" s="24"/>
      <c r="C21" s="25"/>
      <c r="D21" s="26"/>
      <c r="E21" s="25"/>
      <c r="F21" s="27"/>
      <c r="G21" s="28"/>
      <c r="H21" s="29"/>
      <c r="I21" s="30"/>
    </row>
    <row r="22" ht="14.25">
      <c r="A22" s="110"/>
      <c r="B22" s="16" t="s">
        <v>31</v>
      </c>
      <c r="C22" s="17">
        <f>C19+C10</f>
        <v>0</v>
      </c>
      <c r="D22" s="17"/>
      <c r="E22" s="17">
        <f>E10</f>
        <v>0</v>
      </c>
      <c r="F22" s="17">
        <f>F10</f>
        <v>0</v>
      </c>
      <c r="G22" s="17">
        <f>G19+G10</f>
        <v>0</v>
      </c>
      <c r="H22" s="19">
        <f>IFERROR($G$22/$G$44,0)</f>
        <v>0</v>
      </c>
      <c r="I22" s="20" t="s">
        <v>32</v>
      </c>
    </row>
    <row r="23" ht="14.25">
      <c r="A23" s="21"/>
      <c r="B23" s="22"/>
      <c r="C23" s="8" t="s">
        <v>33</v>
      </c>
      <c r="D23" s="9"/>
      <c r="E23" s="8" t="s">
        <v>34</v>
      </c>
      <c r="F23" s="8" t="s">
        <v>35</v>
      </c>
      <c r="G23" s="8" t="s">
        <v>36</v>
      </c>
      <c r="H23" s="31"/>
      <c r="I23" s="32"/>
    </row>
    <row r="24" ht="14.25">
      <c r="A24" s="21"/>
      <c r="B24" s="22"/>
      <c r="C24" s="33"/>
      <c r="D24" s="34"/>
      <c r="E24" s="33"/>
      <c r="F24" s="35"/>
      <c r="G24" s="35"/>
      <c r="H24" s="31"/>
      <c r="I24" s="32"/>
    </row>
    <row r="25" ht="14.25">
      <c r="A25" s="36" t="s">
        <v>23</v>
      </c>
      <c r="B25" s="37" t="s">
        <v>24</v>
      </c>
      <c r="C25" s="38" t="s">
        <v>11</v>
      </c>
      <c r="D25" s="39" t="s">
        <v>25</v>
      </c>
      <c r="E25" s="38"/>
      <c r="F25" s="38"/>
      <c r="G25" s="38" t="s">
        <v>26</v>
      </c>
      <c r="H25" s="281" t="s">
        <v>16</v>
      </c>
      <c r="I25" s="282"/>
    </row>
    <row r="26" ht="14.25">
      <c r="A26" s="112" t="s">
        <v>157</v>
      </c>
      <c r="B26" s="40" t="s">
        <v>37</v>
      </c>
      <c r="C26" s="41"/>
      <c r="D26" s="41"/>
      <c r="E26" s="41"/>
      <c r="F26" s="41"/>
      <c r="G26" s="41"/>
      <c r="H26" s="42"/>
      <c r="I26" s="43"/>
    </row>
    <row r="27" ht="14.25">
      <c r="A27" s="123" t="s">
        <v>189</v>
      </c>
      <c r="B27" s="126" t="s">
        <v>158</v>
      </c>
      <c r="C27" s="113" t="s">
        <v>159</v>
      </c>
      <c r="D27" s="113" t="e">
        <f>IF(C27&gt;0,G27/C27,"")</f>
        <v>#VALUE!</v>
      </c>
      <c r="E27" s="113"/>
      <c r="F27" s="113"/>
      <c r="G27" s="113" t="s">
        <v>160</v>
      </c>
      <c r="H27" s="45">
        <f>IFERROR($G27/$F$10, 0)</f>
        <v>0</v>
      </c>
      <c r="I27" s="46" t="str">
        <f>"of TDM"</f>
        <v>of TDM</v>
      </c>
    </row>
    <row r="28" ht="14.25">
      <c r="A28" s="123"/>
      <c r="B28" s="129"/>
      <c r="C28" s="33"/>
      <c r="D28" s="33"/>
      <c r="E28" s="33"/>
      <c r="F28" s="33"/>
      <c r="G28" s="33"/>
      <c r="H28" s="45"/>
      <c r="I28" s="46"/>
    </row>
    <row r="29" ht="14.25">
      <c r="A29" s="44" t="s">
        <v>165</v>
      </c>
      <c r="B29" s="47" t="s">
        <v>38</v>
      </c>
      <c r="C29" s="33"/>
      <c r="D29" s="33"/>
      <c r="E29" s="33"/>
      <c r="F29" s="33"/>
      <c r="G29" s="33"/>
      <c r="H29" s="48"/>
      <c r="I29" s="46"/>
    </row>
    <row r="30" ht="14.25">
      <c r="A30" s="123" t="s">
        <v>190</v>
      </c>
      <c r="B30" s="126" t="s">
        <v>166</v>
      </c>
      <c r="C30" s="113" t="s">
        <v>168</v>
      </c>
      <c r="D30" s="113" t="e">
        <f>IF(C30&gt;0,G30/C30,"")</f>
        <v>#VALUE!</v>
      </c>
      <c r="E30" s="113"/>
      <c r="F30" s="113"/>
      <c r="G30" s="113" t="s">
        <v>167</v>
      </c>
      <c r="H30" s="48">
        <f>IFERROR($G30/$G$10, 0)</f>
        <v>0</v>
      </c>
      <c r="I30" s="46" t="str">
        <f>" of TDC"</f>
        <v xml:space="preserve"> of TDC</v>
      </c>
    </row>
    <row r="31" ht="14.25">
      <c r="A31" s="123"/>
      <c r="B31" s="130"/>
      <c r="C31" s="33"/>
      <c r="D31" s="33"/>
      <c r="E31" s="33"/>
      <c r="F31" s="33"/>
      <c r="G31" s="33"/>
      <c r="H31" s="48"/>
      <c r="I31" s="46"/>
    </row>
    <row r="32" ht="14.25">
      <c r="A32" s="44" t="s">
        <v>170</v>
      </c>
      <c r="B32" s="49" t="s">
        <v>39</v>
      </c>
      <c r="C32" s="33"/>
      <c r="D32" s="33"/>
      <c r="E32" s="33"/>
      <c r="F32" s="33"/>
      <c r="G32" s="33"/>
      <c r="H32" s="48"/>
      <c r="I32" s="46"/>
    </row>
    <row r="33" ht="14.25">
      <c r="A33" s="123" t="s">
        <v>191</v>
      </c>
      <c r="B33" s="126" t="s">
        <v>171</v>
      </c>
      <c r="C33" s="113" t="s">
        <v>172</v>
      </c>
      <c r="D33" s="113" t="e">
        <f>IF(C33&gt;0,G33/C33,"")</f>
        <v>#VALUE!</v>
      </c>
      <c r="E33" s="113"/>
      <c r="F33" s="113"/>
      <c r="G33" s="113" t="s">
        <v>173</v>
      </c>
      <c r="H33" s="48">
        <f>IFERROR($G33/$G$22, 0)</f>
        <v>0</v>
      </c>
      <c r="I33" s="46" t="str">
        <f>"of TFC"</f>
        <v>of TFC</v>
      </c>
    </row>
    <row r="34" ht="14.25">
      <c r="A34" s="123"/>
      <c r="B34" s="130"/>
      <c r="C34" s="33"/>
      <c r="D34" s="33"/>
      <c r="E34" s="33"/>
      <c r="F34" s="33"/>
      <c r="G34" s="33"/>
      <c r="H34" s="48"/>
      <c r="I34" s="46"/>
    </row>
    <row r="35" ht="14.25">
      <c r="A35" s="44" t="s">
        <v>175</v>
      </c>
      <c r="B35" s="49" t="s">
        <v>40</v>
      </c>
      <c r="C35" s="33"/>
      <c r="D35" s="33"/>
      <c r="E35" s="33"/>
      <c r="F35" s="33"/>
      <c r="G35" s="33"/>
      <c r="H35" s="48"/>
      <c r="I35" s="46"/>
    </row>
    <row r="36" ht="14.25">
      <c r="A36" s="123" t="s">
        <v>192</v>
      </c>
      <c r="B36" s="126" t="s">
        <v>181</v>
      </c>
      <c r="C36" s="113" t="s">
        <v>176</v>
      </c>
      <c r="D36" s="113" t="e">
        <f>IF(C36&gt;0,G36/C36,"")</f>
        <v>#VALUE!</v>
      </c>
      <c r="E36" s="113"/>
      <c r="F36" s="113"/>
      <c r="G36" s="113" t="s">
        <v>177</v>
      </c>
      <c r="H36" s="48">
        <f>IFERROR($G36/$G$22, 0)</f>
        <v>0</v>
      </c>
      <c r="I36" s="46" t="str">
        <f>"of TFC"</f>
        <v>of TFC</v>
      </c>
    </row>
    <row r="37" ht="14.25">
      <c r="A37" s="123"/>
      <c r="B37" s="130"/>
      <c r="C37" s="33"/>
      <c r="D37" s="33"/>
      <c r="E37" s="33"/>
      <c r="F37" s="33"/>
      <c r="G37" s="33"/>
      <c r="H37" s="48"/>
      <c r="I37" s="46"/>
    </row>
    <row r="38" ht="14.25">
      <c r="A38" s="44" t="s">
        <v>179</v>
      </c>
      <c r="B38" s="49" t="s">
        <v>41</v>
      </c>
      <c r="C38" s="33"/>
      <c r="D38" s="33"/>
      <c r="E38" s="33"/>
      <c r="F38" s="33"/>
      <c r="G38" s="33"/>
      <c r="H38" s="50"/>
      <c r="I38" s="51"/>
    </row>
    <row r="39" ht="14.25">
      <c r="A39" s="124" t="s">
        <v>193</v>
      </c>
      <c r="B39" s="126" t="s">
        <v>182</v>
      </c>
      <c r="C39" s="113" t="s">
        <v>180</v>
      </c>
      <c r="D39" s="113" t="e">
        <f>IF(C39&gt;0,G39/C39,"")</f>
        <v>#VALUE!</v>
      </c>
      <c r="E39" s="113"/>
      <c r="F39" s="113"/>
      <c r="G39" s="113" t="s">
        <v>183</v>
      </c>
      <c r="H39" s="53">
        <f>IFERROR($G39/$G$44, 0)</f>
        <v>0</v>
      </c>
      <c r="I39" s="54" t="str">
        <f>"of TIC"</f>
        <v>of TIC</v>
      </c>
    </row>
    <row r="40" ht="14.25">
      <c r="A40" s="125"/>
      <c r="B40" s="131"/>
      <c r="C40" s="55"/>
      <c r="D40" s="56"/>
      <c r="E40" s="55"/>
      <c r="F40" s="55"/>
      <c r="G40" s="55"/>
      <c r="H40" s="53"/>
      <c r="I40" s="54"/>
    </row>
    <row r="41" ht="14.25">
      <c r="A41" s="111"/>
      <c r="B41" s="16" t="s">
        <v>42</v>
      </c>
      <c r="C41" s="17">
        <f>SUM(C26:C40)</f>
        <v>0</v>
      </c>
      <c r="D41" s="18"/>
      <c r="E41" s="17"/>
      <c r="F41" s="17"/>
      <c r="G41" s="17">
        <f>SUM(G26:G40)</f>
        <v>0</v>
      </c>
      <c r="H41" s="19">
        <f>IFERROR($G$41/$G$44,0)</f>
        <v>0</v>
      </c>
      <c r="I41" s="20" t="s">
        <v>32</v>
      </c>
    </row>
    <row r="42" ht="14.25">
      <c r="A42" s="57"/>
      <c r="B42" s="58"/>
      <c r="C42" s="59" t="s">
        <v>43</v>
      </c>
      <c r="D42" s="60"/>
      <c r="E42" s="59"/>
      <c r="F42" s="59"/>
      <c r="G42" s="59" t="s">
        <v>44</v>
      </c>
      <c r="H42" s="61"/>
      <c r="I42" s="62"/>
    </row>
    <row r="43" ht="14.25">
      <c r="A43" s="63"/>
      <c r="B43" s="22"/>
      <c r="C43" s="33"/>
      <c r="D43" s="34"/>
      <c r="E43" s="35"/>
      <c r="F43" s="35"/>
      <c r="G43" s="35"/>
      <c r="H43" s="4"/>
      <c r="I43" s="23"/>
    </row>
    <row r="44" ht="14.25">
      <c r="A44" s="283" t="s">
        <v>45</v>
      </c>
      <c r="B44" s="284"/>
      <c r="C44" s="64">
        <f>C41+C22</f>
        <v>0</v>
      </c>
      <c r="D44" s="65"/>
      <c r="E44" s="64">
        <f>E41+E22</f>
        <v>0</v>
      </c>
      <c r="F44" s="64">
        <f>F41+F22</f>
        <v>0</v>
      </c>
      <c r="G44" s="64">
        <f>G41+G22</f>
        <v>0</v>
      </c>
      <c r="H44" s="66">
        <f>IFERROR(G44/G10,0)</f>
        <v>0</v>
      </c>
      <c r="I44" s="67" t="s">
        <v>17</v>
      </c>
    </row>
    <row r="45" ht="14.25">
      <c r="A45" s="68"/>
      <c r="B45" s="69"/>
      <c r="C45" s="70" t="s">
        <v>46</v>
      </c>
      <c r="D45" s="71"/>
      <c r="E45" s="70" t="s">
        <v>47</v>
      </c>
      <c r="F45" s="70" t="s">
        <v>48</v>
      </c>
      <c r="G45" s="72" t="s">
        <v>49</v>
      </c>
      <c r="H45" s="73"/>
      <c r="I45" s="74"/>
    </row>
    <row r="46" ht="14.25">
      <c r="A46" s="75"/>
      <c r="B46" s="76"/>
      <c r="C46" s="76"/>
      <c r="D46" s="76"/>
      <c r="E46" s="76"/>
      <c r="F46" s="76"/>
      <c r="G46" s="76"/>
      <c r="H46" s="76"/>
      <c r="I46" s="76"/>
    </row>
    <row r="47" ht="14.25">
      <c r="A47" s="75"/>
      <c r="B47" s="76"/>
      <c r="C47" s="76"/>
      <c r="D47" s="76"/>
      <c r="E47" s="76"/>
      <c r="F47" s="76"/>
      <c r="G47" s="76"/>
      <c r="H47" s="76"/>
      <c r="I47" s="76"/>
    </row>
    <row r="48" ht="14.25">
      <c r="A48" s="75"/>
      <c r="B48" s="76"/>
      <c r="C48" s="76"/>
      <c r="D48" s="76"/>
      <c r="E48" s="76"/>
      <c r="F48" s="76"/>
      <c r="G48" s="76"/>
      <c r="H48" s="76"/>
      <c r="I48" s="76"/>
    </row>
    <row r="49" ht="14.25">
      <c r="B49" s="78" t="s">
        <v>50</v>
      </c>
      <c r="C49" s="79"/>
      <c r="D49" s="80"/>
      <c r="E49" s="81"/>
      <c r="F49" s="82"/>
      <c r="G49" s="79"/>
      <c r="H49" s="83"/>
      <c r="I49" s="84"/>
    </row>
    <row r="50" ht="14.25">
      <c r="A50" s="75"/>
      <c r="B50" s="85" t="s">
        <v>51</v>
      </c>
      <c r="C50" s="52"/>
      <c r="D50" s="86">
        <f>IF($B$8&lt;&gt;"(2) Equipment",0,IFERROR(G44/F8,0))</f>
        <v>0</v>
      </c>
      <c r="E50" s="87"/>
      <c r="F50" s="88"/>
      <c r="G50" s="52"/>
      <c r="H50" s="89"/>
      <c r="I50" s="90"/>
    </row>
    <row r="51" ht="14.25">
      <c r="A51" s="75"/>
      <c r="B51" s="91" t="s">
        <v>52</v>
      </c>
      <c r="C51" s="92"/>
      <c r="D51" s="93">
        <f>IFERROR(G10/G44,0)</f>
        <v>0</v>
      </c>
      <c r="E51" s="94"/>
      <c r="F51" s="95"/>
      <c r="G51" s="92"/>
      <c r="H51" s="96"/>
      <c r="I51" s="97"/>
    </row>
    <row r="52" ht="14.25">
      <c r="A52" s="75"/>
      <c r="B52" s="98" t="s">
        <v>53</v>
      </c>
      <c r="C52" s="99"/>
      <c r="D52" s="100">
        <f>IFERROR(G41/G44,0)</f>
        <v>0</v>
      </c>
      <c r="E52" s="99"/>
      <c r="F52" s="99"/>
      <c r="G52" s="101"/>
      <c r="H52" s="102"/>
      <c r="I52" s="103"/>
    </row>
  </sheetData>
  <mergeCells>
    <mergeCell ref="H25:I25"/>
    <mergeCell ref="A44:B44"/>
    <mergeCell ref="A1:I1"/>
    <mergeCell ref="A2:I2"/>
    <mergeCell ref="H7:I7"/>
    <mergeCell ref="H12:I12"/>
  </mergeCells>
  <pageMargins left="0.7" right="0.7" top="0.75" bottom="0.75" header="0.3" footer="0.3"/>
  <pageSetup scale="37" orientation="portrait" r:id="flId1"/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3">
    <tabColor rgb="FFFFFF00"/>
  </sheetPr>
  <dimension ref="A1:T24"/>
  <sheetViews>
    <sheetView topLeftCell="A1" workbookViewId="0">
      <pane ySplit="13" topLeftCell="A14" activePane="bottomLeft" state="frozen"/>
      <selection pane="bottomLeft" activeCell="A1" sqref="A1:I1"/>
    </sheetView>
  </sheetViews>
  <sheetFormatPr defaultColWidth="9.125" defaultRowHeight="12.75" customHeight="1"/>
  <cols>
    <col min="1" max="1" width="26.625" style="149" customWidth="1"/>
    <col min="2" max="2" width="26.625" style="134" customWidth="1"/>
    <col min="3" max="3" width="10.625" style="134" customWidth="1"/>
    <col min="4" max="6" width="20.625" style="134" customWidth="1"/>
    <col min="7" max="7" width="10.625" style="134" customWidth="1"/>
    <col min="8" max="8" width="16.625" style="134" customWidth="1"/>
    <col min="9" max="9" width="38.625" style="134" customWidth="1"/>
    <col min="10" max="11" width="9.125" style="134" customWidth="1"/>
    <col min="12" max="12" width="9.125" style="134"/>
    <col min="13" max="14" width="9.125" style="134" customWidth="1"/>
    <col min="15" max="19" width="9.125" style="134"/>
    <col min="20" max="20" width="12.25" style="134" customWidth="1"/>
    <col min="21" max="16384" width="9.125" style="134"/>
  </cols>
  <sheetData>
    <row r="1" ht="37.5" customHeight="1">
      <c r="A1" s="291" t="s">
        <v>54</v>
      </c>
      <c r="B1" s="292"/>
      <c r="C1" s="292"/>
      <c r="D1" s="292"/>
      <c r="E1" s="292"/>
      <c r="F1" s="292"/>
      <c r="G1" s="292"/>
      <c r="H1" s="292"/>
      <c r="I1" s="293"/>
    </row>
    <row r="2" ht="21" customHeight="1">
      <c r="A2" s="294" t="s">
        <v>73</v>
      </c>
      <c r="B2" s="295"/>
      <c r="C2" s="295"/>
      <c r="D2" s="295"/>
      <c r="E2" s="295"/>
      <c r="F2" s="295"/>
      <c r="G2" s="295"/>
      <c r="H2" s="295"/>
      <c r="I2" s="296"/>
    </row>
    <row r="3" ht="15">
      <c r="A3" s="264" t="s">
        <v>0</v>
      </c>
      <c r="B3" s="265" t="s">
        <v>140</v>
      </c>
      <c r="C3" s="265"/>
      <c r="D3" s="266"/>
      <c r="E3" s="266"/>
      <c r="F3" s="266"/>
      <c r="G3" s="266"/>
      <c r="H3" s="266"/>
      <c r="I3" s="267"/>
      <c r="K3" s="233" t="s">
        <v>74</v>
      </c>
      <c r="L3" s="234"/>
      <c r="M3" s="235"/>
      <c r="N3" s="235"/>
      <c r="O3" s="235"/>
      <c r="P3" s="235"/>
      <c r="Q3" s="235"/>
      <c r="R3" s="235"/>
      <c r="S3" s="235"/>
      <c r="T3" s="236"/>
    </row>
    <row r="4" ht="14.25">
      <c r="A4" s="139" t="s">
        <v>1</v>
      </c>
      <c r="B4" s="140" t="s">
        <v>141</v>
      </c>
      <c r="C4" s="140"/>
      <c r="D4" s="141" t="s">
        <v>2</v>
      </c>
      <c r="E4" s="140" t="s">
        <v>144</v>
      </c>
      <c r="F4" s="137"/>
      <c r="G4" s="137"/>
      <c r="H4" s="137"/>
      <c r="I4" s="138"/>
      <c r="K4" s="180" t="s">
        <v>201</v>
      </c>
      <c r="L4" s="142"/>
      <c r="M4" s="142"/>
      <c r="N4" s="142"/>
      <c r="O4" s="142"/>
      <c r="P4" s="142"/>
      <c r="Q4" s="142"/>
      <c r="R4" s="142"/>
      <c r="S4" s="142"/>
      <c r="T4" s="237"/>
    </row>
    <row r="5" ht="14.25">
      <c r="A5" s="135" t="s">
        <v>3</v>
      </c>
      <c r="B5" s="136" t="s">
        <v>142</v>
      </c>
      <c r="C5" s="136"/>
      <c r="D5" s="145" t="s">
        <v>4</v>
      </c>
      <c r="E5" s="140" t="s">
        <v>145</v>
      </c>
      <c r="F5" s="143"/>
      <c r="G5" s="143"/>
      <c r="H5" s="143"/>
      <c r="I5" s="144"/>
      <c r="K5" s="180" t="s">
        <v>202</v>
      </c>
      <c r="L5" s="142"/>
      <c r="M5" s="142"/>
      <c r="N5" s="142"/>
      <c r="O5" s="142"/>
      <c r="P5" s="142"/>
      <c r="Q5" s="142"/>
      <c r="R5" s="142"/>
      <c r="S5" s="142"/>
      <c r="T5" s="237"/>
    </row>
    <row r="6" ht="14.25">
      <c r="A6" s="135" t="s">
        <v>6</v>
      </c>
      <c r="B6" s="136" t="s">
        <v>143</v>
      </c>
      <c r="C6" s="136"/>
      <c r="D6" s="145" t="s">
        <v>7</v>
      </c>
      <c r="E6" s="136" t="s">
        <v>146</v>
      </c>
      <c r="F6" s="143"/>
      <c r="G6" s="143"/>
      <c r="H6" s="143"/>
      <c r="I6" s="144"/>
      <c r="K6" s="180" t="s">
        <v>205</v>
      </c>
      <c r="L6" s="142"/>
      <c r="M6" s="142"/>
      <c r="N6" s="142"/>
      <c r="O6" s="142"/>
      <c r="P6" s="142"/>
      <c r="Q6" s="142"/>
      <c r="R6" s="142"/>
      <c r="S6" s="142"/>
      <c r="T6" s="237"/>
    </row>
    <row r="7" ht="14.25">
      <c r="A7" s="260" t="s">
        <v>8</v>
      </c>
      <c r="B7" s="174" t="s">
        <v>148</v>
      </c>
      <c r="C7" s="174"/>
      <c r="D7" s="173" t="s">
        <v>5</v>
      </c>
      <c r="E7" s="172" t="s">
        <v>147</v>
      </c>
      <c r="F7" s="171"/>
      <c r="G7" s="171"/>
      <c r="H7" s="171"/>
      <c r="I7" s="268"/>
      <c r="K7" s="181" t="s">
        <v>150</v>
      </c>
      <c r="L7" s="143"/>
      <c r="M7" s="143"/>
      <c r="N7" s="143"/>
      <c r="O7" s="143"/>
      <c r="P7" s="143"/>
      <c r="Q7" s="143"/>
      <c r="R7" s="143"/>
      <c r="S7" s="143"/>
      <c r="T7" s="144"/>
    </row>
    <row r="8" ht="14.25">
      <c r="A8" s="269"/>
      <c r="B8" s="270"/>
      <c r="C8" s="270"/>
      <c r="D8" s="271"/>
      <c r="E8" s="272"/>
      <c r="F8" s="273"/>
      <c r="G8" s="273"/>
      <c r="H8" s="273"/>
      <c r="I8" s="273"/>
      <c r="J8" s="277"/>
      <c r="K8" s="181" t="s">
        <v>151</v>
      </c>
      <c r="L8" s="143"/>
      <c r="M8" s="143"/>
      <c r="N8" s="143"/>
      <c r="O8" s="143"/>
      <c r="P8" s="143"/>
      <c r="Q8" s="143"/>
      <c r="R8" s="143"/>
      <c r="S8" s="143"/>
      <c r="T8" s="144"/>
    </row>
    <row r="9" ht="20.25" customHeight="1" thickBot="1">
      <c r="A9" s="279" t="s">
        <v>211</v>
      </c>
      <c r="B9" s="274"/>
      <c r="C9" s="276">
        <v>10000</v>
      </c>
      <c r="D9" s="271"/>
      <c r="E9" s="272"/>
      <c r="F9" s="273"/>
      <c r="G9" s="273"/>
      <c r="H9" s="273"/>
      <c r="I9" s="273"/>
      <c r="J9" s="277"/>
      <c r="K9" s="180" t="s">
        <v>206</v>
      </c>
      <c r="L9" s="142"/>
      <c r="M9" s="142"/>
      <c r="N9" s="142"/>
      <c r="O9" s="142"/>
      <c r="P9" s="142"/>
      <c r="Q9" s="142"/>
      <c r="R9" s="142"/>
      <c r="S9" s="142"/>
      <c r="T9" s="237"/>
    </row>
    <row r="10" ht="15.75" thickTop="1">
      <c r="A10" s="280"/>
      <c r="B10" s="275"/>
      <c r="C10" s="275"/>
      <c r="D10" s="271"/>
      <c r="E10" s="272"/>
      <c r="F10" s="273"/>
      <c r="G10" s="273"/>
      <c r="H10" s="273"/>
      <c r="I10" s="273"/>
      <c r="J10" s="277"/>
      <c r="K10" s="238" t="s">
        <v>203</v>
      </c>
      <c r="L10" s="231"/>
      <c r="M10" s="231"/>
      <c r="N10" s="231"/>
      <c r="O10" s="231"/>
      <c r="P10" s="231"/>
      <c r="Q10" s="231"/>
      <c r="R10" s="231"/>
      <c r="S10" s="231"/>
      <c r="T10" s="239"/>
    </row>
    <row r="11" ht="20.25" customHeight="1" thickBot="1">
      <c r="A11" s="279" t="s">
        <v>195</v>
      </c>
      <c r="B11" s="274"/>
      <c r="C11" s="276" t="s">
        <v>212</v>
      </c>
      <c r="D11" s="271"/>
      <c r="E11" s="272"/>
      <c r="F11" s="273"/>
      <c r="G11" s="273"/>
      <c r="H11" s="273"/>
      <c r="I11" s="273"/>
      <c r="J11" s="277"/>
      <c r="K11" s="238" t="s">
        <v>204</v>
      </c>
      <c r="L11" s="231"/>
      <c r="M11" s="231"/>
      <c r="N11" s="231"/>
      <c r="O11" s="231"/>
      <c r="P11" s="231"/>
      <c r="Q11" s="231"/>
      <c r="R11" s="231"/>
      <c r="S11" s="231"/>
      <c r="T11" s="239"/>
    </row>
    <row r="12" ht="15" thickTop="1">
      <c r="A12" s="269"/>
      <c r="B12" s="270"/>
      <c r="C12" s="270"/>
      <c r="D12" s="271"/>
      <c r="E12" s="272"/>
      <c r="F12" s="273"/>
      <c r="G12" s="273"/>
      <c r="H12" s="273"/>
      <c r="I12" s="273"/>
      <c r="J12" s="277"/>
      <c r="K12" s="278" t="s">
        <v>207</v>
      </c>
      <c r="L12" s="146"/>
      <c r="M12" s="146"/>
      <c r="N12" s="146"/>
      <c r="O12" s="146"/>
      <c r="P12" s="146"/>
      <c r="Q12" s="146"/>
      <c r="R12" s="146"/>
      <c r="S12" s="146"/>
      <c r="T12" s="147"/>
    </row>
    <row r="13" ht="14.25" customHeight="1">
      <c r="A13" s="151" t="s">
        <v>10</v>
      </c>
      <c r="B13" s="201" t="s">
        <v>75</v>
      </c>
      <c r="C13" s="201" t="s">
        <v>76</v>
      </c>
      <c r="D13" s="201" t="s">
        <v>77</v>
      </c>
      <c r="E13" s="201" t="s">
        <v>78</v>
      </c>
      <c r="F13" s="201" t="s">
        <v>79</v>
      </c>
      <c r="G13" s="201" t="s">
        <v>80</v>
      </c>
      <c r="H13" s="201" t="s">
        <v>196</v>
      </c>
      <c r="I13" s="202" t="s">
        <v>197</v>
      </c>
    </row>
    <row r="14" ht="14.25" customHeight="1">
      <c r="A14" s="148" t="s">
        <v>132</v>
      </c>
      <c r="B14" s="148" t="str">
        <f>"Material cost"</f>
        <v>Material cost</v>
      </c>
      <c r="C14" s="178">
        <v>-0.1</v>
      </c>
      <c r="D14" s="179" t="e">
        <f>$E14*(1+$C14)</f>
        <v>#VALUE!</v>
      </c>
      <c r="E14" s="179" t="s">
        <v>83</v>
      </c>
      <c r="F14" s="179" t="e">
        <f>$E14*(1+$G14)</f>
        <v>#VALUE!</v>
      </c>
      <c r="G14" s="178">
        <f>10%</f>
        <v>0.1</v>
      </c>
      <c r="H14" s="203" t="s">
        <v>198</v>
      </c>
      <c r="I14" s="204"/>
    </row>
    <row r="15" ht="14.25" customHeight="1">
      <c r="A15" s="148" t="s">
        <v>131</v>
      </c>
      <c r="B15" s="148" t="str">
        <f>"Manhours"</f>
        <v>Manhours</v>
      </c>
      <c r="C15" s="178">
        <v>-0.1</v>
      </c>
      <c r="D15" s="179" t="e">
        <f>E15*(1+C15)</f>
        <v>#VALUE!</v>
      </c>
      <c r="E15" s="179" t="s">
        <v>84</v>
      </c>
      <c r="F15" s="179" t="e">
        <f>E15*(1+G15)</f>
        <v>#VALUE!</v>
      </c>
      <c r="G15" s="178">
        <v>0.1</v>
      </c>
      <c r="H15" s="203" t="s">
        <v>198</v>
      </c>
      <c r="I15" s="204"/>
    </row>
    <row r="16" ht="14.25" customHeight="1">
      <c r="A16" s="148" t="s">
        <v>133</v>
      </c>
      <c r="B16" s="148" t="str">
        <f>"Wage rate"</f>
        <v>Wage rate</v>
      </c>
      <c r="C16" s="178">
        <v>-0.1</v>
      </c>
      <c r="D16" s="198" t="e">
        <f>E16*(1+C16)</f>
        <v>#VALUE!</v>
      </c>
      <c r="E16" s="148" t="s">
        <v>156</v>
      </c>
      <c r="F16" s="198" t="e">
        <f>E16*(1+G16)</f>
        <v>#VALUE!</v>
      </c>
      <c r="G16" s="178">
        <v>0.1</v>
      </c>
      <c r="H16" s="203" t="s">
        <v>198</v>
      </c>
      <c r="I16" s="204"/>
    </row>
    <row r="17" ht="14.25" customHeight="1">
      <c r="A17" s="148" t="s">
        <v>134</v>
      </c>
      <c r="B17" s="148" t="s">
        <v>130</v>
      </c>
      <c r="C17" s="178">
        <v>-0.1</v>
      </c>
      <c r="D17" s="179" t="e">
        <f>E17*(1+C17)</f>
        <v>#VALUE!</v>
      </c>
      <c r="E17" s="148" t="s">
        <v>124</v>
      </c>
      <c r="F17" s="179" t="e">
        <f>E17*(1+G17)</f>
        <v>#VALUE!</v>
      </c>
      <c r="G17" s="178">
        <v>0.1</v>
      </c>
      <c r="H17" s="203" t="s">
        <v>198</v>
      </c>
      <c r="I17" s="204"/>
    </row>
    <row r="18" ht="14.25" customHeight="1">
      <c r="A18" s="148" t="s">
        <v>135</v>
      </c>
      <c r="B18" s="148" t="s">
        <v>130</v>
      </c>
      <c r="C18" s="178">
        <v>-0.1</v>
      </c>
      <c r="D18" s="179" t="e">
        <f>E18*(1+C18)</f>
        <v>#VALUE!</v>
      </c>
      <c r="E18" s="148" t="s">
        <v>125</v>
      </c>
      <c r="F18" s="179" t="e">
        <f>E18*(1+G18)</f>
        <v>#VALUE!</v>
      </c>
      <c r="G18" s="178">
        <v>0.1</v>
      </c>
      <c r="H18" s="203" t="s">
        <v>198</v>
      </c>
      <c r="I18" s="204"/>
    </row>
    <row r="19" ht="14.25" customHeight="1">
      <c r="A19" s="148" t="s">
        <v>136</v>
      </c>
      <c r="B19" s="148" t="s">
        <v>130</v>
      </c>
      <c r="C19" s="178">
        <v>-0.1</v>
      </c>
      <c r="D19" s="179" t="e">
        <f>E19*(1+C19)</f>
        <v>#VALUE!</v>
      </c>
      <c r="E19" s="148" t="s">
        <v>162</v>
      </c>
      <c r="F19" s="179" t="e">
        <f>E19*(1+G19)</f>
        <v>#VALUE!</v>
      </c>
      <c r="G19" s="178">
        <v>0.1</v>
      </c>
      <c r="H19" s="203" t="s">
        <v>198</v>
      </c>
      <c r="I19" s="204"/>
    </row>
    <row r="20" ht="14.25" customHeight="1">
      <c r="A20" s="148" t="s">
        <v>137</v>
      </c>
      <c r="B20" s="148" t="s">
        <v>130</v>
      </c>
      <c r="C20" s="178">
        <v>-0.1</v>
      </c>
      <c r="D20" s="179" t="e">
        <f>E20*(1+C20)</f>
        <v>#VALUE!</v>
      </c>
      <c r="E20" s="148" t="s">
        <v>184</v>
      </c>
      <c r="F20" s="179" t="e">
        <f>E20*(1+G20)</f>
        <v>#VALUE!</v>
      </c>
      <c r="G20" s="178">
        <v>0.1</v>
      </c>
      <c r="H20" s="203" t="s">
        <v>198</v>
      </c>
      <c r="I20" s="204"/>
    </row>
    <row r="21" ht="14.25" customHeight="1">
      <c r="A21" s="148" t="s">
        <v>138</v>
      </c>
      <c r="B21" s="148" t="s">
        <v>130</v>
      </c>
      <c r="C21" s="178">
        <v>-0.1</v>
      </c>
      <c r="D21" s="179" t="e">
        <f>E21*(1+C21)</f>
        <v>#VALUE!</v>
      </c>
      <c r="E21" s="148" t="s">
        <v>185</v>
      </c>
      <c r="F21" s="179" t="e">
        <f>E21*(1+G21)</f>
        <v>#VALUE!</v>
      </c>
      <c r="G21" s="178">
        <v>0.1</v>
      </c>
      <c r="H21" s="203" t="s">
        <v>198</v>
      </c>
      <c r="I21" s="204"/>
    </row>
    <row r="22" ht="14.25" customHeight="1">
      <c r="A22" s="148" t="s">
        <v>139</v>
      </c>
      <c r="B22" s="148" t="s">
        <v>130</v>
      </c>
      <c r="C22" s="178">
        <v>-0.1</v>
      </c>
      <c r="D22" s="179" t="e">
        <f>E22*(1+C22)</f>
        <v>#VALUE!</v>
      </c>
      <c r="E22" s="148" t="s">
        <v>186</v>
      </c>
      <c r="F22" s="179" t="e">
        <f>E22*(1+G22)</f>
        <v>#VALUE!</v>
      </c>
      <c r="G22" s="178">
        <v>0.1</v>
      </c>
      <c r="H22" s="203" t="s">
        <v>198</v>
      </c>
      <c r="I22" s="204"/>
    </row>
    <row r="23" ht="14.25" customHeight="1">
      <c r="A23" s="205" t="s">
        <v>123</v>
      </c>
      <c r="B23" s="200"/>
      <c r="C23" s="206"/>
      <c r="D23" s="200"/>
      <c r="E23" s="200"/>
      <c r="F23" s="200"/>
      <c r="G23" s="200"/>
      <c r="H23" s="200"/>
      <c r="I23" s="186"/>
    </row>
    <row r="24" ht="12.75" customHeight="1">
      <c r="A24" s="152"/>
      <c r="B24" s="199"/>
      <c r="C24" s="199"/>
      <c r="D24" s="199"/>
      <c r="E24" s="199"/>
      <c r="F24" s="199"/>
      <c r="G24" s="199"/>
      <c r="H24" s="199"/>
      <c r="I24" s="199"/>
    </row>
  </sheetData>
  <autoFilter ref="A13:I13"/>
  <mergeCells>
    <mergeCell ref="A1:I1"/>
    <mergeCell ref="A2:I2"/>
  </mergeCells>
  <dataValidations xWindow="1221" yWindow="444" count="5">
    <dataValidation type="decimal" allowBlank="1" showErrorMessage="1" errorTitle="Error" error="Minimum percent value cannot be less than -100% or greater than 0%. " sqref="C14:C23">
      <formula1>-1</formula1>
      <formula2>0</formula2>
    </dataValidation>
    <dataValidation type="whole" showInputMessage="1" showErrorMessage="1" errorTitle="Error" error="Number of iterations: Min = 5,000; Max = 50,000" sqref="C9">
      <formula1>5000</formula1>
      <formula2>50000</formula2>
    </dataValidation>
    <dataValidation type="list" allowBlank="1" showInputMessage="1" showErrorMessage="1" sqref="C11">
      <formula1>"Yes, No"</formula1>
    </dataValidation>
    <dataValidation type="decimal" operator="greaterThanOrEqual" allowBlank="1" showErrorMessage="1" errorTitle="Error" error="Maximum percent value cannot be less than 0%" sqref="I23 G14:G22">
      <formula1>0</formula1>
    </dataValidation>
    <dataValidation type="list" operator="greaterThanOrEqual" allowBlank="1" showInputMessage="1" showErrorMessage="1" errorTitle="Error" prompt="Included or excluded from risk analysis" sqref="H14:H22">
      <formula1>"Include,Exclude"</formula1>
    </dataValidation>
  </dataValidations>
  <pageMargins left="0.7" right="0.7" top="0.75" bottom="0.75" header="0.3" footer="0.3"/>
  <pageSetup scale="37" orientation="portrait" r:id="flId1"/>
  <drawing r:id="flId2"/>
  <legacyDrawing r:id="flId3"/>
</worksheet>
</file>

<file path=xl/worksheets/sheet3.xml><?xml version="1.0" encoding="utf-8"?>
<worksheet xmlns:r="http://schemas.openxmlformats.org/officeDocument/2006/relationships" xmlns="http://schemas.openxmlformats.org/spreadsheetml/2006/main">
  <sheetPr codeName="Sheet1">
    <tabColor rgb="FF92D050"/>
  </sheetPr>
  <dimension ref="A1:AF40"/>
  <sheetViews>
    <sheetView topLeftCell="A1" zoomScale="75" zoomScaleNormal="75" workbookViewId="0">
      <pane xSplit="2" ySplit="10" topLeftCell="C11" activePane="bottomRight" state="frozen"/>
      <selection pane="bottomRight" activeCell="A1" sqref="A1:AF1"/>
    </sheetView>
  </sheetViews>
  <sheetFormatPr defaultColWidth="9.125" defaultRowHeight="12.75"/>
  <cols>
    <col min="1" max="2" width="20.625" style="169" customWidth="1"/>
    <col min="3" max="32" width="14.625" style="169" customWidth="1"/>
    <col min="33" max="16384" width="9.125" style="169"/>
  </cols>
  <sheetData>
    <row r="1" ht="29.25" customHeight="1">
      <c r="A1" s="291" t="s">
        <v>54</v>
      </c>
      <c r="B1" s="292"/>
      <c r="C1" s="292"/>
      <c r="D1" s="292"/>
      <c r="E1" s="292"/>
      <c r="F1" s="292"/>
      <c r="G1" s="292"/>
      <c r="H1" s="292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8"/>
      <c r="AB1" s="298"/>
      <c r="AC1" s="298"/>
      <c r="AD1" s="298"/>
      <c r="AE1" s="298"/>
      <c r="AF1" s="299"/>
    </row>
    <row r="2" ht="35.25" customHeight="1">
      <c r="A2" s="300" t="s">
        <v>96</v>
      </c>
      <c r="B2" s="301"/>
      <c r="C2" s="301"/>
      <c r="D2" s="301"/>
      <c r="E2" s="301"/>
      <c r="F2" s="301"/>
      <c r="G2" s="301"/>
      <c r="H2" s="301"/>
      <c r="I2" s="302"/>
      <c r="J2" s="302"/>
      <c r="K2" s="302"/>
      <c r="L2" s="302"/>
      <c r="M2" s="302"/>
      <c r="N2" s="302"/>
      <c r="O2" s="302"/>
      <c r="P2" s="302"/>
      <c r="Q2" s="302"/>
      <c r="R2" s="302"/>
      <c r="S2" s="302"/>
      <c r="T2" s="302"/>
      <c r="U2" s="302"/>
      <c r="V2" s="302"/>
      <c r="W2" s="302"/>
      <c r="X2" s="302"/>
      <c r="Y2" s="302"/>
      <c r="Z2" s="302"/>
      <c r="AA2" s="303"/>
      <c r="AB2" s="303"/>
      <c r="AC2" s="303"/>
      <c r="AD2" s="303"/>
      <c r="AE2" s="303"/>
      <c r="AF2" s="304"/>
    </row>
    <row r="3" ht="15" customHeight="1">
      <c r="A3" s="135" t="s">
        <v>0</v>
      </c>
      <c r="B3" s="136" t="s">
        <v>140</v>
      </c>
      <c r="C3" s="136"/>
      <c r="D3" s="137"/>
      <c r="E3" s="137"/>
      <c r="F3" s="137"/>
      <c r="G3" s="161"/>
      <c r="H3" s="161"/>
      <c r="I3" s="176"/>
      <c r="J3" s="176"/>
      <c r="K3" s="176"/>
      <c r="L3" s="256" t="s">
        <v>152</v>
      </c>
      <c r="M3" s="257"/>
      <c r="N3" s="257"/>
      <c r="O3" s="257"/>
      <c r="P3" s="257"/>
      <c r="Q3" s="257"/>
      <c r="R3" s="257"/>
      <c r="S3" s="258"/>
      <c r="T3" s="176"/>
      <c r="U3" s="176"/>
      <c r="V3" s="176"/>
      <c r="W3" s="176"/>
      <c r="X3" s="176"/>
      <c r="Y3" s="176"/>
      <c r="Z3" s="176"/>
      <c r="AA3" s="176"/>
      <c r="AB3" s="176"/>
      <c r="AC3" s="176"/>
      <c r="AD3" s="176"/>
      <c r="AE3" s="176"/>
      <c r="AF3" s="175"/>
    </row>
    <row r="4" ht="15">
      <c r="A4" s="139" t="s">
        <v>1</v>
      </c>
      <c r="B4" s="140" t="s">
        <v>141</v>
      </c>
      <c r="C4" s="140"/>
      <c r="D4" s="141" t="s">
        <v>2</v>
      </c>
      <c r="E4" s="140" t="s">
        <v>144</v>
      </c>
      <c r="F4" s="137"/>
      <c r="G4" s="161"/>
      <c r="H4" s="143"/>
      <c r="I4" s="176"/>
      <c r="J4" s="176"/>
      <c r="K4" s="177"/>
      <c r="L4" s="187" t="s">
        <v>153</v>
      </c>
      <c r="M4" s="190"/>
      <c r="N4" s="190"/>
      <c r="O4" s="190"/>
      <c r="P4" s="190"/>
      <c r="Q4" s="190"/>
      <c r="R4" s="190"/>
      <c r="S4" s="191"/>
      <c r="T4" s="176"/>
      <c r="U4" s="176"/>
      <c r="V4" s="176"/>
      <c r="W4" s="176"/>
      <c r="X4" s="176"/>
      <c r="Y4" s="176"/>
      <c r="Z4" s="176"/>
      <c r="AA4" s="176"/>
      <c r="AB4" s="176"/>
      <c r="AC4" s="176"/>
      <c r="AD4" s="176"/>
      <c r="AE4" s="176"/>
      <c r="AF4" s="175"/>
    </row>
    <row r="5" ht="15">
      <c r="A5" s="135" t="s">
        <v>3</v>
      </c>
      <c r="B5" s="136" t="s">
        <v>142</v>
      </c>
      <c r="C5" s="136"/>
      <c r="D5" s="145" t="s">
        <v>4</v>
      </c>
      <c r="E5" s="140" t="s">
        <v>145</v>
      </c>
      <c r="F5" s="143"/>
      <c r="G5" s="143"/>
      <c r="H5" s="143"/>
      <c r="I5" s="176"/>
      <c r="J5" s="176"/>
      <c r="K5" s="177"/>
      <c r="L5" s="187" t="s">
        <v>154</v>
      </c>
      <c r="M5" s="188"/>
      <c r="N5" s="189"/>
      <c r="O5" s="189"/>
      <c r="P5" s="190"/>
      <c r="Q5" s="190"/>
      <c r="R5" s="190"/>
      <c r="S5" s="191"/>
      <c r="T5" s="176"/>
      <c r="U5" s="176"/>
      <c r="V5" s="176"/>
      <c r="W5" s="176"/>
      <c r="X5" s="176"/>
      <c r="Y5" s="176"/>
      <c r="Z5" s="176"/>
      <c r="AA5" s="176"/>
      <c r="AB5" s="176"/>
      <c r="AC5" s="176"/>
      <c r="AD5" s="176"/>
      <c r="AE5" s="176"/>
      <c r="AF5" s="175"/>
    </row>
    <row r="6" ht="15">
      <c r="A6" s="135" t="s">
        <v>6</v>
      </c>
      <c r="B6" s="136" t="s">
        <v>143</v>
      </c>
      <c r="C6" s="136"/>
      <c r="D6" s="145" t="s">
        <v>7</v>
      </c>
      <c r="E6" s="136" t="s">
        <v>146</v>
      </c>
      <c r="F6" s="143"/>
      <c r="G6" s="143"/>
      <c r="H6" s="143"/>
      <c r="I6" s="176"/>
      <c r="J6" s="176"/>
      <c r="K6" s="177"/>
      <c r="L6" s="187" t="s">
        <v>209</v>
      </c>
      <c r="M6" s="196"/>
      <c r="N6" s="190"/>
      <c r="O6" s="190"/>
      <c r="P6" s="190"/>
      <c r="Q6" s="190"/>
      <c r="R6" s="190"/>
      <c r="S6" s="191"/>
      <c r="T6" s="176"/>
      <c r="U6" s="176"/>
      <c r="V6" s="176"/>
      <c r="W6" s="176"/>
      <c r="X6" s="176"/>
      <c r="Y6" s="176"/>
      <c r="Z6" s="176"/>
      <c r="AA6" s="176"/>
      <c r="AB6" s="176"/>
      <c r="AC6" s="176"/>
      <c r="AD6" s="176"/>
      <c r="AE6" s="176"/>
      <c r="AF6" s="175"/>
    </row>
    <row r="7" ht="15">
      <c r="A7" s="195" t="s">
        <v>8</v>
      </c>
      <c r="B7" s="136" t="s">
        <v>148</v>
      </c>
      <c r="C7" s="136"/>
      <c r="D7" s="145" t="s">
        <v>5</v>
      </c>
      <c r="E7" s="140" t="s">
        <v>147</v>
      </c>
      <c r="F7" s="143"/>
      <c r="G7" s="143"/>
      <c r="H7" s="143"/>
      <c r="I7" s="176"/>
      <c r="J7" s="176"/>
      <c r="K7" s="176"/>
      <c r="L7" s="259" t="s">
        <v>210</v>
      </c>
      <c r="M7" s="192"/>
      <c r="N7" s="192"/>
      <c r="O7" s="192"/>
      <c r="P7" s="192"/>
      <c r="Q7" s="192"/>
      <c r="R7" s="192"/>
      <c r="S7" s="193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5"/>
    </row>
    <row r="8" ht="15" customHeight="1">
      <c r="A8" s="260" t="s">
        <v>200</v>
      </c>
      <c r="B8" s="174" t="str">
        <f ca="1">'Positive Definiteness Check'!B8</f>
        <v>Positive</v>
      </c>
      <c r="C8" s="174"/>
      <c r="D8" s="173"/>
      <c r="E8" s="172"/>
      <c r="F8" s="171"/>
      <c r="G8" s="171"/>
      <c r="H8" s="171"/>
      <c r="I8" s="170"/>
      <c r="J8" s="170"/>
      <c r="K8" s="170"/>
      <c r="L8" s="170"/>
      <c r="M8" s="170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0"/>
      <c r="AB8" s="170"/>
      <c r="AC8" s="170"/>
      <c r="AD8" s="170"/>
      <c r="AE8" s="170"/>
      <c r="AF8" s="194"/>
    </row>
    <row r="9" ht="32.1" customHeight="1">
      <c r="A9" s="243" t="s">
        <v>10</v>
      </c>
      <c r="B9" s="243"/>
      <c r="C9" s="244" t="s">
        <v>93</v>
      </c>
      <c r="D9" s="244" t="s">
        <v>92</v>
      </c>
      <c r="E9" s="244" t="s">
        <v>91</v>
      </c>
      <c r="F9" s="244" t="s">
        <v>90</v>
      </c>
      <c r="G9" s="244" t="s">
        <v>89</v>
      </c>
      <c r="H9" s="244" t="s">
        <v>88</v>
      </c>
      <c r="I9" s="244" t="s">
        <v>87</v>
      </c>
      <c r="J9" s="244" t="s">
        <v>86</v>
      </c>
      <c r="K9" s="245" t="s">
        <v>93</v>
      </c>
      <c r="L9" s="245" t="s">
        <v>92</v>
      </c>
      <c r="M9" s="245" t="s">
        <v>91</v>
      </c>
      <c r="N9" s="245" t="s">
        <v>90</v>
      </c>
      <c r="O9" s="245" t="s">
        <v>89</v>
      </c>
      <c r="P9" s="245" t="s">
        <v>88</v>
      </c>
      <c r="Q9" s="245" t="s">
        <v>87</v>
      </c>
      <c r="R9" s="245" t="s">
        <v>86</v>
      </c>
      <c r="S9" s="246" t="s">
        <v>93</v>
      </c>
      <c r="T9" s="246" t="s">
        <v>92</v>
      </c>
      <c r="U9" s="246" t="s">
        <v>91</v>
      </c>
      <c r="V9" s="246" t="s">
        <v>90</v>
      </c>
      <c r="W9" s="246" t="s">
        <v>89</v>
      </c>
      <c r="X9" s="246" t="s">
        <v>88</v>
      </c>
      <c r="Y9" s="246" t="s">
        <v>87</v>
      </c>
      <c r="Z9" s="246" t="s">
        <v>86</v>
      </c>
      <c r="AA9" s="247" t="s">
        <v>130</v>
      </c>
      <c r="AB9" s="247" t="s">
        <v>130</v>
      </c>
      <c r="AC9" s="247" t="s">
        <v>130</v>
      </c>
      <c r="AD9" s="247" t="s">
        <v>130</v>
      </c>
      <c r="AE9" s="247" t="s">
        <v>130</v>
      </c>
      <c r="AF9" s="247" t="s">
        <v>130</v>
      </c>
    </row>
    <row r="10" ht="32.1" customHeight="1">
      <c r="A10" s="243"/>
      <c r="B10" s="243" t="s">
        <v>75</v>
      </c>
      <c r="C10" s="248" t="s">
        <v>95</v>
      </c>
      <c r="D10" s="248" t="s">
        <v>95</v>
      </c>
      <c r="E10" s="248" t="s">
        <v>95</v>
      </c>
      <c r="F10" s="248" t="s">
        <v>95</v>
      </c>
      <c r="G10" s="248" t="s">
        <v>95</v>
      </c>
      <c r="H10" s="248" t="s">
        <v>95</v>
      </c>
      <c r="I10" s="248" t="s">
        <v>95</v>
      </c>
      <c r="J10" s="248" t="s">
        <v>95</v>
      </c>
      <c r="K10" s="249" t="s">
        <v>94</v>
      </c>
      <c r="L10" s="249" t="s">
        <v>94</v>
      </c>
      <c r="M10" s="249" t="s">
        <v>94</v>
      </c>
      <c r="N10" s="249" t="s">
        <v>94</v>
      </c>
      <c r="O10" s="249" t="s">
        <v>94</v>
      </c>
      <c r="P10" s="249" t="s">
        <v>94</v>
      </c>
      <c r="Q10" s="249" t="s">
        <v>94</v>
      </c>
      <c r="R10" s="249" t="s">
        <v>94</v>
      </c>
      <c r="S10" s="250" t="s">
        <v>85</v>
      </c>
      <c r="T10" s="250" t="s">
        <v>85</v>
      </c>
      <c r="U10" s="250" t="s">
        <v>85</v>
      </c>
      <c r="V10" s="250" t="s">
        <v>85</v>
      </c>
      <c r="W10" s="250" t="s">
        <v>85</v>
      </c>
      <c r="X10" s="250" t="s">
        <v>85</v>
      </c>
      <c r="Y10" s="250" t="s">
        <v>85</v>
      </c>
      <c r="Z10" s="250" t="s">
        <v>85</v>
      </c>
      <c r="AA10" s="251" t="s">
        <v>113</v>
      </c>
      <c r="AB10" s="251" t="s">
        <v>126</v>
      </c>
      <c r="AC10" s="251" t="s">
        <v>119</v>
      </c>
      <c r="AD10" s="251" t="s">
        <v>127</v>
      </c>
      <c r="AE10" s="251" t="s">
        <v>128</v>
      </c>
      <c r="AF10" s="251" t="s">
        <v>129</v>
      </c>
    </row>
    <row r="11">
      <c r="A11" s="252" t="s">
        <v>93</v>
      </c>
      <c r="B11" s="252" t="s">
        <v>95</v>
      </c>
      <c r="C11" s="261">
        <v>1</v>
      </c>
      <c r="D11" s="262"/>
      <c r="E11" s="262"/>
      <c r="F11" s="262"/>
      <c r="G11" s="262"/>
      <c r="H11" s="262"/>
      <c r="I11" s="262"/>
      <c r="J11" s="262"/>
      <c r="K11" s="262"/>
      <c r="L11" s="262"/>
      <c r="M11" s="262"/>
      <c r="N11" s="262"/>
      <c r="O11" s="262"/>
      <c r="P11" s="262"/>
      <c r="Q11" s="262"/>
      <c r="R11" s="262"/>
      <c r="S11" s="262"/>
      <c r="T11" s="262"/>
      <c r="U11" s="262"/>
      <c r="V11" s="262"/>
      <c r="W11" s="262"/>
      <c r="X11" s="262"/>
      <c r="Y11" s="262"/>
      <c r="Z11" s="262"/>
      <c r="AA11" s="262"/>
      <c r="AB11" s="262"/>
      <c r="AC11" s="262"/>
      <c r="AD11" s="262"/>
      <c r="AE11" s="262"/>
      <c r="AF11" s="262"/>
    </row>
    <row r="12">
      <c r="A12" s="252" t="s">
        <v>92</v>
      </c>
      <c r="B12" s="252" t="s">
        <v>95</v>
      </c>
      <c r="C12" s="263">
        <v>0</v>
      </c>
      <c r="D12" s="261">
        <v>1</v>
      </c>
      <c r="E12" s="262"/>
      <c r="F12" s="262"/>
      <c r="G12" s="262"/>
      <c r="H12" s="262"/>
      <c r="I12" s="262"/>
      <c r="J12" s="262"/>
      <c r="K12" s="262"/>
      <c r="L12" s="262"/>
      <c r="M12" s="262"/>
      <c r="N12" s="262"/>
      <c r="O12" s="262"/>
      <c r="P12" s="262"/>
      <c r="Q12" s="262"/>
      <c r="R12" s="262"/>
      <c r="S12" s="262"/>
      <c r="T12" s="262"/>
      <c r="U12" s="262"/>
      <c r="V12" s="262"/>
      <c r="W12" s="262"/>
      <c r="X12" s="262"/>
      <c r="Y12" s="262"/>
      <c r="Z12" s="262"/>
      <c r="AA12" s="262"/>
      <c r="AB12" s="262"/>
      <c r="AC12" s="262"/>
      <c r="AD12" s="262"/>
      <c r="AE12" s="262"/>
      <c r="AF12" s="262"/>
    </row>
    <row r="13">
      <c r="A13" s="252" t="s">
        <v>91</v>
      </c>
      <c r="B13" s="252" t="s">
        <v>95</v>
      </c>
      <c r="C13" s="263">
        <v>0</v>
      </c>
      <c r="D13" s="263">
        <v>0</v>
      </c>
      <c r="E13" s="261">
        <v>1</v>
      </c>
      <c r="F13" s="262"/>
      <c r="G13" s="262"/>
      <c r="H13" s="262"/>
      <c r="I13" s="262"/>
      <c r="J13" s="262"/>
      <c r="K13" s="262"/>
      <c r="L13" s="262"/>
      <c r="M13" s="262"/>
      <c r="N13" s="262"/>
      <c r="O13" s="262"/>
      <c r="P13" s="262"/>
      <c r="Q13" s="262"/>
      <c r="R13" s="262"/>
      <c r="S13" s="262"/>
      <c r="T13" s="262"/>
      <c r="U13" s="262"/>
      <c r="V13" s="262"/>
      <c r="W13" s="262"/>
      <c r="X13" s="262"/>
      <c r="Y13" s="262"/>
      <c r="Z13" s="262"/>
      <c r="AA13" s="262"/>
      <c r="AB13" s="262"/>
      <c r="AC13" s="262"/>
      <c r="AD13" s="262"/>
      <c r="AE13" s="262"/>
      <c r="AF13" s="262"/>
    </row>
    <row r="14">
      <c r="A14" s="252" t="s">
        <v>90</v>
      </c>
      <c r="B14" s="252" t="s">
        <v>95</v>
      </c>
      <c r="C14" s="263">
        <v>0</v>
      </c>
      <c r="D14" s="263">
        <v>0</v>
      </c>
      <c r="E14" s="263">
        <v>0</v>
      </c>
      <c r="F14" s="261">
        <v>1</v>
      </c>
      <c r="G14" s="262"/>
      <c r="H14" s="262"/>
      <c r="I14" s="262"/>
      <c r="J14" s="262"/>
      <c r="K14" s="262"/>
      <c r="L14" s="262"/>
      <c r="M14" s="262"/>
      <c r="N14" s="262"/>
      <c r="O14" s="262"/>
      <c r="P14" s="262"/>
      <c r="Q14" s="262"/>
      <c r="R14" s="262"/>
      <c r="S14" s="262"/>
      <c r="T14" s="262"/>
      <c r="U14" s="262"/>
      <c r="V14" s="262"/>
      <c r="W14" s="262"/>
      <c r="X14" s="262"/>
      <c r="Y14" s="262"/>
      <c r="Z14" s="262"/>
      <c r="AA14" s="262"/>
      <c r="AB14" s="262"/>
      <c r="AC14" s="262"/>
      <c r="AD14" s="262"/>
      <c r="AE14" s="262"/>
      <c r="AF14" s="262"/>
    </row>
    <row r="15">
      <c r="A15" s="252" t="s">
        <v>89</v>
      </c>
      <c r="B15" s="252" t="s">
        <v>95</v>
      </c>
      <c r="C15" s="263">
        <v>0</v>
      </c>
      <c r="D15" s="263">
        <v>0</v>
      </c>
      <c r="E15" s="263">
        <v>0</v>
      </c>
      <c r="F15" s="263">
        <v>0</v>
      </c>
      <c r="G15" s="261">
        <v>1</v>
      </c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</row>
    <row r="16">
      <c r="A16" s="252" t="s">
        <v>88</v>
      </c>
      <c r="B16" s="252" t="s">
        <v>95</v>
      </c>
      <c r="C16" s="263">
        <v>0</v>
      </c>
      <c r="D16" s="263">
        <v>0</v>
      </c>
      <c r="E16" s="263">
        <v>0</v>
      </c>
      <c r="F16" s="263">
        <v>0</v>
      </c>
      <c r="G16" s="263">
        <v>0</v>
      </c>
      <c r="H16" s="261">
        <v>1</v>
      </c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</row>
    <row r="17">
      <c r="A17" s="252" t="s">
        <v>87</v>
      </c>
      <c r="B17" s="252" t="s">
        <v>95</v>
      </c>
      <c r="C17" s="263">
        <v>0</v>
      </c>
      <c r="D17" s="263">
        <v>0</v>
      </c>
      <c r="E17" s="263">
        <v>0</v>
      </c>
      <c r="F17" s="263">
        <v>0</v>
      </c>
      <c r="G17" s="263">
        <v>0</v>
      </c>
      <c r="H17" s="263">
        <v>0</v>
      </c>
      <c r="I17" s="261">
        <v>1</v>
      </c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</row>
    <row r="18">
      <c r="A18" s="252" t="s">
        <v>86</v>
      </c>
      <c r="B18" s="252" t="s">
        <v>95</v>
      </c>
      <c r="C18" s="263">
        <v>0</v>
      </c>
      <c r="D18" s="263">
        <v>0</v>
      </c>
      <c r="E18" s="263">
        <v>0</v>
      </c>
      <c r="F18" s="263">
        <v>0</v>
      </c>
      <c r="G18" s="263">
        <v>0</v>
      </c>
      <c r="H18" s="263">
        <v>0</v>
      </c>
      <c r="I18" s="263">
        <v>0</v>
      </c>
      <c r="J18" s="261">
        <v>1</v>
      </c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</row>
    <row r="19">
      <c r="A19" s="253" t="s">
        <v>93</v>
      </c>
      <c r="B19" s="253" t="s">
        <v>94</v>
      </c>
      <c r="C19" s="263">
        <v>0</v>
      </c>
      <c r="D19" s="263">
        <v>0</v>
      </c>
      <c r="E19" s="263">
        <v>0</v>
      </c>
      <c r="F19" s="263">
        <v>0</v>
      </c>
      <c r="G19" s="263">
        <v>0</v>
      </c>
      <c r="H19" s="263">
        <v>0</v>
      </c>
      <c r="I19" s="263">
        <v>0</v>
      </c>
      <c r="J19" s="263">
        <v>0</v>
      </c>
      <c r="K19" s="261">
        <v>1</v>
      </c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</row>
    <row r="20">
      <c r="A20" s="253" t="s">
        <v>92</v>
      </c>
      <c r="B20" s="253" t="s">
        <v>94</v>
      </c>
      <c r="C20" s="263">
        <v>0</v>
      </c>
      <c r="D20" s="263">
        <v>0</v>
      </c>
      <c r="E20" s="263">
        <v>0</v>
      </c>
      <c r="F20" s="263">
        <v>0</v>
      </c>
      <c r="G20" s="263">
        <v>0</v>
      </c>
      <c r="H20" s="263">
        <v>0</v>
      </c>
      <c r="I20" s="263">
        <v>0</v>
      </c>
      <c r="J20" s="263">
        <v>0</v>
      </c>
      <c r="K20" s="263">
        <v>0</v>
      </c>
      <c r="L20" s="261">
        <v>1</v>
      </c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</row>
    <row r="21">
      <c r="A21" s="253" t="s">
        <v>91</v>
      </c>
      <c r="B21" s="253" t="s">
        <v>94</v>
      </c>
      <c r="C21" s="263">
        <v>0</v>
      </c>
      <c r="D21" s="263">
        <v>0</v>
      </c>
      <c r="E21" s="263">
        <v>0</v>
      </c>
      <c r="F21" s="263">
        <v>0</v>
      </c>
      <c r="G21" s="263">
        <v>0</v>
      </c>
      <c r="H21" s="263">
        <v>0</v>
      </c>
      <c r="I21" s="263">
        <v>0</v>
      </c>
      <c r="J21" s="263">
        <v>0</v>
      </c>
      <c r="K21" s="263">
        <v>0</v>
      </c>
      <c r="L21" s="263">
        <v>0</v>
      </c>
      <c r="M21" s="261">
        <v>1</v>
      </c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</row>
    <row r="22">
      <c r="A22" s="253" t="s">
        <v>90</v>
      </c>
      <c r="B22" s="253" t="s">
        <v>94</v>
      </c>
      <c r="C22" s="263">
        <v>0</v>
      </c>
      <c r="D22" s="263">
        <v>0</v>
      </c>
      <c r="E22" s="263">
        <v>0</v>
      </c>
      <c r="F22" s="263">
        <v>0</v>
      </c>
      <c r="G22" s="263">
        <v>0</v>
      </c>
      <c r="H22" s="263">
        <v>0</v>
      </c>
      <c r="I22" s="263">
        <v>0</v>
      </c>
      <c r="J22" s="263">
        <v>0</v>
      </c>
      <c r="K22" s="263">
        <v>0</v>
      </c>
      <c r="L22" s="263">
        <v>0</v>
      </c>
      <c r="M22" s="263">
        <v>0</v>
      </c>
      <c r="N22" s="261">
        <v>1</v>
      </c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</row>
    <row r="23">
      <c r="A23" s="253" t="s">
        <v>89</v>
      </c>
      <c r="B23" s="253" t="s">
        <v>94</v>
      </c>
      <c r="C23" s="263">
        <v>0</v>
      </c>
      <c r="D23" s="263">
        <v>0</v>
      </c>
      <c r="E23" s="263">
        <v>0</v>
      </c>
      <c r="F23" s="263">
        <v>0</v>
      </c>
      <c r="G23" s="263">
        <v>0</v>
      </c>
      <c r="H23" s="263">
        <v>0</v>
      </c>
      <c r="I23" s="263">
        <v>0</v>
      </c>
      <c r="J23" s="263">
        <v>0</v>
      </c>
      <c r="K23" s="263">
        <v>0</v>
      </c>
      <c r="L23" s="263">
        <v>0</v>
      </c>
      <c r="M23" s="263">
        <v>0</v>
      </c>
      <c r="N23" s="263">
        <v>0</v>
      </c>
      <c r="O23" s="261">
        <v>1</v>
      </c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</row>
    <row r="24">
      <c r="A24" s="253" t="s">
        <v>88</v>
      </c>
      <c r="B24" s="253" t="s">
        <v>94</v>
      </c>
      <c r="C24" s="263">
        <v>0</v>
      </c>
      <c r="D24" s="263">
        <v>0</v>
      </c>
      <c r="E24" s="263">
        <v>0</v>
      </c>
      <c r="F24" s="263">
        <v>0</v>
      </c>
      <c r="G24" s="263">
        <v>0</v>
      </c>
      <c r="H24" s="263">
        <v>0</v>
      </c>
      <c r="I24" s="263">
        <v>0</v>
      </c>
      <c r="J24" s="263">
        <v>0</v>
      </c>
      <c r="K24" s="263">
        <v>0</v>
      </c>
      <c r="L24" s="263">
        <v>0</v>
      </c>
      <c r="M24" s="263">
        <v>0</v>
      </c>
      <c r="N24" s="263">
        <v>0</v>
      </c>
      <c r="O24" s="263">
        <v>0</v>
      </c>
      <c r="P24" s="261">
        <v>1</v>
      </c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</row>
    <row r="25">
      <c r="A25" s="253" t="s">
        <v>87</v>
      </c>
      <c r="B25" s="253" t="s">
        <v>94</v>
      </c>
      <c r="C25" s="263">
        <v>0</v>
      </c>
      <c r="D25" s="263">
        <v>0</v>
      </c>
      <c r="E25" s="263">
        <v>0</v>
      </c>
      <c r="F25" s="263">
        <v>0</v>
      </c>
      <c r="G25" s="263">
        <v>0</v>
      </c>
      <c r="H25" s="263">
        <v>0</v>
      </c>
      <c r="I25" s="263">
        <v>0</v>
      </c>
      <c r="J25" s="263">
        <v>0</v>
      </c>
      <c r="K25" s="263">
        <v>0</v>
      </c>
      <c r="L25" s="263">
        <v>0</v>
      </c>
      <c r="M25" s="263">
        <v>0</v>
      </c>
      <c r="N25" s="263">
        <v>0</v>
      </c>
      <c r="O25" s="263">
        <v>0</v>
      </c>
      <c r="P25" s="263">
        <v>0</v>
      </c>
      <c r="Q25" s="261">
        <v>1</v>
      </c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</row>
    <row r="26">
      <c r="A26" s="253" t="s">
        <v>86</v>
      </c>
      <c r="B26" s="253" t="s">
        <v>94</v>
      </c>
      <c r="C26" s="263">
        <v>0</v>
      </c>
      <c r="D26" s="263">
        <v>0</v>
      </c>
      <c r="E26" s="263">
        <v>0</v>
      </c>
      <c r="F26" s="263">
        <v>0</v>
      </c>
      <c r="G26" s="263">
        <v>0</v>
      </c>
      <c r="H26" s="263">
        <v>0</v>
      </c>
      <c r="I26" s="263">
        <v>0</v>
      </c>
      <c r="J26" s="263">
        <v>0</v>
      </c>
      <c r="K26" s="263">
        <v>0</v>
      </c>
      <c r="L26" s="263">
        <v>0</v>
      </c>
      <c r="M26" s="263">
        <v>0</v>
      </c>
      <c r="N26" s="263">
        <v>0</v>
      </c>
      <c r="O26" s="263">
        <v>0</v>
      </c>
      <c r="P26" s="263">
        <v>0</v>
      </c>
      <c r="Q26" s="263">
        <v>0</v>
      </c>
      <c r="R26" s="261">
        <v>1</v>
      </c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</row>
    <row r="27">
      <c r="A27" s="254" t="s">
        <v>93</v>
      </c>
      <c r="B27" s="254" t="s">
        <v>85</v>
      </c>
      <c r="C27" s="263">
        <v>0</v>
      </c>
      <c r="D27" s="263">
        <v>0</v>
      </c>
      <c r="E27" s="263">
        <v>0</v>
      </c>
      <c r="F27" s="263">
        <v>0</v>
      </c>
      <c r="G27" s="263">
        <v>0</v>
      </c>
      <c r="H27" s="263">
        <v>0</v>
      </c>
      <c r="I27" s="263">
        <v>0</v>
      </c>
      <c r="J27" s="263">
        <v>0</v>
      </c>
      <c r="K27" s="263">
        <v>0</v>
      </c>
      <c r="L27" s="263">
        <v>0</v>
      </c>
      <c r="M27" s="263">
        <v>0</v>
      </c>
      <c r="N27" s="263">
        <v>0</v>
      </c>
      <c r="O27" s="263">
        <v>0</v>
      </c>
      <c r="P27" s="263">
        <v>0</v>
      </c>
      <c r="Q27" s="263">
        <v>0</v>
      </c>
      <c r="R27" s="263">
        <v>0</v>
      </c>
      <c r="S27" s="261">
        <v>1</v>
      </c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</row>
    <row r="28">
      <c r="A28" s="254" t="s">
        <v>92</v>
      </c>
      <c r="B28" s="254" t="s">
        <v>85</v>
      </c>
      <c r="C28" s="263">
        <v>0</v>
      </c>
      <c r="D28" s="263">
        <v>0</v>
      </c>
      <c r="E28" s="263">
        <v>0</v>
      </c>
      <c r="F28" s="263">
        <v>0</v>
      </c>
      <c r="G28" s="263">
        <v>0</v>
      </c>
      <c r="H28" s="263">
        <v>0</v>
      </c>
      <c r="I28" s="263">
        <v>0</v>
      </c>
      <c r="J28" s="263">
        <v>0</v>
      </c>
      <c r="K28" s="263">
        <v>0</v>
      </c>
      <c r="L28" s="263">
        <v>0</v>
      </c>
      <c r="M28" s="263">
        <v>0</v>
      </c>
      <c r="N28" s="263">
        <v>0</v>
      </c>
      <c r="O28" s="263">
        <v>0</v>
      </c>
      <c r="P28" s="263">
        <v>0</v>
      </c>
      <c r="Q28" s="263">
        <v>0</v>
      </c>
      <c r="R28" s="263">
        <v>0</v>
      </c>
      <c r="S28" s="263">
        <v>0</v>
      </c>
      <c r="T28" s="261">
        <v>1</v>
      </c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</row>
    <row r="29">
      <c r="A29" s="254" t="s">
        <v>91</v>
      </c>
      <c r="B29" s="254" t="s">
        <v>85</v>
      </c>
      <c r="C29" s="263">
        <v>0</v>
      </c>
      <c r="D29" s="263">
        <v>0</v>
      </c>
      <c r="E29" s="263">
        <v>0</v>
      </c>
      <c r="F29" s="263">
        <v>0</v>
      </c>
      <c r="G29" s="263">
        <v>0</v>
      </c>
      <c r="H29" s="263">
        <v>0</v>
      </c>
      <c r="I29" s="263">
        <v>0</v>
      </c>
      <c r="J29" s="263">
        <v>0</v>
      </c>
      <c r="K29" s="263">
        <v>0</v>
      </c>
      <c r="L29" s="263">
        <v>0</v>
      </c>
      <c r="M29" s="263">
        <v>0</v>
      </c>
      <c r="N29" s="263">
        <v>0</v>
      </c>
      <c r="O29" s="263">
        <v>0</v>
      </c>
      <c r="P29" s="263">
        <v>0</v>
      </c>
      <c r="Q29" s="263">
        <v>0</v>
      </c>
      <c r="R29" s="263">
        <v>0</v>
      </c>
      <c r="S29" s="263">
        <v>0</v>
      </c>
      <c r="T29" s="263">
        <v>0</v>
      </c>
      <c r="U29" s="261">
        <v>1</v>
      </c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</row>
    <row r="30">
      <c r="A30" s="254" t="s">
        <v>90</v>
      </c>
      <c r="B30" s="254" t="s">
        <v>85</v>
      </c>
      <c r="C30" s="263">
        <v>0</v>
      </c>
      <c r="D30" s="263">
        <v>0</v>
      </c>
      <c r="E30" s="263">
        <v>0</v>
      </c>
      <c r="F30" s="263">
        <v>0</v>
      </c>
      <c r="G30" s="263">
        <v>0</v>
      </c>
      <c r="H30" s="263">
        <v>0</v>
      </c>
      <c r="I30" s="263">
        <v>0</v>
      </c>
      <c r="J30" s="263">
        <v>0</v>
      </c>
      <c r="K30" s="263">
        <v>0</v>
      </c>
      <c r="L30" s="263">
        <v>0</v>
      </c>
      <c r="M30" s="263">
        <v>0</v>
      </c>
      <c r="N30" s="263">
        <v>0</v>
      </c>
      <c r="O30" s="263">
        <v>0</v>
      </c>
      <c r="P30" s="263">
        <v>0</v>
      </c>
      <c r="Q30" s="263">
        <v>0</v>
      </c>
      <c r="R30" s="263">
        <v>0</v>
      </c>
      <c r="S30" s="263">
        <v>0</v>
      </c>
      <c r="T30" s="263">
        <v>0</v>
      </c>
      <c r="U30" s="263">
        <v>0</v>
      </c>
      <c r="V30" s="261">
        <v>1</v>
      </c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</row>
    <row r="31">
      <c r="A31" s="254" t="s">
        <v>89</v>
      </c>
      <c r="B31" s="254" t="s">
        <v>85</v>
      </c>
      <c r="C31" s="263">
        <v>0</v>
      </c>
      <c r="D31" s="263">
        <v>0</v>
      </c>
      <c r="E31" s="263">
        <v>0</v>
      </c>
      <c r="F31" s="263">
        <v>0</v>
      </c>
      <c r="G31" s="263">
        <v>0</v>
      </c>
      <c r="H31" s="263">
        <v>0</v>
      </c>
      <c r="I31" s="263">
        <v>0</v>
      </c>
      <c r="J31" s="263">
        <v>0</v>
      </c>
      <c r="K31" s="263">
        <v>0</v>
      </c>
      <c r="L31" s="263">
        <v>0</v>
      </c>
      <c r="M31" s="263">
        <v>0</v>
      </c>
      <c r="N31" s="263">
        <v>0</v>
      </c>
      <c r="O31" s="263">
        <v>0</v>
      </c>
      <c r="P31" s="263">
        <v>0</v>
      </c>
      <c r="Q31" s="263">
        <v>0</v>
      </c>
      <c r="R31" s="263">
        <v>0</v>
      </c>
      <c r="S31" s="263">
        <v>0</v>
      </c>
      <c r="T31" s="263">
        <v>0</v>
      </c>
      <c r="U31" s="263">
        <v>0</v>
      </c>
      <c r="V31" s="263">
        <v>0</v>
      </c>
      <c r="W31" s="261">
        <v>1</v>
      </c>
      <c r="X31" s="262"/>
      <c r="Y31" s="262"/>
      <c r="Z31" s="262"/>
      <c r="AA31" s="262"/>
      <c r="AB31" s="262"/>
      <c r="AC31" s="262"/>
      <c r="AD31" s="262"/>
      <c r="AE31" s="262"/>
      <c r="AF31" s="262"/>
    </row>
    <row r="32">
      <c r="A32" s="254" t="s">
        <v>88</v>
      </c>
      <c r="B32" s="254" t="s">
        <v>85</v>
      </c>
      <c r="C32" s="263">
        <v>0</v>
      </c>
      <c r="D32" s="263">
        <v>0</v>
      </c>
      <c r="E32" s="263">
        <v>0</v>
      </c>
      <c r="F32" s="263">
        <v>0</v>
      </c>
      <c r="G32" s="263">
        <v>0</v>
      </c>
      <c r="H32" s="263">
        <v>0</v>
      </c>
      <c r="I32" s="263">
        <v>0</v>
      </c>
      <c r="J32" s="263">
        <v>0</v>
      </c>
      <c r="K32" s="263">
        <v>0</v>
      </c>
      <c r="L32" s="263">
        <v>0</v>
      </c>
      <c r="M32" s="263">
        <v>0</v>
      </c>
      <c r="N32" s="263">
        <v>0</v>
      </c>
      <c r="O32" s="263">
        <v>0</v>
      </c>
      <c r="P32" s="263">
        <v>0</v>
      </c>
      <c r="Q32" s="263">
        <v>0</v>
      </c>
      <c r="R32" s="263">
        <v>0</v>
      </c>
      <c r="S32" s="263">
        <v>0</v>
      </c>
      <c r="T32" s="263">
        <v>0</v>
      </c>
      <c r="U32" s="263">
        <v>0</v>
      </c>
      <c r="V32" s="263">
        <v>0</v>
      </c>
      <c r="W32" s="263">
        <v>0</v>
      </c>
      <c r="X32" s="261">
        <v>1</v>
      </c>
      <c r="Y32" s="262"/>
      <c r="Z32" s="262"/>
      <c r="AA32" s="262"/>
      <c r="AB32" s="262"/>
      <c r="AC32" s="262"/>
      <c r="AD32" s="262"/>
      <c r="AE32" s="262"/>
      <c r="AF32" s="262"/>
    </row>
    <row r="33">
      <c r="A33" s="254" t="s">
        <v>87</v>
      </c>
      <c r="B33" s="254" t="s">
        <v>85</v>
      </c>
      <c r="C33" s="263">
        <v>0</v>
      </c>
      <c r="D33" s="263">
        <v>0</v>
      </c>
      <c r="E33" s="263">
        <v>0</v>
      </c>
      <c r="F33" s="263">
        <v>0</v>
      </c>
      <c r="G33" s="263">
        <v>0</v>
      </c>
      <c r="H33" s="263">
        <v>0</v>
      </c>
      <c r="I33" s="263">
        <v>0</v>
      </c>
      <c r="J33" s="263">
        <v>0</v>
      </c>
      <c r="K33" s="263">
        <v>0</v>
      </c>
      <c r="L33" s="263">
        <v>0</v>
      </c>
      <c r="M33" s="263">
        <v>0</v>
      </c>
      <c r="N33" s="263">
        <v>0</v>
      </c>
      <c r="O33" s="263">
        <v>0</v>
      </c>
      <c r="P33" s="263">
        <v>0</v>
      </c>
      <c r="Q33" s="263">
        <v>0</v>
      </c>
      <c r="R33" s="263">
        <v>0</v>
      </c>
      <c r="S33" s="263">
        <v>0</v>
      </c>
      <c r="T33" s="263">
        <v>0</v>
      </c>
      <c r="U33" s="263">
        <v>0</v>
      </c>
      <c r="V33" s="263">
        <v>0</v>
      </c>
      <c r="W33" s="263">
        <v>0</v>
      </c>
      <c r="X33" s="263">
        <v>0</v>
      </c>
      <c r="Y33" s="261">
        <v>1</v>
      </c>
      <c r="Z33" s="262"/>
      <c r="AA33" s="262"/>
      <c r="AB33" s="262"/>
      <c r="AC33" s="262"/>
      <c r="AD33" s="262"/>
      <c r="AE33" s="262"/>
      <c r="AF33" s="262"/>
    </row>
    <row r="34">
      <c r="A34" s="254" t="s">
        <v>86</v>
      </c>
      <c r="B34" s="254" t="s">
        <v>85</v>
      </c>
      <c r="C34" s="263">
        <v>0</v>
      </c>
      <c r="D34" s="263">
        <v>0</v>
      </c>
      <c r="E34" s="263">
        <v>0</v>
      </c>
      <c r="F34" s="263">
        <v>0</v>
      </c>
      <c r="G34" s="263">
        <v>0</v>
      </c>
      <c r="H34" s="263">
        <v>0</v>
      </c>
      <c r="I34" s="263">
        <v>0</v>
      </c>
      <c r="J34" s="263">
        <v>0</v>
      </c>
      <c r="K34" s="263">
        <v>0</v>
      </c>
      <c r="L34" s="263">
        <v>0</v>
      </c>
      <c r="M34" s="263">
        <v>0</v>
      </c>
      <c r="N34" s="263">
        <v>0</v>
      </c>
      <c r="O34" s="263">
        <v>0</v>
      </c>
      <c r="P34" s="263">
        <v>0</v>
      </c>
      <c r="Q34" s="263">
        <v>0</v>
      </c>
      <c r="R34" s="263">
        <v>0</v>
      </c>
      <c r="S34" s="263">
        <v>0</v>
      </c>
      <c r="T34" s="263">
        <v>0</v>
      </c>
      <c r="U34" s="263">
        <v>0</v>
      </c>
      <c r="V34" s="263">
        <v>0</v>
      </c>
      <c r="W34" s="263">
        <v>0</v>
      </c>
      <c r="X34" s="263">
        <v>0</v>
      </c>
      <c r="Y34" s="263">
        <v>0</v>
      </c>
      <c r="Z34" s="261">
        <v>1</v>
      </c>
      <c r="AA34" s="262"/>
      <c r="AB34" s="262"/>
      <c r="AC34" s="262"/>
      <c r="AD34" s="262"/>
      <c r="AE34" s="262"/>
      <c r="AF34" s="262"/>
    </row>
    <row r="35">
      <c r="A35" s="255" t="s">
        <v>130</v>
      </c>
      <c r="B35" s="255" t="s">
        <v>113</v>
      </c>
      <c r="C35" s="263">
        <v>0</v>
      </c>
      <c r="D35" s="263">
        <v>0</v>
      </c>
      <c r="E35" s="263">
        <v>0</v>
      </c>
      <c r="F35" s="263">
        <v>0</v>
      </c>
      <c r="G35" s="263">
        <v>0</v>
      </c>
      <c r="H35" s="263">
        <v>0</v>
      </c>
      <c r="I35" s="263">
        <v>0</v>
      </c>
      <c r="J35" s="263">
        <v>0</v>
      </c>
      <c r="K35" s="263">
        <v>0</v>
      </c>
      <c r="L35" s="263">
        <v>0</v>
      </c>
      <c r="M35" s="263">
        <v>0</v>
      </c>
      <c r="N35" s="263">
        <v>0</v>
      </c>
      <c r="O35" s="263">
        <v>0</v>
      </c>
      <c r="P35" s="263">
        <v>0</v>
      </c>
      <c r="Q35" s="263">
        <v>0</v>
      </c>
      <c r="R35" s="263">
        <v>0</v>
      </c>
      <c r="S35" s="263">
        <v>0</v>
      </c>
      <c r="T35" s="263">
        <v>0</v>
      </c>
      <c r="U35" s="263">
        <v>0</v>
      </c>
      <c r="V35" s="263">
        <v>0</v>
      </c>
      <c r="W35" s="263">
        <v>0</v>
      </c>
      <c r="X35" s="263">
        <v>0</v>
      </c>
      <c r="Y35" s="263">
        <v>0</v>
      </c>
      <c r="Z35" s="263">
        <v>0</v>
      </c>
      <c r="AA35" s="261">
        <v>1</v>
      </c>
      <c r="AB35" s="262"/>
      <c r="AC35" s="262"/>
      <c r="AD35" s="262"/>
      <c r="AE35" s="262"/>
      <c r="AF35" s="262"/>
    </row>
    <row r="36">
      <c r="A36" s="255" t="s">
        <v>130</v>
      </c>
      <c r="B36" s="255" t="s">
        <v>126</v>
      </c>
      <c r="C36" s="263">
        <v>0</v>
      </c>
      <c r="D36" s="263">
        <v>0</v>
      </c>
      <c r="E36" s="263">
        <v>0</v>
      </c>
      <c r="F36" s="263">
        <v>0</v>
      </c>
      <c r="G36" s="263">
        <v>0</v>
      </c>
      <c r="H36" s="263">
        <v>0</v>
      </c>
      <c r="I36" s="263">
        <v>0</v>
      </c>
      <c r="J36" s="263">
        <v>0</v>
      </c>
      <c r="K36" s="263">
        <v>0</v>
      </c>
      <c r="L36" s="263">
        <v>0</v>
      </c>
      <c r="M36" s="263">
        <v>0</v>
      </c>
      <c r="N36" s="263">
        <v>0</v>
      </c>
      <c r="O36" s="263">
        <v>0</v>
      </c>
      <c r="P36" s="263">
        <v>0</v>
      </c>
      <c r="Q36" s="263">
        <v>0</v>
      </c>
      <c r="R36" s="263">
        <v>0</v>
      </c>
      <c r="S36" s="263">
        <v>0</v>
      </c>
      <c r="T36" s="263">
        <v>0</v>
      </c>
      <c r="U36" s="263">
        <v>0</v>
      </c>
      <c r="V36" s="263">
        <v>0</v>
      </c>
      <c r="W36" s="263">
        <v>0</v>
      </c>
      <c r="X36" s="263">
        <v>0</v>
      </c>
      <c r="Y36" s="263">
        <v>0</v>
      </c>
      <c r="Z36" s="263">
        <v>0</v>
      </c>
      <c r="AA36" s="263">
        <v>0</v>
      </c>
      <c r="AB36" s="261">
        <v>1</v>
      </c>
      <c r="AC36" s="262"/>
      <c r="AD36" s="262"/>
      <c r="AE36" s="262"/>
      <c r="AF36" s="262"/>
    </row>
    <row r="37">
      <c r="A37" s="255" t="s">
        <v>130</v>
      </c>
      <c r="B37" s="255" t="s">
        <v>119</v>
      </c>
      <c r="C37" s="263">
        <v>0</v>
      </c>
      <c r="D37" s="263">
        <v>0</v>
      </c>
      <c r="E37" s="263">
        <v>0</v>
      </c>
      <c r="F37" s="263">
        <v>0</v>
      </c>
      <c r="G37" s="263">
        <v>0</v>
      </c>
      <c r="H37" s="263">
        <v>0</v>
      </c>
      <c r="I37" s="263">
        <v>0</v>
      </c>
      <c r="J37" s="263">
        <v>0</v>
      </c>
      <c r="K37" s="263">
        <v>0</v>
      </c>
      <c r="L37" s="263">
        <v>0</v>
      </c>
      <c r="M37" s="263">
        <v>0</v>
      </c>
      <c r="N37" s="263">
        <v>0</v>
      </c>
      <c r="O37" s="263">
        <v>0</v>
      </c>
      <c r="P37" s="263">
        <v>0</v>
      </c>
      <c r="Q37" s="263">
        <v>0</v>
      </c>
      <c r="R37" s="263">
        <v>0</v>
      </c>
      <c r="S37" s="263">
        <v>0</v>
      </c>
      <c r="T37" s="263">
        <v>0</v>
      </c>
      <c r="U37" s="263">
        <v>0</v>
      </c>
      <c r="V37" s="263">
        <v>0</v>
      </c>
      <c r="W37" s="263">
        <v>0</v>
      </c>
      <c r="X37" s="263">
        <v>0</v>
      </c>
      <c r="Y37" s="263">
        <v>0</v>
      </c>
      <c r="Z37" s="263">
        <v>0</v>
      </c>
      <c r="AA37" s="263">
        <v>0</v>
      </c>
      <c r="AB37" s="263">
        <v>0</v>
      </c>
      <c r="AC37" s="261">
        <v>1</v>
      </c>
      <c r="AD37" s="262"/>
      <c r="AE37" s="262"/>
      <c r="AF37" s="262"/>
    </row>
    <row r="38">
      <c r="A38" s="255" t="s">
        <v>130</v>
      </c>
      <c r="B38" s="255" t="s">
        <v>127</v>
      </c>
      <c r="C38" s="263">
        <v>0</v>
      </c>
      <c r="D38" s="263">
        <v>0</v>
      </c>
      <c r="E38" s="263">
        <v>0</v>
      </c>
      <c r="F38" s="263">
        <v>0</v>
      </c>
      <c r="G38" s="263">
        <v>0</v>
      </c>
      <c r="H38" s="263">
        <v>0</v>
      </c>
      <c r="I38" s="263">
        <v>0</v>
      </c>
      <c r="J38" s="263">
        <v>0</v>
      </c>
      <c r="K38" s="263">
        <v>0</v>
      </c>
      <c r="L38" s="263">
        <v>0</v>
      </c>
      <c r="M38" s="263">
        <v>0</v>
      </c>
      <c r="N38" s="263">
        <v>0</v>
      </c>
      <c r="O38" s="263">
        <v>0</v>
      </c>
      <c r="P38" s="263">
        <v>0</v>
      </c>
      <c r="Q38" s="263">
        <v>0</v>
      </c>
      <c r="R38" s="263">
        <v>0</v>
      </c>
      <c r="S38" s="263">
        <v>0</v>
      </c>
      <c r="T38" s="263">
        <v>0</v>
      </c>
      <c r="U38" s="263">
        <v>0</v>
      </c>
      <c r="V38" s="263">
        <v>0</v>
      </c>
      <c r="W38" s="263">
        <v>0</v>
      </c>
      <c r="X38" s="263">
        <v>0</v>
      </c>
      <c r="Y38" s="263">
        <v>0</v>
      </c>
      <c r="Z38" s="263">
        <v>0</v>
      </c>
      <c r="AA38" s="263">
        <v>0</v>
      </c>
      <c r="AB38" s="263">
        <v>0</v>
      </c>
      <c r="AC38" s="263">
        <v>0</v>
      </c>
      <c r="AD38" s="261">
        <v>1</v>
      </c>
      <c r="AE38" s="262"/>
      <c r="AF38" s="262"/>
    </row>
    <row r="39">
      <c r="A39" s="255" t="s">
        <v>130</v>
      </c>
      <c r="B39" s="255" t="s">
        <v>128</v>
      </c>
      <c r="C39" s="263">
        <v>0</v>
      </c>
      <c r="D39" s="263">
        <v>0</v>
      </c>
      <c r="E39" s="263">
        <v>0</v>
      </c>
      <c r="F39" s="263">
        <v>0</v>
      </c>
      <c r="G39" s="263">
        <v>0</v>
      </c>
      <c r="H39" s="263">
        <v>0</v>
      </c>
      <c r="I39" s="263">
        <v>0</v>
      </c>
      <c r="J39" s="263">
        <v>0</v>
      </c>
      <c r="K39" s="263">
        <v>0</v>
      </c>
      <c r="L39" s="263">
        <v>0</v>
      </c>
      <c r="M39" s="263">
        <v>0</v>
      </c>
      <c r="N39" s="263">
        <v>0</v>
      </c>
      <c r="O39" s="263">
        <v>0</v>
      </c>
      <c r="P39" s="263">
        <v>0</v>
      </c>
      <c r="Q39" s="263">
        <v>0</v>
      </c>
      <c r="R39" s="263">
        <v>0</v>
      </c>
      <c r="S39" s="263">
        <v>0</v>
      </c>
      <c r="T39" s="263">
        <v>0</v>
      </c>
      <c r="U39" s="263">
        <v>0</v>
      </c>
      <c r="V39" s="263">
        <v>0</v>
      </c>
      <c r="W39" s="263">
        <v>0</v>
      </c>
      <c r="X39" s="263">
        <v>0</v>
      </c>
      <c r="Y39" s="263">
        <v>0</v>
      </c>
      <c r="Z39" s="263">
        <v>0</v>
      </c>
      <c r="AA39" s="263">
        <v>0</v>
      </c>
      <c r="AB39" s="263">
        <v>0</v>
      </c>
      <c r="AC39" s="263">
        <v>0</v>
      </c>
      <c r="AD39" s="263">
        <v>0</v>
      </c>
      <c r="AE39" s="261">
        <v>1</v>
      </c>
      <c r="AF39" s="262"/>
    </row>
    <row r="40">
      <c r="A40" s="255" t="s">
        <v>130</v>
      </c>
      <c r="B40" s="255" t="s">
        <v>129</v>
      </c>
      <c r="C40" s="263">
        <v>0</v>
      </c>
      <c r="D40" s="263">
        <v>0</v>
      </c>
      <c r="E40" s="263">
        <v>0</v>
      </c>
      <c r="F40" s="263">
        <v>0</v>
      </c>
      <c r="G40" s="263">
        <v>0</v>
      </c>
      <c r="H40" s="263">
        <v>0</v>
      </c>
      <c r="I40" s="263">
        <v>0</v>
      </c>
      <c r="J40" s="263">
        <v>0</v>
      </c>
      <c r="K40" s="263">
        <v>0</v>
      </c>
      <c r="L40" s="263">
        <v>0</v>
      </c>
      <c r="M40" s="263">
        <v>0</v>
      </c>
      <c r="N40" s="263">
        <v>0</v>
      </c>
      <c r="O40" s="263">
        <v>0</v>
      </c>
      <c r="P40" s="263">
        <v>0</v>
      </c>
      <c r="Q40" s="263">
        <v>0</v>
      </c>
      <c r="R40" s="263">
        <v>0</v>
      </c>
      <c r="S40" s="263">
        <v>0</v>
      </c>
      <c r="T40" s="263">
        <v>0</v>
      </c>
      <c r="U40" s="263">
        <v>0</v>
      </c>
      <c r="V40" s="263">
        <v>0</v>
      </c>
      <c r="W40" s="263">
        <v>0</v>
      </c>
      <c r="X40" s="263">
        <v>0</v>
      </c>
      <c r="Y40" s="263">
        <v>0</v>
      </c>
      <c r="Z40" s="263">
        <v>0</v>
      </c>
      <c r="AA40" s="263">
        <v>0</v>
      </c>
      <c r="AB40" s="263">
        <v>0</v>
      </c>
      <c r="AC40" s="263">
        <v>0</v>
      </c>
      <c r="AD40" s="263">
        <v>0</v>
      </c>
      <c r="AE40" s="263">
        <v>0</v>
      </c>
      <c r="AF40" s="261">
        <v>1</v>
      </c>
    </row>
  </sheetData>
  <mergeCells>
    <mergeCell ref="A1:AF1"/>
    <mergeCell ref="A2:AF2"/>
  </mergeCells>
  <conditionalFormatting sqref="B8">
    <cfRule type="cellIs" dxfId="1" priority="1" operator="equal">
      <formula>"Negative"</formula>
    </cfRule>
  </conditionalFormatting>
  <dataValidations count="1">
    <dataValidation type="decimal" allowBlank="1" showInputMessage="1" showErrorMessage="1" errorTitle="Error" error="Correlation coefficient should be greater than or equal to -1.0 and less than or equal to 1.0." sqref="C11:AF40">
      <formula1>-1</formula1>
      <formula2>1</formula2>
    </dataValidation>
  </dataValidations>
  <pageMargins left="0.7" right="0.7" top="0.75" bottom="0.75" header="0.3" footer="0.3"/>
  <pageSetup orientation="portrait" r:id="flId1"/>
  <drawing r:id="flId2"/>
</worksheet>
</file>

<file path=xl/worksheets/sheet4.xml><?xml version="1.0" encoding="utf-8"?>
<worksheet xmlns:r="http://schemas.openxmlformats.org/officeDocument/2006/relationships" xmlns="http://schemas.openxmlformats.org/spreadsheetml/2006/main">
  <dimension ref="A1:CD42"/>
  <sheetViews>
    <sheetView topLeftCell="A1" zoomScale="75" zoomScaleNormal="75" workbookViewId="0">
      <pane xSplit="2" ySplit="10" topLeftCell="C11" activePane="bottomRight" state="frozen"/>
      <selection pane="bottomRight" activeCell="A1" sqref="A1:AE1"/>
    </sheetView>
  </sheetViews>
  <sheetFormatPr defaultColWidth="9" defaultRowHeight="14.25"/>
  <cols>
    <col min="1" max="2" width="20.625" customWidth="1"/>
    <col min="3" max="33" width="14.625" customWidth="1"/>
    <col min="53" max="82" width="0" hidden="1" customWidth="1"/>
  </cols>
  <sheetData>
    <row r="1" ht="30" customHeight="1">
      <c r="A1" s="305" t="s">
        <v>54</v>
      </c>
      <c r="B1" s="306"/>
      <c r="C1" s="306"/>
      <c r="D1" s="306"/>
      <c r="E1" s="306"/>
      <c r="F1" s="306"/>
      <c r="G1" s="306"/>
      <c r="H1" s="306"/>
      <c r="I1" s="306"/>
      <c r="J1" s="306"/>
      <c r="K1" s="306"/>
      <c r="L1" s="306"/>
      <c r="M1" s="306"/>
      <c r="N1" s="306"/>
      <c r="O1" s="306"/>
      <c r="P1" s="306"/>
      <c r="Q1" s="306"/>
      <c r="R1" s="306"/>
      <c r="S1" s="306"/>
      <c r="T1" s="306"/>
      <c r="U1" s="306"/>
      <c r="V1" s="306"/>
      <c r="W1" s="306"/>
      <c r="X1" s="306"/>
      <c r="Y1" s="306"/>
      <c r="Z1" s="306"/>
      <c r="AA1" s="306"/>
      <c r="AB1" s="306"/>
      <c r="AC1" s="306"/>
      <c r="AD1" s="306"/>
      <c r="AE1" s="306"/>
      <c r="AF1" s="207"/>
      <c r="AG1" s="208"/>
    </row>
    <row r="2" ht="35.1" customHeight="1">
      <c r="A2" s="209"/>
      <c r="B2" s="223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308" t="s">
        <v>199</v>
      </c>
      <c r="O2" s="308"/>
      <c r="P2" s="308"/>
      <c r="Q2" s="308"/>
      <c r="R2" s="223"/>
      <c r="S2" s="223"/>
      <c r="T2" s="223"/>
      <c r="U2" s="223"/>
      <c r="V2" s="223"/>
      <c r="W2" s="223"/>
      <c r="X2" s="223"/>
      <c r="Y2" s="223"/>
      <c r="Z2" s="223"/>
      <c r="AA2" s="224"/>
      <c r="AB2" s="224"/>
      <c r="AC2" s="224"/>
      <c r="AD2" s="224"/>
      <c r="AE2" s="224"/>
      <c r="AF2" s="224"/>
      <c r="AG2" s="210"/>
    </row>
    <row r="3" ht="15" customHeight="1">
      <c r="A3" s="211" t="s">
        <v>0</v>
      </c>
      <c r="B3" s="225" t="s">
        <v>140</v>
      </c>
      <c r="C3" s="225"/>
      <c r="D3" s="226"/>
      <c r="E3" s="226"/>
      <c r="F3" s="226"/>
      <c r="G3" s="227"/>
      <c r="H3" s="227"/>
      <c r="I3" s="223"/>
      <c r="J3" s="223"/>
      <c r="K3" s="223"/>
      <c r="L3" s="223"/>
      <c r="M3" s="228"/>
      <c r="N3" s="223"/>
      <c r="O3" s="223"/>
      <c r="P3" s="223"/>
      <c r="Q3" s="223"/>
      <c r="R3" s="223"/>
      <c r="S3" s="223"/>
      <c r="T3" s="223"/>
      <c r="U3" s="223"/>
      <c r="V3" s="223"/>
      <c r="W3" s="223"/>
      <c r="X3" s="223"/>
      <c r="Y3" s="223"/>
      <c r="Z3" s="223"/>
      <c r="AA3" s="223"/>
      <c r="AB3" s="223"/>
      <c r="AC3" s="223"/>
      <c r="AD3" s="223"/>
      <c r="AE3" s="223"/>
      <c r="AF3" s="224"/>
      <c r="AG3" s="210"/>
    </row>
    <row r="4" ht="15" customHeight="1">
      <c r="A4" s="212" t="s">
        <v>1</v>
      </c>
      <c r="B4" s="229" t="s">
        <v>141</v>
      </c>
      <c r="C4" s="229"/>
      <c r="D4" s="230" t="s">
        <v>2</v>
      </c>
      <c r="E4" s="229" t="s">
        <v>144</v>
      </c>
      <c r="F4" s="226"/>
      <c r="G4" s="227"/>
      <c r="H4" s="231"/>
      <c r="I4" s="223"/>
      <c r="J4" s="223"/>
      <c r="K4" s="223"/>
      <c r="L4" s="223"/>
      <c r="M4" s="223"/>
      <c r="N4" s="223"/>
      <c r="O4" s="223"/>
      <c r="P4" s="223"/>
      <c r="Q4" s="223"/>
      <c r="R4" s="223"/>
      <c r="S4" s="223"/>
      <c r="T4" s="223"/>
      <c r="U4" s="223"/>
      <c r="V4" s="223"/>
      <c r="W4" s="224"/>
      <c r="X4" s="224"/>
      <c r="Y4" s="224"/>
      <c r="Z4" s="224"/>
      <c r="AA4" s="224"/>
      <c r="AB4" s="224"/>
      <c r="AC4" s="224"/>
      <c r="AD4" s="224"/>
      <c r="AE4" s="224"/>
      <c r="AF4" s="224"/>
      <c r="AG4" s="210"/>
    </row>
    <row r="5" ht="15" customHeight="1">
      <c r="A5" s="211" t="s">
        <v>3</v>
      </c>
      <c r="B5" s="225" t="s">
        <v>142</v>
      </c>
      <c r="C5" s="225"/>
      <c r="D5" s="232" t="s">
        <v>4</v>
      </c>
      <c r="E5" s="229" t="s">
        <v>145</v>
      </c>
      <c r="F5" s="231"/>
      <c r="G5" s="231"/>
      <c r="H5" s="231"/>
      <c r="I5" s="223"/>
      <c r="J5" s="223"/>
      <c r="K5" s="223"/>
      <c r="L5" s="223"/>
      <c r="M5" s="223"/>
      <c r="N5" s="223"/>
      <c r="O5" s="223"/>
      <c r="P5" s="223"/>
      <c r="Q5" s="223"/>
      <c r="R5" s="223"/>
      <c r="S5" s="223"/>
      <c r="T5" s="223"/>
      <c r="U5" s="223"/>
      <c r="V5" s="223"/>
      <c r="W5" s="224"/>
      <c r="X5" s="224"/>
      <c r="Y5" s="224"/>
      <c r="Z5" s="224"/>
      <c r="AA5" s="224"/>
      <c r="AB5" s="224"/>
      <c r="AC5" s="224"/>
      <c r="AD5" s="224"/>
      <c r="AE5" s="224"/>
      <c r="AF5" s="224"/>
      <c r="AG5" s="210"/>
    </row>
    <row r="6" ht="15" customHeight="1">
      <c r="A6" s="211" t="s">
        <v>6</v>
      </c>
      <c r="B6" s="225" t="s">
        <v>143</v>
      </c>
      <c r="C6" s="225"/>
      <c r="D6" s="232" t="s">
        <v>7</v>
      </c>
      <c r="E6" s="225" t="s">
        <v>146</v>
      </c>
      <c r="F6" s="231"/>
      <c r="G6" s="231"/>
      <c r="H6" s="231"/>
      <c r="I6" s="223"/>
      <c r="J6" s="223"/>
      <c r="K6" s="223"/>
      <c r="L6" s="223"/>
      <c r="M6" s="223"/>
      <c r="N6" s="223"/>
      <c r="O6" s="223"/>
      <c r="P6" s="223"/>
      <c r="Q6" s="223"/>
      <c r="R6" s="223"/>
      <c r="S6" s="223"/>
      <c r="T6" s="223"/>
      <c r="U6" s="223"/>
      <c r="V6" s="223"/>
      <c r="W6" s="224"/>
      <c r="X6" s="224"/>
      <c r="Y6" s="224"/>
      <c r="Z6" s="224"/>
      <c r="AA6" s="224"/>
      <c r="AB6" s="224"/>
      <c r="AC6" s="224"/>
      <c r="AD6" s="224"/>
      <c r="AE6" s="224"/>
      <c r="AF6" s="224"/>
      <c r="AG6" s="210"/>
    </row>
    <row r="7" ht="15" customHeight="1">
      <c r="A7" s="213" t="s">
        <v>8</v>
      </c>
      <c r="B7" s="225" t="s">
        <v>148</v>
      </c>
      <c r="C7" s="225"/>
      <c r="D7" s="232" t="s">
        <v>5</v>
      </c>
      <c r="E7" s="229" t="s">
        <v>147</v>
      </c>
      <c r="F7" s="231"/>
      <c r="G7" s="231"/>
      <c r="H7" s="231"/>
      <c r="I7" s="223"/>
      <c r="J7" s="223"/>
      <c r="K7" s="223"/>
      <c r="L7" s="223"/>
      <c r="M7" s="223"/>
      <c r="N7" s="223"/>
      <c r="O7" s="223"/>
      <c r="P7" s="223"/>
      <c r="Q7" s="223"/>
      <c r="R7" s="223"/>
      <c r="S7" s="223"/>
      <c r="T7" s="223"/>
      <c r="U7" s="223"/>
      <c r="V7" s="223"/>
      <c r="W7" s="224"/>
      <c r="X7" s="224"/>
      <c r="Y7" s="224"/>
      <c r="Z7" s="224"/>
      <c r="AA7" s="224"/>
      <c r="AB7" s="224"/>
      <c r="AC7" s="224"/>
      <c r="AD7" s="224"/>
      <c r="AE7" s="224"/>
      <c r="AF7" s="224"/>
      <c r="AG7" s="210"/>
    </row>
    <row r="8" ht="15" customHeight="1">
      <c r="A8" s="242" t="s">
        <v>200</v>
      </c>
      <c r="B8" s="214" t="str">
        <f ca="1">IF(MIN(AG11:AG40)&gt;0,"Positive","Negative")</f>
        <v>Positive</v>
      </c>
      <c r="C8" s="214"/>
      <c r="D8" s="215"/>
      <c r="E8" s="216"/>
      <c r="F8" s="217"/>
      <c r="G8" s="217"/>
      <c r="H8" s="217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9"/>
      <c r="AG8" s="220"/>
    </row>
    <row r="9" ht="15" customHeight="1">
      <c r="A9" s="243" t="s">
        <v>10</v>
      </c>
      <c r="B9" s="243"/>
      <c r="C9" s="244" t="s">
        <v>93</v>
      </c>
      <c r="D9" s="244" t="s">
        <v>92</v>
      </c>
      <c r="E9" s="244" t="s">
        <v>91</v>
      </c>
      <c r="F9" s="244" t="s">
        <v>90</v>
      </c>
      <c r="G9" s="244" t="s">
        <v>89</v>
      </c>
      <c r="H9" s="244" t="s">
        <v>88</v>
      </c>
      <c r="I9" s="244" t="s">
        <v>87</v>
      </c>
      <c r="J9" s="244" t="s">
        <v>86</v>
      </c>
      <c r="K9" s="245" t="s">
        <v>93</v>
      </c>
      <c r="L9" s="245" t="s">
        <v>92</v>
      </c>
      <c r="M9" s="245" t="s">
        <v>91</v>
      </c>
      <c r="N9" s="245" t="s">
        <v>90</v>
      </c>
      <c r="O9" s="245" t="s">
        <v>89</v>
      </c>
      <c r="P9" s="245" t="s">
        <v>88</v>
      </c>
      <c r="Q9" s="245" t="s">
        <v>87</v>
      </c>
      <c r="R9" s="245" t="s">
        <v>86</v>
      </c>
      <c r="S9" s="246" t="s">
        <v>93</v>
      </c>
      <c r="T9" s="246" t="s">
        <v>92</v>
      </c>
      <c r="U9" s="246" t="s">
        <v>91</v>
      </c>
      <c r="V9" s="246" t="s">
        <v>90</v>
      </c>
      <c r="W9" s="246" t="s">
        <v>89</v>
      </c>
      <c r="X9" s="246" t="s">
        <v>88</v>
      </c>
      <c r="Y9" s="246" t="s">
        <v>87</v>
      </c>
      <c r="Z9" s="246" t="s">
        <v>86</v>
      </c>
      <c r="AA9" s="247" t="s">
        <v>130</v>
      </c>
      <c r="AB9" s="247" t="s">
        <v>130</v>
      </c>
      <c r="AC9" s="247" t="s">
        <v>130</v>
      </c>
      <c r="AD9" s="247" t="s">
        <v>130</v>
      </c>
      <c r="AE9" s="247" t="s">
        <v>130</v>
      </c>
      <c r="AF9" s="247" t="s">
        <v>130</v>
      </c>
      <c r="AG9" s="307" t="s">
        <v>208</v>
      </c>
    </row>
    <row r="10" ht="25.5">
      <c r="A10" s="243"/>
      <c r="B10" s="243" t="s">
        <v>75</v>
      </c>
      <c r="C10" s="248" t="s">
        <v>95</v>
      </c>
      <c r="D10" s="248" t="s">
        <v>95</v>
      </c>
      <c r="E10" s="248" t="s">
        <v>95</v>
      </c>
      <c r="F10" s="248" t="s">
        <v>95</v>
      </c>
      <c r="G10" s="248" t="s">
        <v>95</v>
      </c>
      <c r="H10" s="248" t="s">
        <v>95</v>
      </c>
      <c r="I10" s="248" t="s">
        <v>95</v>
      </c>
      <c r="J10" s="248" t="s">
        <v>95</v>
      </c>
      <c r="K10" s="249" t="s">
        <v>94</v>
      </c>
      <c r="L10" s="249" t="s">
        <v>94</v>
      </c>
      <c r="M10" s="249" t="s">
        <v>94</v>
      </c>
      <c r="N10" s="249" t="s">
        <v>94</v>
      </c>
      <c r="O10" s="249" t="s">
        <v>94</v>
      </c>
      <c r="P10" s="249" t="s">
        <v>94</v>
      </c>
      <c r="Q10" s="249" t="s">
        <v>94</v>
      </c>
      <c r="R10" s="249" t="s">
        <v>94</v>
      </c>
      <c r="S10" s="250" t="s">
        <v>85</v>
      </c>
      <c r="T10" s="250" t="s">
        <v>85</v>
      </c>
      <c r="U10" s="250" t="s">
        <v>85</v>
      </c>
      <c r="V10" s="250" t="s">
        <v>85</v>
      </c>
      <c r="W10" s="250" t="s">
        <v>85</v>
      </c>
      <c r="X10" s="250" t="s">
        <v>85</v>
      </c>
      <c r="Y10" s="250" t="s">
        <v>85</v>
      </c>
      <c r="Z10" s="250" t="s">
        <v>85</v>
      </c>
      <c r="AA10" s="251" t="s">
        <v>113</v>
      </c>
      <c r="AB10" s="251" t="s">
        <v>126</v>
      </c>
      <c r="AC10" s="251" t="s">
        <v>119</v>
      </c>
      <c r="AD10" s="251" t="s">
        <v>127</v>
      </c>
      <c r="AE10" s="251" t="s">
        <v>128</v>
      </c>
      <c r="AF10" s="251" t="s">
        <v>129</v>
      </c>
      <c r="AG10" s="307"/>
    </row>
    <row r="11">
      <c r="A11" s="252" t="s">
        <v>93</v>
      </c>
      <c r="B11" s="252" t="s">
        <v>95</v>
      </c>
      <c r="C11" s="240">
        <v>1</v>
      </c>
      <c r="D11" s="240">
        <f>BB11+'User Input - Correlations'!D11</f>
        <v>0</v>
      </c>
      <c r="E11" s="240">
        <f>BC11+'User Input - Correlations'!E11</f>
        <v>0</v>
      </c>
      <c r="F11" s="240">
        <f>BD11+'User Input - Correlations'!F11</f>
        <v>0</v>
      </c>
      <c r="G11" s="240">
        <f>BE11+'User Input - Correlations'!G11</f>
        <v>0</v>
      </c>
      <c r="H11" s="240">
        <f>BF11+'User Input - Correlations'!H11</f>
        <v>0</v>
      </c>
      <c r="I11" s="240">
        <f>BG11+'User Input - Correlations'!I11</f>
        <v>0</v>
      </c>
      <c r="J11" s="240">
        <f>BH11+'User Input - Correlations'!J11</f>
        <v>0</v>
      </c>
      <c r="K11" s="240">
        <f>BI11+'User Input - Correlations'!K11</f>
        <v>0</v>
      </c>
      <c r="L11" s="240">
        <f>BJ11+'User Input - Correlations'!L11</f>
        <v>0</v>
      </c>
      <c r="M11" s="240">
        <f>BK11+'User Input - Correlations'!M11</f>
        <v>0</v>
      </c>
      <c r="N11" s="240">
        <f>BL11+'User Input - Correlations'!N11</f>
        <v>0</v>
      </c>
      <c r="O11" s="240">
        <f>BM11+'User Input - Correlations'!O11</f>
        <v>0</v>
      </c>
      <c r="P11" s="240">
        <f>BN11+'User Input - Correlations'!P11</f>
        <v>0</v>
      </c>
      <c r="Q11" s="240">
        <f>BO11+'User Input - Correlations'!Q11</f>
        <v>0</v>
      </c>
      <c r="R11" s="240">
        <f>BP11+'User Input - Correlations'!R11</f>
        <v>0</v>
      </c>
      <c r="S11" s="240">
        <f>BQ11+'User Input - Correlations'!S11</f>
        <v>0</v>
      </c>
      <c r="T11" s="240">
        <f>BR11+'User Input - Correlations'!T11</f>
        <v>0</v>
      </c>
      <c r="U11" s="240">
        <f>BS11+'User Input - Correlations'!U11</f>
        <v>0</v>
      </c>
      <c r="V11" s="240">
        <f>BT11+'User Input - Correlations'!V11</f>
        <v>0</v>
      </c>
      <c r="W11" s="240">
        <f>BU11+'User Input - Correlations'!W11</f>
        <v>0</v>
      </c>
      <c r="X11" s="240">
        <f>BV11+'User Input - Correlations'!X11</f>
        <v>0</v>
      </c>
      <c r="Y11" s="240">
        <f>BW11+'User Input - Correlations'!Y11</f>
        <v>0</v>
      </c>
      <c r="Z11" s="240">
        <f>BX11+'User Input - Correlations'!Z11</f>
        <v>0</v>
      </c>
      <c r="AA11" s="240">
        <f>BY11+'User Input - Correlations'!AA11</f>
        <v>0</v>
      </c>
      <c r="AB11" s="240">
        <f>BZ11+'User Input - Correlations'!AB11</f>
        <v>0</v>
      </c>
      <c r="AC11" s="240">
        <f>CA11+'User Input - Correlations'!AC11</f>
        <v>0</v>
      </c>
      <c r="AD11" s="240">
        <f>CB11+'User Input - Correlations'!AD11</f>
        <v>0</v>
      </c>
      <c r="AE11" s="240">
        <f>CC11+'User Input - Correlations'!AE11</f>
        <v>0</v>
      </c>
      <c r="AF11" s="240">
        <f>CD11+'User Input - Correlations'!AF11</f>
        <v>0</v>
      </c>
      <c r="AG11" s="241">
        <f ca="1">MDETERM(OFFSET($C$11,0,0,ROWS($AG$11:$AG11),ROWS($AG$11:$AG11)))</f>
        <v>1</v>
      </c>
      <c r="BA11" s="221">
        <f t="array" ref="BA11:CD40">TRANSPOSE('User Input - Correlations'!C11:AF40)</f>
        <v>1</v>
      </c>
      <c r="BB11" s="221">
        <v>0</v>
      </c>
      <c r="BC11" s="221">
        <v>0</v>
      </c>
      <c r="BD11" s="221">
        <v>0</v>
      </c>
      <c r="BE11" s="221">
        <v>0</v>
      </c>
      <c r="BF11" s="221">
        <v>0</v>
      </c>
      <c r="BG11" s="221">
        <v>0</v>
      </c>
      <c r="BH11" s="221">
        <v>0</v>
      </c>
      <c r="BI11" s="221">
        <v>0</v>
      </c>
      <c r="BJ11" s="221">
        <v>0</v>
      </c>
      <c r="BK11" s="221">
        <v>0</v>
      </c>
      <c r="BL11" s="221">
        <v>0</v>
      </c>
      <c r="BM11" s="221">
        <v>0</v>
      </c>
      <c r="BN11" s="221">
        <v>0</v>
      </c>
      <c r="BO11" s="221">
        <v>0</v>
      </c>
      <c r="BP11" s="221">
        <v>0</v>
      </c>
      <c r="BQ11" s="221">
        <v>0</v>
      </c>
      <c r="BR11" s="221">
        <v>0</v>
      </c>
      <c r="BS11" s="221">
        <v>0</v>
      </c>
      <c r="BT11" s="221">
        <v>0</v>
      </c>
      <c r="BU11" s="221">
        <v>0</v>
      </c>
      <c r="BV11" s="221">
        <v>0</v>
      </c>
      <c r="BW11" s="221">
        <v>0</v>
      </c>
      <c r="BX11" s="221">
        <v>0</v>
      </c>
      <c r="BY11" s="221">
        <v>0</v>
      </c>
      <c r="BZ11" s="221">
        <v>0</v>
      </c>
      <c r="CA11" s="221">
        <v>0</v>
      </c>
      <c r="CB11" s="221">
        <v>0</v>
      </c>
      <c r="CC11" s="221">
        <v>0</v>
      </c>
      <c r="CD11" s="221">
        <v>0</v>
      </c>
    </row>
    <row r="12">
      <c r="A12" s="252" t="s">
        <v>92</v>
      </c>
      <c r="B12" s="252" t="s">
        <v>95</v>
      </c>
      <c r="C12" s="240">
        <f>BA12+'User Input - Correlations'!C12</f>
        <v>0</v>
      </c>
      <c r="D12" s="240">
        <v>1</v>
      </c>
      <c r="E12" s="240">
        <f>BC12+'User Input - Correlations'!E12</f>
        <v>0</v>
      </c>
      <c r="F12" s="240">
        <f>BD12+'User Input - Correlations'!F12</f>
        <v>0</v>
      </c>
      <c r="G12" s="240">
        <f>BE12+'User Input - Correlations'!G12</f>
        <v>0</v>
      </c>
      <c r="H12" s="240">
        <f>BF12+'User Input - Correlations'!H12</f>
        <v>0</v>
      </c>
      <c r="I12" s="240">
        <f>BG12+'User Input - Correlations'!I12</f>
        <v>0</v>
      </c>
      <c r="J12" s="240">
        <f>BH12+'User Input - Correlations'!J12</f>
        <v>0</v>
      </c>
      <c r="K12" s="240">
        <f>BI12+'User Input - Correlations'!K12</f>
        <v>0</v>
      </c>
      <c r="L12" s="240">
        <f>BJ12+'User Input - Correlations'!L12</f>
        <v>0</v>
      </c>
      <c r="M12" s="240">
        <f>BK12+'User Input - Correlations'!M12</f>
        <v>0</v>
      </c>
      <c r="N12" s="240">
        <f>BL12+'User Input - Correlations'!N12</f>
        <v>0</v>
      </c>
      <c r="O12" s="240">
        <f>BM12+'User Input - Correlations'!O12</f>
        <v>0</v>
      </c>
      <c r="P12" s="240">
        <f>BN12+'User Input - Correlations'!P12</f>
        <v>0</v>
      </c>
      <c r="Q12" s="240">
        <f>BO12+'User Input - Correlations'!Q12</f>
        <v>0</v>
      </c>
      <c r="R12" s="240">
        <f>BP12+'User Input - Correlations'!R12</f>
        <v>0</v>
      </c>
      <c r="S12" s="240">
        <f>BQ12+'User Input - Correlations'!S12</f>
        <v>0</v>
      </c>
      <c r="T12" s="240">
        <f>BR12+'User Input - Correlations'!T12</f>
        <v>0</v>
      </c>
      <c r="U12" s="240">
        <f>BS12+'User Input - Correlations'!U12</f>
        <v>0</v>
      </c>
      <c r="V12" s="240">
        <f>BT12+'User Input - Correlations'!V12</f>
        <v>0</v>
      </c>
      <c r="W12" s="240">
        <f>BU12+'User Input - Correlations'!W12</f>
        <v>0</v>
      </c>
      <c r="X12" s="240">
        <f>BV12+'User Input - Correlations'!X12</f>
        <v>0</v>
      </c>
      <c r="Y12" s="240">
        <f>BW12+'User Input - Correlations'!Y12</f>
        <v>0</v>
      </c>
      <c r="Z12" s="240">
        <f>BX12+'User Input - Correlations'!Z12</f>
        <v>0</v>
      </c>
      <c r="AA12" s="240">
        <f>BY12+'User Input - Correlations'!AA12</f>
        <v>0</v>
      </c>
      <c r="AB12" s="240">
        <f>BZ12+'User Input - Correlations'!AB12</f>
        <v>0</v>
      </c>
      <c r="AC12" s="240">
        <f>CA12+'User Input - Correlations'!AC12</f>
        <v>0</v>
      </c>
      <c r="AD12" s="240">
        <f>CB12+'User Input - Correlations'!AD12</f>
        <v>0</v>
      </c>
      <c r="AE12" s="240">
        <f>CC12+'User Input - Correlations'!AE12</f>
        <v>0</v>
      </c>
      <c r="AF12" s="240">
        <f>CD12+'User Input - Correlations'!AF12</f>
        <v>0</v>
      </c>
      <c r="AG12" s="241">
        <f ca="1">MDETERM(OFFSET($C$11,0,0,ROWS($AG$11:$AG12),ROWS($AG$11:$AG12)))</f>
        <v>1</v>
      </c>
      <c r="BA12" s="221">
        <v>0</v>
      </c>
      <c r="BB12" s="221">
        <v>1</v>
      </c>
      <c r="BC12" s="221">
        <v>0</v>
      </c>
      <c r="BD12" s="221">
        <v>0</v>
      </c>
      <c r="BE12" s="221">
        <v>0</v>
      </c>
      <c r="BF12" s="221">
        <v>0</v>
      </c>
      <c r="BG12" s="221">
        <v>0</v>
      </c>
      <c r="BH12" s="221">
        <v>0</v>
      </c>
      <c r="BI12" s="221">
        <v>0</v>
      </c>
      <c r="BJ12" s="221">
        <v>0</v>
      </c>
      <c r="BK12" s="221">
        <v>0</v>
      </c>
      <c r="BL12" s="221">
        <v>0</v>
      </c>
      <c r="BM12" s="221">
        <v>0</v>
      </c>
      <c r="BN12" s="221">
        <v>0</v>
      </c>
      <c r="BO12" s="221">
        <v>0</v>
      </c>
      <c r="BP12" s="221">
        <v>0</v>
      </c>
      <c r="BQ12" s="221">
        <v>0</v>
      </c>
      <c r="BR12" s="221">
        <v>0</v>
      </c>
      <c r="BS12" s="221">
        <v>0</v>
      </c>
      <c r="BT12" s="221">
        <v>0</v>
      </c>
      <c r="BU12" s="221">
        <v>0</v>
      </c>
      <c r="BV12" s="221">
        <v>0</v>
      </c>
      <c r="BW12" s="221">
        <v>0</v>
      </c>
      <c r="BX12" s="221">
        <v>0</v>
      </c>
      <c r="BY12" s="221">
        <v>0</v>
      </c>
      <c r="BZ12" s="221">
        <v>0</v>
      </c>
      <c r="CA12" s="221">
        <v>0</v>
      </c>
      <c r="CB12" s="221">
        <v>0</v>
      </c>
      <c r="CC12" s="221">
        <v>0</v>
      </c>
      <c r="CD12" s="221">
        <v>0</v>
      </c>
    </row>
    <row r="13">
      <c r="A13" s="252" t="s">
        <v>91</v>
      </c>
      <c r="B13" s="252" t="s">
        <v>95</v>
      </c>
      <c r="C13" s="240">
        <f>BA13+'User Input - Correlations'!C13</f>
        <v>0</v>
      </c>
      <c r="D13" s="240">
        <f>BB13+'User Input - Correlations'!D13</f>
        <v>0</v>
      </c>
      <c r="E13" s="240">
        <v>1</v>
      </c>
      <c r="F13" s="240">
        <f>BD13+'User Input - Correlations'!F13</f>
        <v>0</v>
      </c>
      <c r="G13" s="240">
        <f>BE13+'User Input - Correlations'!G13</f>
        <v>0</v>
      </c>
      <c r="H13" s="240">
        <f>BF13+'User Input - Correlations'!H13</f>
        <v>0</v>
      </c>
      <c r="I13" s="240">
        <f>BG13+'User Input - Correlations'!I13</f>
        <v>0</v>
      </c>
      <c r="J13" s="240">
        <f>BH13+'User Input - Correlations'!J13</f>
        <v>0</v>
      </c>
      <c r="K13" s="240">
        <f>BI13+'User Input - Correlations'!K13</f>
        <v>0</v>
      </c>
      <c r="L13" s="240">
        <f>BJ13+'User Input - Correlations'!L13</f>
        <v>0</v>
      </c>
      <c r="M13" s="240">
        <f>BK13+'User Input - Correlations'!M13</f>
        <v>0</v>
      </c>
      <c r="N13" s="240">
        <f>BL13+'User Input - Correlations'!N13</f>
        <v>0</v>
      </c>
      <c r="O13" s="240">
        <f>BM13+'User Input - Correlations'!O13</f>
        <v>0</v>
      </c>
      <c r="P13" s="240">
        <f>BN13+'User Input - Correlations'!P13</f>
        <v>0</v>
      </c>
      <c r="Q13" s="240">
        <f>BO13+'User Input - Correlations'!Q13</f>
        <v>0</v>
      </c>
      <c r="R13" s="240">
        <f>BP13+'User Input - Correlations'!R13</f>
        <v>0</v>
      </c>
      <c r="S13" s="240">
        <f>BQ13+'User Input - Correlations'!S13</f>
        <v>0</v>
      </c>
      <c r="T13" s="240">
        <f>BR13+'User Input - Correlations'!T13</f>
        <v>0</v>
      </c>
      <c r="U13" s="240">
        <f>BS13+'User Input - Correlations'!U13</f>
        <v>0</v>
      </c>
      <c r="V13" s="240">
        <f>BT13+'User Input - Correlations'!V13</f>
        <v>0</v>
      </c>
      <c r="W13" s="240">
        <f>BU13+'User Input - Correlations'!W13</f>
        <v>0</v>
      </c>
      <c r="X13" s="240">
        <f>BV13+'User Input - Correlations'!X13</f>
        <v>0</v>
      </c>
      <c r="Y13" s="240">
        <f>BW13+'User Input - Correlations'!Y13</f>
        <v>0</v>
      </c>
      <c r="Z13" s="240">
        <f>BX13+'User Input - Correlations'!Z13</f>
        <v>0</v>
      </c>
      <c r="AA13" s="240">
        <f>BY13+'User Input - Correlations'!AA13</f>
        <v>0</v>
      </c>
      <c r="AB13" s="240">
        <f>BZ13+'User Input - Correlations'!AB13</f>
        <v>0</v>
      </c>
      <c r="AC13" s="240">
        <f>CA13+'User Input - Correlations'!AC13</f>
        <v>0</v>
      </c>
      <c r="AD13" s="240">
        <f>CB13+'User Input - Correlations'!AD13</f>
        <v>0</v>
      </c>
      <c r="AE13" s="240">
        <f>CC13+'User Input - Correlations'!AE13</f>
        <v>0</v>
      </c>
      <c r="AF13" s="240">
        <f>CD13+'User Input - Correlations'!AF13</f>
        <v>0</v>
      </c>
      <c r="AG13" s="241">
        <f ca="1">MDETERM(OFFSET($C$11,0,0,ROWS($AG$11:$AG13),ROWS($AG$11:$AG13)))</f>
        <v>1</v>
      </c>
      <c r="BA13" s="221">
        <v>0</v>
      </c>
      <c r="BB13" s="221">
        <v>0</v>
      </c>
      <c r="BC13" s="221">
        <v>1</v>
      </c>
      <c r="BD13" s="221">
        <v>0</v>
      </c>
      <c r="BE13" s="221">
        <v>0</v>
      </c>
      <c r="BF13" s="221">
        <v>0</v>
      </c>
      <c r="BG13" s="221">
        <v>0</v>
      </c>
      <c r="BH13" s="221">
        <v>0</v>
      </c>
      <c r="BI13" s="221">
        <v>0</v>
      </c>
      <c r="BJ13" s="221">
        <v>0</v>
      </c>
      <c r="BK13" s="221">
        <v>0</v>
      </c>
      <c r="BL13" s="221">
        <v>0</v>
      </c>
      <c r="BM13" s="221">
        <v>0</v>
      </c>
      <c r="BN13" s="221">
        <v>0</v>
      </c>
      <c r="BO13" s="221">
        <v>0</v>
      </c>
      <c r="BP13" s="221">
        <v>0</v>
      </c>
      <c r="BQ13" s="221">
        <v>0</v>
      </c>
      <c r="BR13" s="221">
        <v>0</v>
      </c>
      <c r="BS13" s="221">
        <v>0</v>
      </c>
      <c r="BT13" s="221">
        <v>0</v>
      </c>
      <c r="BU13" s="221">
        <v>0</v>
      </c>
      <c r="BV13" s="221">
        <v>0</v>
      </c>
      <c r="BW13" s="221">
        <v>0</v>
      </c>
      <c r="BX13" s="221">
        <v>0</v>
      </c>
      <c r="BY13" s="221">
        <v>0</v>
      </c>
      <c r="BZ13" s="221">
        <v>0</v>
      </c>
      <c r="CA13" s="221">
        <v>0</v>
      </c>
      <c r="CB13" s="221">
        <v>0</v>
      </c>
      <c r="CC13" s="221">
        <v>0</v>
      </c>
      <c r="CD13" s="221">
        <v>0</v>
      </c>
    </row>
    <row r="14">
      <c r="A14" s="252" t="s">
        <v>90</v>
      </c>
      <c r="B14" s="252" t="s">
        <v>95</v>
      </c>
      <c r="C14" s="240">
        <f>BA14+'User Input - Correlations'!C14</f>
        <v>0</v>
      </c>
      <c r="D14" s="240">
        <f>BB14+'User Input - Correlations'!D14</f>
        <v>0</v>
      </c>
      <c r="E14" s="240">
        <f>BC14+'User Input - Correlations'!E14</f>
        <v>0</v>
      </c>
      <c r="F14" s="240">
        <v>1</v>
      </c>
      <c r="G14" s="240">
        <f>BE14+'User Input - Correlations'!G14</f>
        <v>0</v>
      </c>
      <c r="H14" s="240">
        <f>BF14+'User Input - Correlations'!H14</f>
        <v>0</v>
      </c>
      <c r="I14" s="240">
        <f>BG14+'User Input - Correlations'!I14</f>
        <v>0</v>
      </c>
      <c r="J14" s="240">
        <f>BH14+'User Input - Correlations'!J14</f>
        <v>0</v>
      </c>
      <c r="K14" s="240">
        <f>BI14+'User Input - Correlations'!K14</f>
        <v>0</v>
      </c>
      <c r="L14" s="240">
        <f>BJ14+'User Input - Correlations'!L14</f>
        <v>0</v>
      </c>
      <c r="M14" s="240">
        <f>BK14+'User Input - Correlations'!M14</f>
        <v>0</v>
      </c>
      <c r="N14" s="240">
        <f>BL14+'User Input - Correlations'!N14</f>
        <v>0</v>
      </c>
      <c r="O14" s="240">
        <f>BM14+'User Input - Correlations'!O14</f>
        <v>0</v>
      </c>
      <c r="P14" s="240">
        <f>BN14+'User Input - Correlations'!P14</f>
        <v>0</v>
      </c>
      <c r="Q14" s="240">
        <f>BO14+'User Input - Correlations'!Q14</f>
        <v>0</v>
      </c>
      <c r="R14" s="240">
        <f>BP14+'User Input - Correlations'!R14</f>
        <v>0</v>
      </c>
      <c r="S14" s="240">
        <f>BQ14+'User Input - Correlations'!S14</f>
        <v>0</v>
      </c>
      <c r="T14" s="240">
        <f>BR14+'User Input - Correlations'!T14</f>
        <v>0</v>
      </c>
      <c r="U14" s="240">
        <f>BS14+'User Input - Correlations'!U14</f>
        <v>0</v>
      </c>
      <c r="V14" s="240">
        <f>BT14+'User Input - Correlations'!V14</f>
        <v>0</v>
      </c>
      <c r="W14" s="240">
        <f>BU14+'User Input - Correlations'!W14</f>
        <v>0</v>
      </c>
      <c r="X14" s="240">
        <f>BV14+'User Input - Correlations'!X14</f>
        <v>0</v>
      </c>
      <c r="Y14" s="240">
        <f>BW14+'User Input - Correlations'!Y14</f>
        <v>0</v>
      </c>
      <c r="Z14" s="240">
        <f>BX14+'User Input - Correlations'!Z14</f>
        <v>0</v>
      </c>
      <c r="AA14" s="240">
        <f>BY14+'User Input - Correlations'!AA14</f>
        <v>0</v>
      </c>
      <c r="AB14" s="240">
        <f>BZ14+'User Input - Correlations'!AB14</f>
        <v>0</v>
      </c>
      <c r="AC14" s="240">
        <f>CA14+'User Input - Correlations'!AC14</f>
        <v>0</v>
      </c>
      <c r="AD14" s="240">
        <f>CB14+'User Input - Correlations'!AD14</f>
        <v>0</v>
      </c>
      <c r="AE14" s="240">
        <f>CC14+'User Input - Correlations'!AE14</f>
        <v>0</v>
      </c>
      <c r="AF14" s="240">
        <f>CD14+'User Input - Correlations'!AF14</f>
        <v>0</v>
      </c>
      <c r="AG14" s="241">
        <f ca="1">MDETERM(OFFSET($C$11,0,0,ROWS($AG$11:$AG14),ROWS($AG$11:$AG14)))</f>
        <v>1</v>
      </c>
      <c r="BA14" s="221">
        <v>0</v>
      </c>
      <c r="BB14" s="221">
        <v>0</v>
      </c>
      <c r="BC14" s="221">
        <v>0</v>
      </c>
      <c r="BD14" s="221">
        <v>1</v>
      </c>
      <c r="BE14" s="221">
        <v>0</v>
      </c>
      <c r="BF14" s="221">
        <v>0</v>
      </c>
      <c r="BG14" s="221">
        <v>0</v>
      </c>
      <c r="BH14" s="221">
        <v>0</v>
      </c>
      <c r="BI14" s="221">
        <v>0</v>
      </c>
      <c r="BJ14" s="221">
        <v>0</v>
      </c>
      <c r="BK14" s="221">
        <v>0</v>
      </c>
      <c r="BL14" s="221">
        <v>0</v>
      </c>
      <c r="BM14" s="221">
        <v>0</v>
      </c>
      <c r="BN14" s="221">
        <v>0</v>
      </c>
      <c r="BO14" s="221">
        <v>0</v>
      </c>
      <c r="BP14" s="221">
        <v>0</v>
      </c>
      <c r="BQ14" s="221">
        <v>0</v>
      </c>
      <c r="BR14" s="221">
        <v>0</v>
      </c>
      <c r="BS14" s="221">
        <v>0</v>
      </c>
      <c r="BT14" s="221">
        <v>0</v>
      </c>
      <c r="BU14" s="221">
        <v>0</v>
      </c>
      <c r="BV14" s="221">
        <v>0</v>
      </c>
      <c r="BW14" s="221">
        <v>0</v>
      </c>
      <c r="BX14" s="221">
        <v>0</v>
      </c>
      <c r="BY14" s="221">
        <v>0</v>
      </c>
      <c r="BZ14" s="221">
        <v>0</v>
      </c>
      <c r="CA14" s="221">
        <v>0</v>
      </c>
      <c r="CB14" s="221">
        <v>0</v>
      </c>
      <c r="CC14" s="221">
        <v>0</v>
      </c>
      <c r="CD14" s="221">
        <v>0</v>
      </c>
    </row>
    <row r="15">
      <c r="A15" s="252" t="s">
        <v>89</v>
      </c>
      <c r="B15" s="252" t="s">
        <v>95</v>
      </c>
      <c r="C15" s="240">
        <f>BA15+'User Input - Correlations'!C15</f>
        <v>0</v>
      </c>
      <c r="D15" s="240">
        <f>BB15+'User Input - Correlations'!D15</f>
        <v>0</v>
      </c>
      <c r="E15" s="240">
        <f>BC15+'User Input - Correlations'!E15</f>
        <v>0</v>
      </c>
      <c r="F15" s="240">
        <f>BD15+'User Input - Correlations'!F15</f>
        <v>0</v>
      </c>
      <c r="G15" s="240">
        <v>1</v>
      </c>
      <c r="H15" s="240">
        <f>BF15+'User Input - Correlations'!H15</f>
        <v>0</v>
      </c>
      <c r="I15" s="240">
        <f>BG15+'User Input - Correlations'!I15</f>
        <v>0</v>
      </c>
      <c r="J15" s="240">
        <f>BH15+'User Input - Correlations'!J15</f>
        <v>0</v>
      </c>
      <c r="K15" s="240">
        <f>BI15+'User Input - Correlations'!K15</f>
        <v>0</v>
      </c>
      <c r="L15" s="240">
        <f>BJ15+'User Input - Correlations'!L15</f>
        <v>0</v>
      </c>
      <c r="M15" s="240">
        <f>BK15+'User Input - Correlations'!M15</f>
        <v>0</v>
      </c>
      <c r="N15" s="240">
        <f>BL15+'User Input - Correlations'!N15</f>
        <v>0</v>
      </c>
      <c r="O15" s="240">
        <f>BM15+'User Input - Correlations'!O15</f>
        <v>0</v>
      </c>
      <c r="P15" s="240">
        <f>BN15+'User Input - Correlations'!P15</f>
        <v>0</v>
      </c>
      <c r="Q15" s="240">
        <f>BO15+'User Input - Correlations'!Q15</f>
        <v>0</v>
      </c>
      <c r="R15" s="240">
        <f>BP15+'User Input - Correlations'!R15</f>
        <v>0</v>
      </c>
      <c r="S15" s="240">
        <f>BQ15+'User Input - Correlations'!S15</f>
        <v>0</v>
      </c>
      <c r="T15" s="240">
        <f>BR15+'User Input - Correlations'!T15</f>
        <v>0</v>
      </c>
      <c r="U15" s="240">
        <f>BS15+'User Input - Correlations'!U15</f>
        <v>0</v>
      </c>
      <c r="V15" s="240">
        <f>BT15+'User Input - Correlations'!V15</f>
        <v>0</v>
      </c>
      <c r="W15" s="240">
        <f>BU15+'User Input - Correlations'!W15</f>
        <v>0</v>
      </c>
      <c r="X15" s="240">
        <f>BV15+'User Input - Correlations'!X15</f>
        <v>0</v>
      </c>
      <c r="Y15" s="240">
        <f>BW15+'User Input - Correlations'!Y15</f>
        <v>0</v>
      </c>
      <c r="Z15" s="240">
        <f>BX15+'User Input - Correlations'!Z15</f>
        <v>0</v>
      </c>
      <c r="AA15" s="240">
        <f>BY15+'User Input - Correlations'!AA15</f>
        <v>0</v>
      </c>
      <c r="AB15" s="240">
        <f>BZ15+'User Input - Correlations'!AB15</f>
        <v>0</v>
      </c>
      <c r="AC15" s="240">
        <f>CA15+'User Input - Correlations'!AC15</f>
        <v>0</v>
      </c>
      <c r="AD15" s="240">
        <f>CB15+'User Input - Correlations'!AD15</f>
        <v>0</v>
      </c>
      <c r="AE15" s="240">
        <f>CC15+'User Input - Correlations'!AE15</f>
        <v>0</v>
      </c>
      <c r="AF15" s="240">
        <f>CD15+'User Input - Correlations'!AF15</f>
        <v>0</v>
      </c>
      <c r="AG15" s="241">
        <f ca="1">MDETERM(OFFSET($C$11,0,0,ROWS($AG$11:$AG15),ROWS($AG$11:$AG15)))</f>
        <v>1</v>
      </c>
      <c r="BA15" s="221">
        <v>0</v>
      </c>
      <c r="BB15" s="221">
        <v>0</v>
      </c>
      <c r="BC15" s="221">
        <v>0</v>
      </c>
      <c r="BD15" s="221">
        <v>0</v>
      </c>
      <c r="BE15" s="221">
        <v>1</v>
      </c>
      <c r="BF15" s="221">
        <v>0</v>
      </c>
      <c r="BG15" s="221">
        <v>0</v>
      </c>
      <c r="BH15" s="221">
        <v>0</v>
      </c>
      <c r="BI15" s="221">
        <v>0</v>
      </c>
      <c r="BJ15" s="221">
        <v>0</v>
      </c>
      <c r="BK15" s="221">
        <v>0</v>
      </c>
      <c r="BL15" s="221">
        <v>0</v>
      </c>
      <c r="BM15" s="221">
        <v>0</v>
      </c>
      <c r="BN15" s="221">
        <v>0</v>
      </c>
      <c r="BO15" s="221">
        <v>0</v>
      </c>
      <c r="BP15" s="221">
        <v>0</v>
      </c>
      <c r="BQ15" s="221">
        <v>0</v>
      </c>
      <c r="BR15" s="221">
        <v>0</v>
      </c>
      <c r="BS15" s="221">
        <v>0</v>
      </c>
      <c r="BT15" s="221">
        <v>0</v>
      </c>
      <c r="BU15" s="221">
        <v>0</v>
      </c>
      <c r="BV15" s="221">
        <v>0</v>
      </c>
      <c r="BW15" s="221">
        <v>0</v>
      </c>
      <c r="BX15" s="221">
        <v>0</v>
      </c>
      <c r="BY15" s="221">
        <v>0</v>
      </c>
      <c r="BZ15" s="221">
        <v>0</v>
      </c>
      <c r="CA15" s="221">
        <v>0</v>
      </c>
      <c r="CB15" s="221">
        <v>0</v>
      </c>
      <c r="CC15" s="221">
        <v>0</v>
      </c>
      <c r="CD15" s="221">
        <v>0</v>
      </c>
    </row>
    <row r="16">
      <c r="A16" s="252" t="s">
        <v>88</v>
      </c>
      <c r="B16" s="252" t="s">
        <v>95</v>
      </c>
      <c r="C16" s="240">
        <f>BA16+'User Input - Correlations'!C16</f>
        <v>0</v>
      </c>
      <c r="D16" s="240">
        <f>BB16+'User Input - Correlations'!D16</f>
        <v>0</v>
      </c>
      <c r="E16" s="240">
        <f>BC16+'User Input - Correlations'!E16</f>
        <v>0</v>
      </c>
      <c r="F16" s="240">
        <f>BD16+'User Input - Correlations'!F16</f>
        <v>0</v>
      </c>
      <c r="G16" s="240">
        <f>BE16+'User Input - Correlations'!G16</f>
        <v>0</v>
      </c>
      <c r="H16" s="240">
        <v>1</v>
      </c>
      <c r="I16" s="240">
        <f>BG16+'User Input - Correlations'!I16</f>
        <v>0</v>
      </c>
      <c r="J16" s="240">
        <f>BH16+'User Input - Correlations'!J16</f>
        <v>0</v>
      </c>
      <c r="K16" s="240">
        <f>BI16+'User Input - Correlations'!K16</f>
        <v>0</v>
      </c>
      <c r="L16" s="240">
        <f>BJ16+'User Input - Correlations'!L16</f>
        <v>0</v>
      </c>
      <c r="M16" s="240">
        <f>BK16+'User Input - Correlations'!M16</f>
        <v>0</v>
      </c>
      <c r="N16" s="240">
        <f>BL16+'User Input - Correlations'!N16</f>
        <v>0</v>
      </c>
      <c r="O16" s="240">
        <f>BM16+'User Input - Correlations'!O16</f>
        <v>0</v>
      </c>
      <c r="P16" s="240">
        <f>BN16+'User Input - Correlations'!P16</f>
        <v>0</v>
      </c>
      <c r="Q16" s="240">
        <f>BO16+'User Input - Correlations'!Q16</f>
        <v>0</v>
      </c>
      <c r="R16" s="240">
        <f>BP16+'User Input - Correlations'!R16</f>
        <v>0</v>
      </c>
      <c r="S16" s="240">
        <f>BQ16+'User Input - Correlations'!S16</f>
        <v>0</v>
      </c>
      <c r="T16" s="240">
        <f>BR16+'User Input - Correlations'!T16</f>
        <v>0</v>
      </c>
      <c r="U16" s="240">
        <f>BS16+'User Input - Correlations'!U16</f>
        <v>0</v>
      </c>
      <c r="V16" s="240">
        <f>BT16+'User Input - Correlations'!V16</f>
        <v>0</v>
      </c>
      <c r="W16" s="240">
        <f>BU16+'User Input - Correlations'!W16</f>
        <v>0</v>
      </c>
      <c r="X16" s="240">
        <f>BV16+'User Input - Correlations'!X16</f>
        <v>0</v>
      </c>
      <c r="Y16" s="240">
        <f>BW16+'User Input - Correlations'!Y16</f>
        <v>0</v>
      </c>
      <c r="Z16" s="240">
        <f>BX16+'User Input - Correlations'!Z16</f>
        <v>0</v>
      </c>
      <c r="AA16" s="240">
        <f>BY16+'User Input - Correlations'!AA16</f>
        <v>0</v>
      </c>
      <c r="AB16" s="240">
        <f>BZ16+'User Input - Correlations'!AB16</f>
        <v>0</v>
      </c>
      <c r="AC16" s="240">
        <f>CA16+'User Input - Correlations'!AC16</f>
        <v>0</v>
      </c>
      <c r="AD16" s="240">
        <f>CB16+'User Input - Correlations'!AD16</f>
        <v>0</v>
      </c>
      <c r="AE16" s="240">
        <f>CC16+'User Input - Correlations'!AE16</f>
        <v>0</v>
      </c>
      <c r="AF16" s="240">
        <f>CD16+'User Input - Correlations'!AF16</f>
        <v>0</v>
      </c>
      <c r="AG16" s="241">
        <f ca="1">MDETERM(OFFSET($C$11,0,0,ROWS($AG$11:$AG16),ROWS($AG$11:$AG16)))</f>
        <v>1</v>
      </c>
      <c r="BA16" s="221">
        <v>0</v>
      </c>
      <c r="BB16" s="221">
        <v>0</v>
      </c>
      <c r="BC16" s="221">
        <v>0</v>
      </c>
      <c r="BD16" s="221">
        <v>0</v>
      </c>
      <c r="BE16" s="221">
        <v>0</v>
      </c>
      <c r="BF16" s="221">
        <v>1</v>
      </c>
      <c r="BG16" s="221">
        <v>0</v>
      </c>
      <c r="BH16" s="221">
        <v>0</v>
      </c>
      <c r="BI16" s="221">
        <v>0</v>
      </c>
      <c r="BJ16" s="221">
        <v>0</v>
      </c>
      <c r="BK16" s="221">
        <v>0</v>
      </c>
      <c r="BL16" s="221">
        <v>0</v>
      </c>
      <c r="BM16" s="221">
        <v>0</v>
      </c>
      <c r="BN16" s="221">
        <v>0</v>
      </c>
      <c r="BO16" s="221">
        <v>0</v>
      </c>
      <c r="BP16" s="221">
        <v>0</v>
      </c>
      <c r="BQ16" s="221">
        <v>0</v>
      </c>
      <c r="BR16" s="221">
        <v>0</v>
      </c>
      <c r="BS16" s="221">
        <v>0</v>
      </c>
      <c r="BT16" s="221">
        <v>0</v>
      </c>
      <c r="BU16" s="221">
        <v>0</v>
      </c>
      <c r="BV16" s="221">
        <v>0</v>
      </c>
      <c r="BW16" s="221">
        <v>0</v>
      </c>
      <c r="BX16" s="221">
        <v>0</v>
      </c>
      <c r="BY16" s="221">
        <v>0</v>
      </c>
      <c r="BZ16" s="221">
        <v>0</v>
      </c>
      <c r="CA16" s="221">
        <v>0</v>
      </c>
      <c r="CB16" s="221">
        <v>0</v>
      </c>
      <c r="CC16" s="221">
        <v>0</v>
      </c>
      <c r="CD16" s="221">
        <v>0</v>
      </c>
    </row>
    <row r="17">
      <c r="A17" s="252" t="s">
        <v>87</v>
      </c>
      <c r="B17" s="252" t="s">
        <v>95</v>
      </c>
      <c r="C17" s="240">
        <f>BA17+'User Input - Correlations'!C17</f>
        <v>0</v>
      </c>
      <c r="D17" s="240">
        <f>BB17+'User Input - Correlations'!D17</f>
        <v>0</v>
      </c>
      <c r="E17" s="240">
        <f>BC17+'User Input - Correlations'!E17</f>
        <v>0</v>
      </c>
      <c r="F17" s="240">
        <f>BD17+'User Input - Correlations'!F17</f>
        <v>0</v>
      </c>
      <c r="G17" s="240">
        <f>BE17+'User Input - Correlations'!G17</f>
        <v>0</v>
      </c>
      <c r="H17" s="240">
        <f>BF17+'User Input - Correlations'!H17</f>
        <v>0</v>
      </c>
      <c r="I17" s="240">
        <v>1</v>
      </c>
      <c r="J17" s="240">
        <f>BH17+'User Input - Correlations'!J17</f>
        <v>0</v>
      </c>
      <c r="K17" s="240">
        <f>BI17+'User Input - Correlations'!K17</f>
        <v>0</v>
      </c>
      <c r="L17" s="240">
        <f>BJ17+'User Input - Correlations'!L17</f>
        <v>0</v>
      </c>
      <c r="M17" s="240">
        <f>BK17+'User Input - Correlations'!M17</f>
        <v>0</v>
      </c>
      <c r="N17" s="240">
        <f>BL17+'User Input - Correlations'!N17</f>
        <v>0</v>
      </c>
      <c r="O17" s="240">
        <f>BM17+'User Input - Correlations'!O17</f>
        <v>0</v>
      </c>
      <c r="P17" s="240">
        <f>BN17+'User Input - Correlations'!P17</f>
        <v>0</v>
      </c>
      <c r="Q17" s="240">
        <f>BO17+'User Input - Correlations'!Q17</f>
        <v>0</v>
      </c>
      <c r="R17" s="240">
        <f>BP17+'User Input - Correlations'!R17</f>
        <v>0</v>
      </c>
      <c r="S17" s="240">
        <f>BQ17+'User Input - Correlations'!S17</f>
        <v>0</v>
      </c>
      <c r="T17" s="240">
        <f>BR17+'User Input - Correlations'!T17</f>
        <v>0</v>
      </c>
      <c r="U17" s="240">
        <f>BS17+'User Input - Correlations'!U17</f>
        <v>0</v>
      </c>
      <c r="V17" s="240">
        <f>BT17+'User Input - Correlations'!V17</f>
        <v>0</v>
      </c>
      <c r="W17" s="240">
        <f>BU17+'User Input - Correlations'!W17</f>
        <v>0</v>
      </c>
      <c r="X17" s="240">
        <f>BV17+'User Input - Correlations'!X17</f>
        <v>0</v>
      </c>
      <c r="Y17" s="240">
        <f>BW17+'User Input - Correlations'!Y17</f>
        <v>0</v>
      </c>
      <c r="Z17" s="240">
        <f>BX17+'User Input - Correlations'!Z17</f>
        <v>0</v>
      </c>
      <c r="AA17" s="240">
        <f>BY17+'User Input - Correlations'!AA17</f>
        <v>0</v>
      </c>
      <c r="AB17" s="240">
        <f>BZ17+'User Input - Correlations'!AB17</f>
        <v>0</v>
      </c>
      <c r="AC17" s="240">
        <f>CA17+'User Input - Correlations'!AC17</f>
        <v>0</v>
      </c>
      <c r="AD17" s="240">
        <f>CB17+'User Input - Correlations'!AD17</f>
        <v>0</v>
      </c>
      <c r="AE17" s="240">
        <f>CC17+'User Input - Correlations'!AE17</f>
        <v>0</v>
      </c>
      <c r="AF17" s="240">
        <f>CD17+'User Input - Correlations'!AF17</f>
        <v>0</v>
      </c>
      <c r="AG17" s="241">
        <f ca="1">MDETERM(OFFSET($C$11,0,0,ROWS($AG$11:$AG17),ROWS($AG$11:$AG17)))</f>
        <v>1</v>
      </c>
      <c r="BA17" s="221">
        <v>0</v>
      </c>
      <c r="BB17" s="221">
        <v>0</v>
      </c>
      <c r="BC17" s="221">
        <v>0</v>
      </c>
      <c r="BD17" s="221">
        <v>0</v>
      </c>
      <c r="BE17" s="221">
        <v>0</v>
      </c>
      <c r="BF17" s="221">
        <v>0</v>
      </c>
      <c r="BG17" s="221">
        <v>1</v>
      </c>
      <c r="BH17" s="221">
        <v>0</v>
      </c>
      <c r="BI17" s="221">
        <v>0</v>
      </c>
      <c r="BJ17" s="221">
        <v>0</v>
      </c>
      <c r="BK17" s="221">
        <v>0</v>
      </c>
      <c r="BL17" s="221">
        <v>0</v>
      </c>
      <c r="BM17" s="221">
        <v>0</v>
      </c>
      <c r="BN17" s="221">
        <v>0</v>
      </c>
      <c r="BO17" s="221">
        <v>0</v>
      </c>
      <c r="BP17" s="221">
        <v>0</v>
      </c>
      <c r="BQ17" s="221">
        <v>0</v>
      </c>
      <c r="BR17" s="221">
        <v>0</v>
      </c>
      <c r="BS17" s="221">
        <v>0</v>
      </c>
      <c r="BT17" s="221">
        <v>0</v>
      </c>
      <c r="BU17" s="221">
        <v>0</v>
      </c>
      <c r="BV17" s="221">
        <v>0</v>
      </c>
      <c r="BW17" s="221">
        <v>0</v>
      </c>
      <c r="BX17" s="221">
        <v>0</v>
      </c>
      <c r="BY17" s="221">
        <v>0</v>
      </c>
      <c r="BZ17" s="221">
        <v>0</v>
      </c>
      <c r="CA17" s="221">
        <v>0</v>
      </c>
      <c r="CB17" s="221">
        <v>0</v>
      </c>
      <c r="CC17" s="221">
        <v>0</v>
      </c>
      <c r="CD17" s="221">
        <v>0</v>
      </c>
    </row>
    <row r="18">
      <c r="A18" s="252" t="s">
        <v>86</v>
      </c>
      <c r="B18" s="252" t="s">
        <v>95</v>
      </c>
      <c r="C18" s="240">
        <f>BA18+'User Input - Correlations'!C18</f>
        <v>0</v>
      </c>
      <c r="D18" s="240">
        <f>BB18+'User Input - Correlations'!D18</f>
        <v>0</v>
      </c>
      <c r="E18" s="240">
        <f>BC18+'User Input - Correlations'!E18</f>
        <v>0</v>
      </c>
      <c r="F18" s="240">
        <f>BD18+'User Input - Correlations'!F18</f>
        <v>0</v>
      </c>
      <c r="G18" s="240">
        <f>BE18+'User Input - Correlations'!G18</f>
        <v>0</v>
      </c>
      <c r="H18" s="240">
        <f>BF18+'User Input - Correlations'!H18</f>
        <v>0</v>
      </c>
      <c r="I18" s="240">
        <f>BG18+'User Input - Correlations'!I18</f>
        <v>0</v>
      </c>
      <c r="J18" s="240">
        <v>1</v>
      </c>
      <c r="K18" s="240">
        <f>BI18+'User Input - Correlations'!K18</f>
        <v>0</v>
      </c>
      <c r="L18" s="240">
        <f>BJ18+'User Input - Correlations'!L18</f>
        <v>0</v>
      </c>
      <c r="M18" s="240">
        <f>BK18+'User Input - Correlations'!M18</f>
        <v>0</v>
      </c>
      <c r="N18" s="240">
        <f>BL18+'User Input - Correlations'!N18</f>
        <v>0</v>
      </c>
      <c r="O18" s="240">
        <f>BM18+'User Input - Correlations'!O18</f>
        <v>0</v>
      </c>
      <c r="P18" s="240">
        <f>BN18+'User Input - Correlations'!P18</f>
        <v>0</v>
      </c>
      <c r="Q18" s="240">
        <f>BO18+'User Input - Correlations'!Q18</f>
        <v>0</v>
      </c>
      <c r="R18" s="240">
        <f>BP18+'User Input - Correlations'!R18</f>
        <v>0</v>
      </c>
      <c r="S18" s="240">
        <f>BQ18+'User Input - Correlations'!S18</f>
        <v>0</v>
      </c>
      <c r="T18" s="240">
        <f>BR18+'User Input - Correlations'!T18</f>
        <v>0</v>
      </c>
      <c r="U18" s="240">
        <f>BS18+'User Input - Correlations'!U18</f>
        <v>0</v>
      </c>
      <c r="V18" s="240">
        <f>BT18+'User Input - Correlations'!V18</f>
        <v>0</v>
      </c>
      <c r="W18" s="240">
        <f>BU18+'User Input - Correlations'!W18</f>
        <v>0</v>
      </c>
      <c r="X18" s="240">
        <f>BV18+'User Input - Correlations'!X18</f>
        <v>0</v>
      </c>
      <c r="Y18" s="240">
        <f>BW18+'User Input - Correlations'!Y18</f>
        <v>0</v>
      </c>
      <c r="Z18" s="240">
        <f>BX18+'User Input - Correlations'!Z18</f>
        <v>0</v>
      </c>
      <c r="AA18" s="240">
        <f>BY18+'User Input - Correlations'!AA18</f>
        <v>0</v>
      </c>
      <c r="AB18" s="240">
        <f>BZ18+'User Input - Correlations'!AB18</f>
        <v>0</v>
      </c>
      <c r="AC18" s="240">
        <f>CA18+'User Input - Correlations'!AC18</f>
        <v>0</v>
      </c>
      <c r="AD18" s="240">
        <f>CB18+'User Input - Correlations'!AD18</f>
        <v>0</v>
      </c>
      <c r="AE18" s="240">
        <f>CC18+'User Input - Correlations'!AE18</f>
        <v>0</v>
      </c>
      <c r="AF18" s="240">
        <f>CD18+'User Input - Correlations'!AF18</f>
        <v>0</v>
      </c>
      <c r="AG18" s="241">
        <f ca="1">MDETERM(OFFSET($C$11,0,0,ROWS($AG$11:$AG18),ROWS($AG$11:$AG18)))</f>
        <v>1</v>
      </c>
      <c r="BA18" s="221">
        <v>0</v>
      </c>
      <c r="BB18" s="221">
        <v>0</v>
      </c>
      <c r="BC18" s="221">
        <v>0</v>
      </c>
      <c r="BD18" s="221">
        <v>0</v>
      </c>
      <c r="BE18" s="221">
        <v>0</v>
      </c>
      <c r="BF18" s="221">
        <v>0</v>
      </c>
      <c r="BG18" s="221">
        <v>0</v>
      </c>
      <c r="BH18" s="221">
        <v>1</v>
      </c>
      <c r="BI18" s="221">
        <v>0</v>
      </c>
      <c r="BJ18" s="221">
        <v>0</v>
      </c>
      <c r="BK18" s="221">
        <v>0</v>
      </c>
      <c r="BL18" s="221">
        <v>0</v>
      </c>
      <c r="BM18" s="221">
        <v>0</v>
      </c>
      <c r="BN18" s="221">
        <v>0</v>
      </c>
      <c r="BO18" s="221">
        <v>0</v>
      </c>
      <c r="BP18" s="221">
        <v>0</v>
      </c>
      <c r="BQ18" s="221">
        <v>0</v>
      </c>
      <c r="BR18" s="221">
        <v>0</v>
      </c>
      <c r="BS18" s="221">
        <v>0</v>
      </c>
      <c r="BT18" s="221">
        <v>0</v>
      </c>
      <c r="BU18" s="221">
        <v>0</v>
      </c>
      <c r="BV18" s="221">
        <v>0</v>
      </c>
      <c r="BW18" s="221">
        <v>0</v>
      </c>
      <c r="BX18" s="221">
        <v>0</v>
      </c>
      <c r="BY18" s="221">
        <v>0</v>
      </c>
      <c r="BZ18" s="221">
        <v>0</v>
      </c>
      <c r="CA18" s="221">
        <v>0</v>
      </c>
      <c r="CB18" s="221">
        <v>0</v>
      </c>
      <c r="CC18" s="221">
        <v>0</v>
      </c>
      <c r="CD18" s="221">
        <v>0</v>
      </c>
    </row>
    <row r="19">
      <c r="A19" s="253" t="s">
        <v>93</v>
      </c>
      <c r="B19" s="253" t="s">
        <v>94</v>
      </c>
      <c r="C19" s="240">
        <f>BA19+'User Input - Correlations'!C19</f>
        <v>0</v>
      </c>
      <c r="D19" s="240">
        <f>BB19+'User Input - Correlations'!D19</f>
        <v>0</v>
      </c>
      <c r="E19" s="240">
        <f>BC19+'User Input - Correlations'!E19</f>
        <v>0</v>
      </c>
      <c r="F19" s="240">
        <f>BD19+'User Input - Correlations'!F19</f>
        <v>0</v>
      </c>
      <c r="G19" s="240">
        <f>BE19+'User Input - Correlations'!G19</f>
        <v>0</v>
      </c>
      <c r="H19" s="240">
        <f>BF19+'User Input - Correlations'!H19</f>
        <v>0</v>
      </c>
      <c r="I19" s="240">
        <f>BG19+'User Input - Correlations'!I19</f>
        <v>0</v>
      </c>
      <c r="J19" s="240">
        <f>BH19+'User Input - Correlations'!J19</f>
        <v>0</v>
      </c>
      <c r="K19" s="240">
        <v>1</v>
      </c>
      <c r="L19" s="240">
        <f>BJ19+'User Input - Correlations'!L19</f>
        <v>0</v>
      </c>
      <c r="M19" s="240">
        <f>BK19+'User Input - Correlations'!M19</f>
        <v>0</v>
      </c>
      <c r="N19" s="240">
        <f>BL19+'User Input - Correlations'!N19</f>
        <v>0</v>
      </c>
      <c r="O19" s="240">
        <f>BM19+'User Input - Correlations'!O19</f>
        <v>0</v>
      </c>
      <c r="P19" s="240">
        <f>BN19+'User Input - Correlations'!P19</f>
        <v>0</v>
      </c>
      <c r="Q19" s="240">
        <f>BO19+'User Input - Correlations'!Q19</f>
        <v>0</v>
      </c>
      <c r="R19" s="240">
        <f>BP19+'User Input - Correlations'!R19</f>
        <v>0</v>
      </c>
      <c r="S19" s="240">
        <f>BQ19+'User Input - Correlations'!S19</f>
        <v>0</v>
      </c>
      <c r="T19" s="240">
        <f>BR19+'User Input - Correlations'!T19</f>
        <v>0</v>
      </c>
      <c r="U19" s="240">
        <f>BS19+'User Input - Correlations'!U19</f>
        <v>0</v>
      </c>
      <c r="V19" s="240">
        <f>BT19+'User Input - Correlations'!V19</f>
        <v>0</v>
      </c>
      <c r="W19" s="240">
        <f>BU19+'User Input - Correlations'!W19</f>
        <v>0</v>
      </c>
      <c r="X19" s="240">
        <f>BV19+'User Input - Correlations'!X19</f>
        <v>0</v>
      </c>
      <c r="Y19" s="240">
        <f>BW19+'User Input - Correlations'!Y19</f>
        <v>0</v>
      </c>
      <c r="Z19" s="240">
        <f>BX19+'User Input - Correlations'!Z19</f>
        <v>0</v>
      </c>
      <c r="AA19" s="240">
        <f>BY19+'User Input - Correlations'!AA19</f>
        <v>0</v>
      </c>
      <c r="AB19" s="240">
        <f>BZ19+'User Input - Correlations'!AB19</f>
        <v>0</v>
      </c>
      <c r="AC19" s="240">
        <f>CA19+'User Input - Correlations'!AC19</f>
        <v>0</v>
      </c>
      <c r="AD19" s="240">
        <f>CB19+'User Input - Correlations'!AD19</f>
        <v>0</v>
      </c>
      <c r="AE19" s="240">
        <f>CC19+'User Input - Correlations'!AE19</f>
        <v>0</v>
      </c>
      <c r="AF19" s="240">
        <f>CD19+'User Input - Correlations'!AF19</f>
        <v>0</v>
      </c>
      <c r="AG19" s="241">
        <f ca="1">MDETERM(OFFSET($C$11,0,0,ROWS($AG$11:$AG19),ROWS($AG$11:$AG19)))</f>
        <v>1</v>
      </c>
      <c r="BA19" s="221">
        <v>0</v>
      </c>
      <c r="BB19" s="221">
        <v>0</v>
      </c>
      <c r="BC19" s="221">
        <v>0</v>
      </c>
      <c r="BD19" s="221">
        <v>0</v>
      </c>
      <c r="BE19" s="221">
        <v>0</v>
      </c>
      <c r="BF19" s="221">
        <v>0</v>
      </c>
      <c r="BG19" s="221">
        <v>0</v>
      </c>
      <c r="BH19" s="221">
        <v>0</v>
      </c>
      <c r="BI19" s="221">
        <v>1</v>
      </c>
      <c r="BJ19" s="221">
        <v>0</v>
      </c>
      <c r="BK19" s="221">
        <v>0</v>
      </c>
      <c r="BL19" s="221">
        <v>0</v>
      </c>
      <c r="BM19" s="221">
        <v>0</v>
      </c>
      <c r="BN19" s="221">
        <v>0</v>
      </c>
      <c r="BO19" s="221">
        <v>0</v>
      </c>
      <c r="BP19" s="221">
        <v>0</v>
      </c>
      <c r="BQ19" s="221">
        <v>0</v>
      </c>
      <c r="BR19" s="221">
        <v>0</v>
      </c>
      <c r="BS19" s="221">
        <v>0</v>
      </c>
      <c r="BT19" s="221">
        <v>0</v>
      </c>
      <c r="BU19" s="221">
        <v>0</v>
      </c>
      <c r="BV19" s="221">
        <v>0</v>
      </c>
      <c r="BW19" s="221">
        <v>0</v>
      </c>
      <c r="BX19" s="221">
        <v>0</v>
      </c>
      <c r="BY19" s="221">
        <v>0</v>
      </c>
      <c r="BZ19" s="221">
        <v>0</v>
      </c>
      <c r="CA19" s="221">
        <v>0</v>
      </c>
      <c r="CB19" s="221">
        <v>0</v>
      </c>
      <c r="CC19" s="221">
        <v>0</v>
      </c>
      <c r="CD19" s="221">
        <v>0</v>
      </c>
    </row>
    <row r="20">
      <c r="A20" s="253" t="s">
        <v>92</v>
      </c>
      <c r="B20" s="253" t="s">
        <v>94</v>
      </c>
      <c r="C20" s="240">
        <f>BA20+'User Input - Correlations'!C20</f>
        <v>0</v>
      </c>
      <c r="D20" s="240">
        <f>BB20+'User Input - Correlations'!D20</f>
        <v>0</v>
      </c>
      <c r="E20" s="240">
        <f>BC20+'User Input - Correlations'!E20</f>
        <v>0</v>
      </c>
      <c r="F20" s="240">
        <f>BD20+'User Input - Correlations'!F20</f>
        <v>0</v>
      </c>
      <c r="G20" s="240">
        <f>BE20+'User Input - Correlations'!G20</f>
        <v>0</v>
      </c>
      <c r="H20" s="240">
        <f>BF20+'User Input - Correlations'!H20</f>
        <v>0</v>
      </c>
      <c r="I20" s="240">
        <f>BG20+'User Input - Correlations'!I20</f>
        <v>0</v>
      </c>
      <c r="J20" s="240">
        <f>BH20+'User Input - Correlations'!J20</f>
        <v>0</v>
      </c>
      <c r="K20" s="240">
        <f>BI20+'User Input - Correlations'!K20</f>
        <v>0</v>
      </c>
      <c r="L20" s="240">
        <v>1</v>
      </c>
      <c r="M20" s="240">
        <f>BK20+'User Input - Correlations'!M20</f>
        <v>0</v>
      </c>
      <c r="N20" s="240">
        <f>BL20+'User Input - Correlations'!N20</f>
        <v>0</v>
      </c>
      <c r="O20" s="240">
        <f>BM20+'User Input - Correlations'!O20</f>
        <v>0</v>
      </c>
      <c r="P20" s="240">
        <f>BN20+'User Input - Correlations'!P20</f>
        <v>0</v>
      </c>
      <c r="Q20" s="240">
        <f>BO20+'User Input - Correlations'!Q20</f>
        <v>0</v>
      </c>
      <c r="R20" s="240">
        <f>BP20+'User Input - Correlations'!R20</f>
        <v>0</v>
      </c>
      <c r="S20" s="240">
        <f>BQ20+'User Input - Correlations'!S20</f>
        <v>0</v>
      </c>
      <c r="T20" s="240">
        <f>BR20+'User Input - Correlations'!T20</f>
        <v>0</v>
      </c>
      <c r="U20" s="240">
        <f>BS20+'User Input - Correlations'!U20</f>
        <v>0</v>
      </c>
      <c r="V20" s="240">
        <f>BT20+'User Input - Correlations'!V20</f>
        <v>0</v>
      </c>
      <c r="W20" s="240">
        <f>BU20+'User Input - Correlations'!W20</f>
        <v>0</v>
      </c>
      <c r="X20" s="240">
        <f>BV20+'User Input - Correlations'!X20</f>
        <v>0</v>
      </c>
      <c r="Y20" s="240">
        <f>BW20+'User Input - Correlations'!Y20</f>
        <v>0</v>
      </c>
      <c r="Z20" s="240">
        <f>BX20+'User Input - Correlations'!Z20</f>
        <v>0</v>
      </c>
      <c r="AA20" s="240">
        <f>BY20+'User Input - Correlations'!AA20</f>
        <v>0</v>
      </c>
      <c r="AB20" s="240">
        <f>BZ20+'User Input - Correlations'!AB20</f>
        <v>0</v>
      </c>
      <c r="AC20" s="240">
        <f>CA20+'User Input - Correlations'!AC20</f>
        <v>0</v>
      </c>
      <c r="AD20" s="240">
        <f>CB20+'User Input - Correlations'!AD20</f>
        <v>0</v>
      </c>
      <c r="AE20" s="240">
        <f>CC20+'User Input - Correlations'!AE20</f>
        <v>0</v>
      </c>
      <c r="AF20" s="240">
        <f>CD20+'User Input - Correlations'!AF20</f>
        <v>0</v>
      </c>
      <c r="AG20" s="241">
        <f ca="1">MDETERM(OFFSET($C$11,0,0,ROWS($AG$11:$AG20),ROWS($AG$11:$AG20)))</f>
        <v>1</v>
      </c>
      <c r="BA20" s="221">
        <v>0</v>
      </c>
      <c r="BB20" s="221">
        <v>0</v>
      </c>
      <c r="BC20" s="221">
        <v>0</v>
      </c>
      <c r="BD20" s="221">
        <v>0</v>
      </c>
      <c r="BE20" s="221">
        <v>0</v>
      </c>
      <c r="BF20" s="221">
        <v>0</v>
      </c>
      <c r="BG20" s="221">
        <v>0</v>
      </c>
      <c r="BH20" s="221">
        <v>0</v>
      </c>
      <c r="BI20" s="221">
        <v>0</v>
      </c>
      <c r="BJ20" s="221">
        <v>1</v>
      </c>
      <c r="BK20" s="221">
        <v>0</v>
      </c>
      <c r="BL20" s="221">
        <v>0</v>
      </c>
      <c r="BM20" s="221">
        <v>0</v>
      </c>
      <c r="BN20" s="221">
        <v>0</v>
      </c>
      <c r="BO20" s="221">
        <v>0</v>
      </c>
      <c r="BP20" s="221">
        <v>0</v>
      </c>
      <c r="BQ20" s="221">
        <v>0</v>
      </c>
      <c r="BR20" s="221">
        <v>0</v>
      </c>
      <c r="BS20" s="221">
        <v>0</v>
      </c>
      <c r="BT20" s="221">
        <v>0</v>
      </c>
      <c r="BU20" s="221">
        <v>0</v>
      </c>
      <c r="BV20" s="221">
        <v>0</v>
      </c>
      <c r="BW20" s="221">
        <v>0</v>
      </c>
      <c r="BX20" s="221">
        <v>0</v>
      </c>
      <c r="BY20" s="221">
        <v>0</v>
      </c>
      <c r="BZ20" s="221">
        <v>0</v>
      </c>
      <c r="CA20" s="221">
        <v>0</v>
      </c>
      <c r="CB20" s="221">
        <v>0</v>
      </c>
      <c r="CC20" s="221">
        <v>0</v>
      </c>
      <c r="CD20" s="221">
        <v>0</v>
      </c>
    </row>
    <row r="21">
      <c r="A21" s="253" t="s">
        <v>91</v>
      </c>
      <c r="B21" s="253" t="s">
        <v>94</v>
      </c>
      <c r="C21" s="240">
        <f>BA21+'User Input - Correlations'!C21</f>
        <v>0</v>
      </c>
      <c r="D21" s="240">
        <f>BB21+'User Input - Correlations'!D21</f>
        <v>0</v>
      </c>
      <c r="E21" s="240">
        <f>BC21+'User Input - Correlations'!E21</f>
        <v>0</v>
      </c>
      <c r="F21" s="240">
        <f>BD21+'User Input - Correlations'!F21</f>
        <v>0</v>
      </c>
      <c r="G21" s="240">
        <f>BE21+'User Input - Correlations'!G21</f>
        <v>0</v>
      </c>
      <c r="H21" s="240">
        <f>BF21+'User Input - Correlations'!H21</f>
        <v>0</v>
      </c>
      <c r="I21" s="240">
        <f>BG21+'User Input - Correlations'!I21</f>
        <v>0</v>
      </c>
      <c r="J21" s="240">
        <f>BH21+'User Input - Correlations'!J21</f>
        <v>0</v>
      </c>
      <c r="K21" s="240">
        <f>BI21+'User Input - Correlations'!K21</f>
        <v>0</v>
      </c>
      <c r="L21" s="240">
        <f>BJ21+'User Input - Correlations'!L21</f>
        <v>0</v>
      </c>
      <c r="M21" s="240">
        <v>1</v>
      </c>
      <c r="N21" s="240">
        <f>BL21+'User Input - Correlations'!N21</f>
        <v>0</v>
      </c>
      <c r="O21" s="240">
        <f>BM21+'User Input - Correlations'!O21</f>
        <v>0</v>
      </c>
      <c r="P21" s="240">
        <f>BN21+'User Input - Correlations'!P21</f>
        <v>0</v>
      </c>
      <c r="Q21" s="240">
        <f>BO21+'User Input - Correlations'!Q21</f>
        <v>0</v>
      </c>
      <c r="R21" s="240">
        <f>BP21+'User Input - Correlations'!R21</f>
        <v>0</v>
      </c>
      <c r="S21" s="240">
        <f>BQ21+'User Input - Correlations'!S21</f>
        <v>0</v>
      </c>
      <c r="T21" s="240">
        <f>BR21+'User Input - Correlations'!T21</f>
        <v>0</v>
      </c>
      <c r="U21" s="240">
        <f>BS21+'User Input - Correlations'!U21</f>
        <v>0</v>
      </c>
      <c r="V21" s="240">
        <f>BT21+'User Input - Correlations'!V21</f>
        <v>0</v>
      </c>
      <c r="W21" s="240">
        <f>BU21+'User Input - Correlations'!W21</f>
        <v>0</v>
      </c>
      <c r="X21" s="240">
        <f>BV21+'User Input - Correlations'!X21</f>
        <v>0</v>
      </c>
      <c r="Y21" s="240">
        <f>BW21+'User Input - Correlations'!Y21</f>
        <v>0</v>
      </c>
      <c r="Z21" s="240">
        <f>BX21+'User Input - Correlations'!Z21</f>
        <v>0</v>
      </c>
      <c r="AA21" s="240">
        <f>BY21+'User Input - Correlations'!AA21</f>
        <v>0</v>
      </c>
      <c r="AB21" s="240">
        <f>BZ21+'User Input - Correlations'!AB21</f>
        <v>0</v>
      </c>
      <c r="AC21" s="240">
        <f>CA21+'User Input - Correlations'!AC21</f>
        <v>0</v>
      </c>
      <c r="AD21" s="240">
        <f>CB21+'User Input - Correlations'!AD21</f>
        <v>0</v>
      </c>
      <c r="AE21" s="240">
        <f>CC21+'User Input - Correlations'!AE21</f>
        <v>0</v>
      </c>
      <c r="AF21" s="240">
        <f>CD21+'User Input - Correlations'!AF21</f>
        <v>0</v>
      </c>
      <c r="AG21" s="241">
        <f ca="1">MDETERM(OFFSET($C$11,0,0,ROWS($AG$11:$AG21),ROWS($AG$11:$AG21)))</f>
        <v>1</v>
      </c>
      <c r="BA21" s="221">
        <v>0</v>
      </c>
      <c r="BB21" s="221">
        <v>0</v>
      </c>
      <c r="BC21" s="221">
        <v>0</v>
      </c>
      <c r="BD21" s="221">
        <v>0</v>
      </c>
      <c r="BE21" s="221">
        <v>0</v>
      </c>
      <c r="BF21" s="221">
        <v>0</v>
      </c>
      <c r="BG21" s="221">
        <v>0</v>
      </c>
      <c r="BH21" s="221">
        <v>0</v>
      </c>
      <c r="BI21" s="221">
        <v>0</v>
      </c>
      <c r="BJ21" s="221">
        <v>0</v>
      </c>
      <c r="BK21" s="221">
        <v>1</v>
      </c>
      <c r="BL21" s="221">
        <v>0</v>
      </c>
      <c r="BM21" s="221">
        <v>0</v>
      </c>
      <c r="BN21" s="221">
        <v>0</v>
      </c>
      <c r="BO21" s="221">
        <v>0</v>
      </c>
      <c r="BP21" s="221">
        <v>0</v>
      </c>
      <c r="BQ21" s="221">
        <v>0</v>
      </c>
      <c r="BR21" s="221">
        <v>0</v>
      </c>
      <c r="BS21" s="221">
        <v>0</v>
      </c>
      <c r="BT21" s="221">
        <v>0</v>
      </c>
      <c r="BU21" s="221">
        <v>0</v>
      </c>
      <c r="BV21" s="221">
        <v>0</v>
      </c>
      <c r="BW21" s="221">
        <v>0</v>
      </c>
      <c r="BX21" s="221">
        <v>0</v>
      </c>
      <c r="BY21" s="221">
        <v>0</v>
      </c>
      <c r="BZ21" s="221">
        <v>0</v>
      </c>
      <c r="CA21" s="221">
        <v>0</v>
      </c>
      <c r="CB21" s="221">
        <v>0</v>
      </c>
      <c r="CC21" s="221">
        <v>0</v>
      </c>
      <c r="CD21" s="221">
        <v>0</v>
      </c>
    </row>
    <row r="22">
      <c r="A22" s="253" t="s">
        <v>90</v>
      </c>
      <c r="B22" s="253" t="s">
        <v>94</v>
      </c>
      <c r="C22" s="240">
        <f>BA22+'User Input - Correlations'!C22</f>
        <v>0</v>
      </c>
      <c r="D22" s="240">
        <f>BB22+'User Input - Correlations'!D22</f>
        <v>0</v>
      </c>
      <c r="E22" s="240">
        <f>BC22+'User Input - Correlations'!E22</f>
        <v>0</v>
      </c>
      <c r="F22" s="240">
        <f>BD22+'User Input - Correlations'!F22</f>
        <v>0</v>
      </c>
      <c r="G22" s="240">
        <f>BE22+'User Input - Correlations'!G22</f>
        <v>0</v>
      </c>
      <c r="H22" s="240">
        <f>BF22+'User Input - Correlations'!H22</f>
        <v>0</v>
      </c>
      <c r="I22" s="240">
        <f>BG22+'User Input - Correlations'!I22</f>
        <v>0</v>
      </c>
      <c r="J22" s="240">
        <f>BH22+'User Input - Correlations'!J22</f>
        <v>0</v>
      </c>
      <c r="K22" s="240">
        <f>BI22+'User Input - Correlations'!K22</f>
        <v>0</v>
      </c>
      <c r="L22" s="240">
        <f>BJ22+'User Input - Correlations'!L22</f>
        <v>0</v>
      </c>
      <c r="M22" s="240">
        <f>BK22+'User Input - Correlations'!M22</f>
        <v>0</v>
      </c>
      <c r="N22" s="240">
        <v>1</v>
      </c>
      <c r="O22" s="240">
        <f>BM22+'User Input - Correlations'!O22</f>
        <v>0</v>
      </c>
      <c r="P22" s="240">
        <f>BN22+'User Input - Correlations'!P22</f>
        <v>0</v>
      </c>
      <c r="Q22" s="240">
        <f>BO22+'User Input - Correlations'!Q22</f>
        <v>0</v>
      </c>
      <c r="R22" s="240">
        <f>BP22+'User Input - Correlations'!R22</f>
        <v>0</v>
      </c>
      <c r="S22" s="240">
        <f>BQ22+'User Input - Correlations'!S22</f>
        <v>0</v>
      </c>
      <c r="T22" s="240">
        <f>BR22+'User Input - Correlations'!T22</f>
        <v>0</v>
      </c>
      <c r="U22" s="240">
        <f>BS22+'User Input - Correlations'!U22</f>
        <v>0</v>
      </c>
      <c r="V22" s="240">
        <f>BT22+'User Input - Correlations'!V22</f>
        <v>0</v>
      </c>
      <c r="W22" s="240">
        <f>BU22+'User Input - Correlations'!W22</f>
        <v>0</v>
      </c>
      <c r="X22" s="240">
        <f>BV22+'User Input - Correlations'!X22</f>
        <v>0</v>
      </c>
      <c r="Y22" s="240">
        <f>BW22+'User Input - Correlations'!Y22</f>
        <v>0</v>
      </c>
      <c r="Z22" s="240">
        <f>BX22+'User Input - Correlations'!Z22</f>
        <v>0</v>
      </c>
      <c r="AA22" s="240">
        <f>BY22+'User Input - Correlations'!AA22</f>
        <v>0</v>
      </c>
      <c r="AB22" s="240">
        <f>BZ22+'User Input - Correlations'!AB22</f>
        <v>0</v>
      </c>
      <c r="AC22" s="240">
        <f>CA22+'User Input - Correlations'!AC22</f>
        <v>0</v>
      </c>
      <c r="AD22" s="240">
        <f>CB22+'User Input - Correlations'!AD22</f>
        <v>0</v>
      </c>
      <c r="AE22" s="240">
        <f>CC22+'User Input - Correlations'!AE22</f>
        <v>0</v>
      </c>
      <c r="AF22" s="240">
        <f>CD22+'User Input - Correlations'!AF22</f>
        <v>0</v>
      </c>
      <c r="AG22" s="241">
        <f ca="1">MDETERM(OFFSET($C$11,0,0,ROWS($AG$11:$AG22),ROWS($AG$11:$AG22)))</f>
        <v>1</v>
      </c>
      <c r="BA22" s="221">
        <v>0</v>
      </c>
      <c r="BB22" s="221">
        <v>0</v>
      </c>
      <c r="BC22" s="221">
        <v>0</v>
      </c>
      <c r="BD22" s="221">
        <v>0</v>
      </c>
      <c r="BE22" s="221">
        <v>0</v>
      </c>
      <c r="BF22" s="221">
        <v>0</v>
      </c>
      <c r="BG22" s="221">
        <v>0</v>
      </c>
      <c r="BH22" s="221">
        <v>0</v>
      </c>
      <c r="BI22" s="221">
        <v>0</v>
      </c>
      <c r="BJ22" s="221">
        <v>0</v>
      </c>
      <c r="BK22" s="221">
        <v>0</v>
      </c>
      <c r="BL22" s="221">
        <v>1</v>
      </c>
      <c r="BM22" s="221">
        <v>0</v>
      </c>
      <c r="BN22" s="221">
        <v>0</v>
      </c>
      <c r="BO22" s="221">
        <v>0</v>
      </c>
      <c r="BP22" s="221">
        <v>0</v>
      </c>
      <c r="BQ22" s="221">
        <v>0</v>
      </c>
      <c r="BR22" s="221">
        <v>0</v>
      </c>
      <c r="BS22" s="221">
        <v>0</v>
      </c>
      <c r="BT22" s="221">
        <v>0</v>
      </c>
      <c r="BU22" s="221">
        <v>0</v>
      </c>
      <c r="BV22" s="221">
        <v>0</v>
      </c>
      <c r="BW22" s="221">
        <v>0</v>
      </c>
      <c r="BX22" s="221">
        <v>0</v>
      </c>
      <c r="BY22" s="221">
        <v>0</v>
      </c>
      <c r="BZ22" s="221">
        <v>0</v>
      </c>
      <c r="CA22" s="221">
        <v>0</v>
      </c>
      <c r="CB22" s="221">
        <v>0</v>
      </c>
      <c r="CC22" s="221">
        <v>0</v>
      </c>
      <c r="CD22" s="221">
        <v>0</v>
      </c>
    </row>
    <row r="23">
      <c r="A23" s="253" t="s">
        <v>89</v>
      </c>
      <c r="B23" s="253" t="s">
        <v>94</v>
      </c>
      <c r="C23" s="240">
        <f>BA23+'User Input - Correlations'!C23</f>
        <v>0</v>
      </c>
      <c r="D23" s="240">
        <f>BB23+'User Input - Correlations'!D23</f>
        <v>0</v>
      </c>
      <c r="E23" s="240">
        <f>BC23+'User Input - Correlations'!E23</f>
        <v>0</v>
      </c>
      <c r="F23" s="240">
        <f>BD23+'User Input - Correlations'!F23</f>
        <v>0</v>
      </c>
      <c r="G23" s="240">
        <f>BE23+'User Input - Correlations'!G23</f>
        <v>0</v>
      </c>
      <c r="H23" s="240">
        <f>BF23+'User Input - Correlations'!H23</f>
        <v>0</v>
      </c>
      <c r="I23" s="240">
        <f>BG23+'User Input - Correlations'!I23</f>
        <v>0</v>
      </c>
      <c r="J23" s="240">
        <f>BH23+'User Input - Correlations'!J23</f>
        <v>0</v>
      </c>
      <c r="K23" s="240">
        <f>BI23+'User Input - Correlations'!K23</f>
        <v>0</v>
      </c>
      <c r="L23" s="240">
        <f>BJ23+'User Input - Correlations'!L23</f>
        <v>0</v>
      </c>
      <c r="M23" s="240">
        <f>BK23+'User Input - Correlations'!M23</f>
        <v>0</v>
      </c>
      <c r="N23" s="240">
        <f>BL23+'User Input - Correlations'!N23</f>
        <v>0</v>
      </c>
      <c r="O23" s="240">
        <v>1</v>
      </c>
      <c r="P23" s="240">
        <f>BN23+'User Input - Correlations'!P23</f>
        <v>0</v>
      </c>
      <c r="Q23" s="240">
        <f>BO23+'User Input - Correlations'!Q23</f>
        <v>0</v>
      </c>
      <c r="R23" s="240">
        <f>BP23+'User Input - Correlations'!R23</f>
        <v>0</v>
      </c>
      <c r="S23" s="240">
        <f>BQ23+'User Input - Correlations'!S23</f>
        <v>0</v>
      </c>
      <c r="T23" s="240">
        <f>BR23+'User Input - Correlations'!T23</f>
        <v>0</v>
      </c>
      <c r="U23" s="240">
        <f>BS23+'User Input - Correlations'!U23</f>
        <v>0</v>
      </c>
      <c r="V23" s="240">
        <f>BT23+'User Input - Correlations'!V23</f>
        <v>0</v>
      </c>
      <c r="W23" s="240">
        <f>BU23+'User Input - Correlations'!W23</f>
        <v>0</v>
      </c>
      <c r="X23" s="240">
        <f>BV23+'User Input - Correlations'!X23</f>
        <v>0</v>
      </c>
      <c r="Y23" s="240">
        <f>BW23+'User Input - Correlations'!Y23</f>
        <v>0</v>
      </c>
      <c r="Z23" s="240">
        <f>BX23+'User Input - Correlations'!Z23</f>
        <v>0</v>
      </c>
      <c r="AA23" s="240">
        <f>BY23+'User Input - Correlations'!AA23</f>
        <v>0</v>
      </c>
      <c r="AB23" s="240">
        <f>BZ23+'User Input - Correlations'!AB23</f>
        <v>0</v>
      </c>
      <c r="AC23" s="240">
        <f>CA23+'User Input - Correlations'!AC23</f>
        <v>0</v>
      </c>
      <c r="AD23" s="240">
        <f>CB23+'User Input - Correlations'!AD23</f>
        <v>0</v>
      </c>
      <c r="AE23" s="240">
        <f>CC23+'User Input - Correlations'!AE23</f>
        <v>0</v>
      </c>
      <c r="AF23" s="240">
        <f>CD23+'User Input - Correlations'!AF23</f>
        <v>0</v>
      </c>
      <c r="AG23" s="241">
        <f ca="1">MDETERM(OFFSET($C$11,0,0,ROWS($AG$11:$AG23),ROWS($AG$11:$AG23)))</f>
        <v>1</v>
      </c>
      <c r="BA23" s="221">
        <v>0</v>
      </c>
      <c r="BB23" s="221">
        <v>0</v>
      </c>
      <c r="BC23" s="221">
        <v>0</v>
      </c>
      <c r="BD23" s="221">
        <v>0</v>
      </c>
      <c r="BE23" s="221">
        <v>0</v>
      </c>
      <c r="BF23" s="221">
        <v>0</v>
      </c>
      <c r="BG23" s="221">
        <v>0</v>
      </c>
      <c r="BH23" s="221">
        <v>0</v>
      </c>
      <c r="BI23" s="221">
        <v>0</v>
      </c>
      <c r="BJ23" s="221">
        <v>0</v>
      </c>
      <c r="BK23" s="221">
        <v>0</v>
      </c>
      <c r="BL23" s="221">
        <v>0</v>
      </c>
      <c r="BM23" s="221">
        <v>1</v>
      </c>
      <c r="BN23" s="221">
        <v>0</v>
      </c>
      <c r="BO23" s="221">
        <v>0</v>
      </c>
      <c r="BP23" s="221">
        <v>0</v>
      </c>
      <c r="BQ23" s="221">
        <v>0</v>
      </c>
      <c r="BR23" s="221">
        <v>0</v>
      </c>
      <c r="BS23" s="221">
        <v>0</v>
      </c>
      <c r="BT23" s="221">
        <v>0</v>
      </c>
      <c r="BU23" s="221">
        <v>0</v>
      </c>
      <c r="BV23" s="221">
        <v>0</v>
      </c>
      <c r="BW23" s="221">
        <v>0</v>
      </c>
      <c r="BX23" s="221">
        <v>0</v>
      </c>
      <c r="BY23" s="221">
        <v>0</v>
      </c>
      <c r="BZ23" s="221">
        <v>0</v>
      </c>
      <c r="CA23" s="221">
        <v>0</v>
      </c>
      <c r="CB23" s="221">
        <v>0</v>
      </c>
      <c r="CC23" s="221">
        <v>0</v>
      </c>
      <c r="CD23" s="221">
        <v>0</v>
      </c>
    </row>
    <row r="24">
      <c r="A24" s="253" t="s">
        <v>88</v>
      </c>
      <c r="B24" s="253" t="s">
        <v>94</v>
      </c>
      <c r="C24" s="240">
        <f>BA24+'User Input - Correlations'!C24</f>
        <v>0</v>
      </c>
      <c r="D24" s="240">
        <f>BB24+'User Input - Correlations'!D24</f>
        <v>0</v>
      </c>
      <c r="E24" s="240">
        <f>BC24+'User Input - Correlations'!E24</f>
        <v>0</v>
      </c>
      <c r="F24" s="240">
        <f>BD24+'User Input - Correlations'!F24</f>
        <v>0</v>
      </c>
      <c r="G24" s="240">
        <f>BE24+'User Input - Correlations'!G24</f>
        <v>0</v>
      </c>
      <c r="H24" s="240">
        <f>BF24+'User Input - Correlations'!H24</f>
        <v>0</v>
      </c>
      <c r="I24" s="240">
        <f>BG24+'User Input - Correlations'!I24</f>
        <v>0</v>
      </c>
      <c r="J24" s="240">
        <f>BH24+'User Input - Correlations'!J24</f>
        <v>0</v>
      </c>
      <c r="K24" s="240">
        <f>BI24+'User Input - Correlations'!K24</f>
        <v>0</v>
      </c>
      <c r="L24" s="240">
        <f>BJ24+'User Input - Correlations'!L24</f>
        <v>0</v>
      </c>
      <c r="M24" s="240">
        <f>BK24+'User Input - Correlations'!M24</f>
        <v>0</v>
      </c>
      <c r="N24" s="240">
        <f>BL24+'User Input - Correlations'!N24</f>
        <v>0</v>
      </c>
      <c r="O24" s="240">
        <f>BM24+'User Input - Correlations'!O24</f>
        <v>0</v>
      </c>
      <c r="P24" s="240">
        <v>1</v>
      </c>
      <c r="Q24" s="240">
        <f>BO24+'User Input - Correlations'!Q24</f>
        <v>0</v>
      </c>
      <c r="R24" s="240">
        <f>BP24+'User Input - Correlations'!R24</f>
        <v>0</v>
      </c>
      <c r="S24" s="240">
        <f>BQ24+'User Input - Correlations'!S24</f>
        <v>0</v>
      </c>
      <c r="T24" s="240">
        <f>BR24+'User Input - Correlations'!T24</f>
        <v>0</v>
      </c>
      <c r="U24" s="240">
        <f>BS24+'User Input - Correlations'!U24</f>
        <v>0</v>
      </c>
      <c r="V24" s="240">
        <f>BT24+'User Input - Correlations'!V24</f>
        <v>0</v>
      </c>
      <c r="W24" s="240">
        <f>BU24+'User Input - Correlations'!W24</f>
        <v>0</v>
      </c>
      <c r="X24" s="240">
        <f>BV24+'User Input - Correlations'!X24</f>
        <v>0</v>
      </c>
      <c r="Y24" s="240">
        <f>BW24+'User Input - Correlations'!Y24</f>
        <v>0</v>
      </c>
      <c r="Z24" s="240">
        <f>BX24+'User Input - Correlations'!Z24</f>
        <v>0</v>
      </c>
      <c r="AA24" s="240">
        <f>BY24+'User Input - Correlations'!AA24</f>
        <v>0</v>
      </c>
      <c r="AB24" s="240">
        <f>BZ24+'User Input - Correlations'!AB24</f>
        <v>0</v>
      </c>
      <c r="AC24" s="240">
        <f>CA24+'User Input - Correlations'!AC24</f>
        <v>0</v>
      </c>
      <c r="AD24" s="240">
        <f>CB24+'User Input - Correlations'!AD24</f>
        <v>0</v>
      </c>
      <c r="AE24" s="240">
        <f>CC24+'User Input - Correlations'!AE24</f>
        <v>0</v>
      </c>
      <c r="AF24" s="240">
        <f>CD24+'User Input - Correlations'!AF24</f>
        <v>0</v>
      </c>
      <c r="AG24" s="241">
        <f ca="1">MDETERM(OFFSET($C$11,0,0,ROWS($AG$11:$AG24),ROWS($AG$11:$AG24)))</f>
        <v>1</v>
      </c>
      <c r="BA24" s="221">
        <v>0</v>
      </c>
      <c r="BB24" s="221">
        <v>0</v>
      </c>
      <c r="BC24" s="221">
        <v>0</v>
      </c>
      <c r="BD24" s="221">
        <v>0</v>
      </c>
      <c r="BE24" s="221">
        <v>0</v>
      </c>
      <c r="BF24" s="221">
        <v>0</v>
      </c>
      <c r="BG24" s="221">
        <v>0</v>
      </c>
      <c r="BH24" s="221">
        <v>0</v>
      </c>
      <c r="BI24" s="221">
        <v>0</v>
      </c>
      <c r="BJ24" s="221">
        <v>0</v>
      </c>
      <c r="BK24" s="221">
        <v>0</v>
      </c>
      <c r="BL24" s="221">
        <v>0</v>
      </c>
      <c r="BM24" s="221">
        <v>0</v>
      </c>
      <c r="BN24" s="221">
        <v>1</v>
      </c>
      <c r="BO24" s="221">
        <v>0</v>
      </c>
      <c r="BP24" s="221">
        <v>0</v>
      </c>
      <c r="BQ24" s="221">
        <v>0</v>
      </c>
      <c r="BR24" s="221">
        <v>0</v>
      </c>
      <c r="BS24" s="221">
        <v>0</v>
      </c>
      <c r="BT24" s="221">
        <v>0</v>
      </c>
      <c r="BU24" s="221">
        <v>0</v>
      </c>
      <c r="BV24" s="221">
        <v>0</v>
      </c>
      <c r="BW24" s="221">
        <v>0</v>
      </c>
      <c r="BX24" s="221">
        <v>0</v>
      </c>
      <c r="BY24" s="221">
        <v>0</v>
      </c>
      <c r="BZ24" s="221">
        <v>0</v>
      </c>
      <c r="CA24" s="221">
        <v>0</v>
      </c>
      <c r="CB24" s="221">
        <v>0</v>
      </c>
      <c r="CC24" s="221">
        <v>0</v>
      </c>
      <c r="CD24" s="221">
        <v>0</v>
      </c>
    </row>
    <row r="25">
      <c r="A25" s="253" t="s">
        <v>87</v>
      </c>
      <c r="B25" s="253" t="s">
        <v>94</v>
      </c>
      <c r="C25" s="240">
        <f>BA25+'User Input - Correlations'!C25</f>
        <v>0</v>
      </c>
      <c r="D25" s="240">
        <f>BB25+'User Input - Correlations'!D25</f>
        <v>0</v>
      </c>
      <c r="E25" s="240">
        <f>BC25+'User Input - Correlations'!E25</f>
        <v>0</v>
      </c>
      <c r="F25" s="240">
        <f>BD25+'User Input - Correlations'!F25</f>
        <v>0</v>
      </c>
      <c r="G25" s="240">
        <f>BE25+'User Input - Correlations'!G25</f>
        <v>0</v>
      </c>
      <c r="H25" s="240">
        <f>BF25+'User Input - Correlations'!H25</f>
        <v>0</v>
      </c>
      <c r="I25" s="240">
        <f>BG25+'User Input - Correlations'!I25</f>
        <v>0</v>
      </c>
      <c r="J25" s="240">
        <f>BH25+'User Input - Correlations'!J25</f>
        <v>0</v>
      </c>
      <c r="K25" s="240">
        <f>BI25+'User Input - Correlations'!K25</f>
        <v>0</v>
      </c>
      <c r="L25" s="240">
        <f>BJ25+'User Input - Correlations'!L25</f>
        <v>0</v>
      </c>
      <c r="M25" s="240">
        <f>BK25+'User Input - Correlations'!M25</f>
        <v>0</v>
      </c>
      <c r="N25" s="240">
        <f>BL25+'User Input - Correlations'!N25</f>
        <v>0</v>
      </c>
      <c r="O25" s="240">
        <f>BM25+'User Input - Correlations'!O25</f>
        <v>0</v>
      </c>
      <c r="P25" s="240">
        <f>BN25+'User Input - Correlations'!P25</f>
        <v>0</v>
      </c>
      <c r="Q25" s="240">
        <v>1</v>
      </c>
      <c r="R25" s="240">
        <f>BP25+'User Input - Correlations'!R25</f>
        <v>0</v>
      </c>
      <c r="S25" s="240">
        <f>BQ25+'User Input - Correlations'!S25</f>
        <v>0</v>
      </c>
      <c r="T25" s="240">
        <f>BR25+'User Input - Correlations'!T25</f>
        <v>0</v>
      </c>
      <c r="U25" s="240">
        <f>BS25+'User Input - Correlations'!U25</f>
        <v>0</v>
      </c>
      <c r="V25" s="240">
        <f>BT25+'User Input - Correlations'!V25</f>
        <v>0</v>
      </c>
      <c r="W25" s="240">
        <f>BU25+'User Input - Correlations'!W25</f>
        <v>0</v>
      </c>
      <c r="X25" s="240">
        <f>BV25+'User Input - Correlations'!X25</f>
        <v>0</v>
      </c>
      <c r="Y25" s="240">
        <f>BW25+'User Input - Correlations'!Y25</f>
        <v>0</v>
      </c>
      <c r="Z25" s="240">
        <f>BX25+'User Input - Correlations'!Z25</f>
        <v>0</v>
      </c>
      <c r="AA25" s="240">
        <f>BY25+'User Input - Correlations'!AA25</f>
        <v>0</v>
      </c>
      <c r="AB25" s="240">
        <f>BZ25+'User Input - Correlations'!AB25</f>
        <v>0</v>
      </c>
      <c r="AC25" s="240">
        <f>CA25+'User Input - Correlations'!AC25</f>
        <v>0</v>
      </c>
      <c r="AD25" s="240">
        <f>CB25+'User Input - Correlations'!AD25</f>
        <v>0</v>
      </c>
      <c r="AE25" s="240">
        <f>CC25+'User Input - Correlations'!AE25</f>
        <v>0</v>
      </c>
      <c r="AF25" s="240">
        <f>CD25+'User Input - Correlations'!AF25</f>
        <v>0</v>
      </c>
      <c r="AG25" s="241">
        <f ca="1">MDETERM(OFFSET($C$11,0,0,ROWS($AG$11:$AG25),ROWS($AG$11:$AG25)))</f>
        <v>1</v>
      </c>
      <c r="BA25" s="221">
        <v>0</v>
      </c>
      <c r="BB25" s="221">
        <v>0</v>
      </c>
      <c r="BC25" s="221">
        <v>0</v>
      </c>
      <c r="BD25" s="221">
        <v>0</v>
      </c>
      <c r="BE25" s="221">
        <v>0</v>
      </c>
      <c r="BF25" s="221">
        <v>0</v>
      </c>
      <c r="BG25" s="221">
        <v>0</v>
      </c>
      <c r="BH25" s="221">
        <v>0</v>
      </c>
      <c r="BI25" s="221">
        <v>0</v>
      </c>
      <c r="BJ25" s="221">
        <v>0</v>
      </c>
      <c r="BK25" s="221">
        <v>0</v>
      </c>
      <c r="BL25" s="221">
        <v>0</v>
      </c>
      <c r="BM25" s="221">
        <v>0</v>
      </c>
      <c r="BN25" s="221">
        <v>0</v>
      </c>
      <c r="BO25" s="221">
        <v>1</v>
      </c>
      <c r="BP25" s="221">
        <v>0</v>
      </c>
      <c r="BQ25" s="221">
        <v>0</v>
      </c>
      <c r="BR25" s="221">
        <v>0</v>
      </c>
      <c r="BS25" s="221">
        <v>0</v>
      </c>
      <c r="BT25" s="221">
        <v>0</v>
      </c>
      <c r="BU25" s="221">
        <v>0</v>
      </c>
      <c r="BV25" s="221">
        <v>0</v>
      </c>
      <c r="BW25" s="221">
        <v>0</v>
      </c>
      <c r="BX25" s="221">
        <v>0</v>
      </c>
      <c r="BY25" s="221">
        <v>0</v>
      </c>
      <c r="BZ25" s="221">
        <v>0</v>
      </c>
      <c r="CA25" s="221">
        <v>0</v>
      </c>
      <c r="CB25" s="221">
        <v>0</v>
      </c>
      <c r="CC25" s="221">
        <v>0</v>
      </c>
      <c r="CD25" s="221">
        <v>0</v>
      </c>
    </row>
    <row r="26">
      <c r="A26" s="253" t="s">
        <v>86</v>
      </c>
      <c r="B26" s="253" t="s">
        <v>94</v>
      </c>
      <c r="C26" s="240">
        <f>BA26+'User Input - Correlations'!C26</f>
        <v>0</v>
      </c>
      <c r="D26" s="240">
        <f>BB26+'User Input - Correlations'!D26</f>
        <v>0</v>
      </c>
      <c r="E26" s="240">
        <f>BC26+'User Input - Correlations'!E26</f>
        <v>0</v>
      </c>
      <c r="F26" s="240">
        <f>BD26+'User Input - Correlations'!F26</f>
        <v>0</v>
      </c>
      <c r="G26" s="240">
        <f>BE26+'User Input - Correlations'!G26</f>
        <v>0</v>
      </c>
      <c r="H26" s="240">
        <f>BF26+'User Input - Correlations'!H26</f>
        <v>0</v>
      </c>
      <c r="I26" s="240">
        <f>BG26+'User Input - Correlations'!I26</f>
        <v>0</v>
      </c>
      <c r="J26" s="240">
        <f>BH26+'User Input - Correlations'!J26</f>
        <v>0</v>
      </c>
      <c r="K26" s="240">
        <f>BI26+'User Input - Correlations'!K26</f>
        <v>0</v>
      </c>
      <c r="L26" s="240">
        <f>BJ26+'User Input - Correlations'!L26</f>
        <v>0</v>
      </c>
      <c r="M26" s="240">
        <f>BK26+'User Input - Correlations'!M26</f>
        <v>0</v>
      </c>
      <c r="N26" s="240">
        <f>BL26+'User Input - Correlations'!N26</f>
        <v>0</v>
      </c>
      <c r="O26" s="240">
        <f>BM26+'User Input - Correlations'!O26</f>
        <v>0</v>
      </c>
      <c r="P26" s="240">
        <f>BN26+'User Input - Correlations'!P26</f>
        <v>0</v>
      </c>
      <c r="Q26" s="240">
        <f>BO26+'User Input - Correlations'!Q26</f>
        <v>0</v>
      </c>
      <c r="R26" s="240">
        <v>1</v>
      </c>
      <c r="S26" s="240">
        <f>BQ26+'User Input - Correlations'!S26</f>
        <v>0</v>
      </c>
      <c r="T26" s="240">
        <f>BR26+'User Input - Correlations'!T26</f>
        <v>0</v>
      </c>
      <c r="U26" s="240">
        <f>BS26+'User Input - Correlations'!U26</f>
        <v>0</v>
      </c>
      <c r="V26" s="240">
        <f>BT26+'User Input - Correlations'!V26</f>
        <v>0</v>
      </c>
      <c r="W26" s="240">
        <f>BU26+'User Input - Correlations'!W26</f>
        <v>0</v>
      </c>
      <c r="X26" s="240">
        <f>BV26+'User Input - Correlations'!X26</f>
        <v>0</v>
      </c>
      <c r="Y26" s="240">
        <f>BW26+'User Input - Correlations'!Y26</f>
        <v>0</v>
      </c>
      <c r="Z26" s="240">
        <f>BX26+'User Input - Correlations'!Z26</f>
        <v>0</v>
      </c>
      <c r="AA26" s="240">
        <f>BY26+'User Input - Correlations'!AA26</f>
        <v>0</v>
      </c>
      <c r="AB26" s="240">
        <f>BZ26+'User Input - Correlations'!AB26</f>
        <v>0</v>
      </c>
      <c r="AC26" s="240">
        <f>CA26+'User Input - Correlations'!AC26</f>
        <v>0</v>
      </c>
      <c r="AD26" s="240">
        <f>CB26+'User Input - Correlations'!AD26</f>
        <v>0</v>
      </c>
      <c r="AE26" s="240">
        <f>CC26+'User Input - Correlations'!AE26</f>
        <v>0</v>
      </c>
      <c r="AF26" s="240">
        <f>CD26+'User Input - Correlations'!AF26</f>
        <v>0</v>
      </c>
      <c r="AG26" s="241">
        <f ca="1">MDETERM(OFFSET($C$11,0,0,ROWS($AG$11:$AG26),ROWS($AG$11:$AG26)))</f>
        <v>1</v>
      </c>
      <c r="BA26" s="221">
        <v>0</v>
      </c>
      <c r="BB26" s="221">
        <v>0</v>
      </c>
      <c r="BC26" s="221">
        <v>0</v>
      </c>
      <c r="BD26" s="221">
        <v>0</v>
      </c>
      <c r="BE26" s="221">
        <v>0</v>
      </c>
      <c r="BF26" s="221">
        <v>0</v>
      </c>
      <c r="BG26" s="221">
        <v>0</v>
      </c>
      <c r="BH26" s="221">
        <v>0</v>
      </c>
      <c r="BI26" s="221">
        <v>0</v>
      </c>
      <c r="BJ26" s="221">
        <v>0</v>
      </c>
      <c r="BK26" s="221">
        <v>0</v>
      </c>
      <c r="BL26" s="221">
        <v>0</v>
      </c>
      <c r="BM26" s="221">
        <v>0</v>
      </c>
      <c r="BN26" s="221">
        <v>0</v>
      </c>
      <c r="BO26" s="221">
        <v>0</v>
      </c>
      <c r="BP26" s="221">
        <v>1</v>
      </c>
      <c r="BQ26" s="221">
        <v>0</v>
      </c>
      <c r="BR26" s="221">
        <v>0</v>
      </c>
      <c r="BS26" s="221">
        <v>0</v>
      </c>
      <c r="BT26" s="221">
        <v>0</v>
      </c>
      <c r="BU26" s="221">
        <v>0</v>
      </c>
      <c r="BV26" s="221">
        <v>0</v>
      </c>
      <c r="BW26" s="221">
        <v>0</v>
      </c>
      <c r="BX26" s="221">
        <v>0</v>
      </c>
      <c r="BY26" s="221">
        <v>0</v>
      </c>
      <c r="BZ26" s="221">
        <v>0</v>
      </c>
      <c r="CA26" s="221">
        <v>0</v>
      </c>
      <c r="CB26" s="221">
        <v>0</v>
      </c>
      <c r="CC26" s="221">
        <v>0</v>
      </c>
      <c r="CD26" s="221">
        <v>0</v>
      </c>
    </row>
    <row r="27">
      <c r="A27" s="254" t="s">
        <v>93</v>
      </c>
      <c r="B27" s="254" t="s">
        <v>85</v>
      </c>
      <c r="C27" s="240">
        <f>BA27+'User Input - Correlations'!C27</f>
        <v>0</v>
      </c>
      <c r="D27" s="240">
        <f>BB27+'User Input - Correlations'!D27</f>
        <v>0</v>
      </c>
      <c r="E27" s="240">
        <f>BC27+'User Input - Correlations'!E27</f>
        <v>0</v>
      </c>
      <c r="F27" s="240">
        <f>BD27+'User Input - Correlations'!F27</f>
        <v>0</v>
      </c>
      <c r="G27" s="240">
        <f>BE27+'User Input - Correlations'!G27</f>
        <v>0</v>
      </c>
      <c r="H27" s="240">
        <f>BF27+'User Input - Correlations'!H27</f>
        <v>0</v>
      </c>
      <c r="I27" s="240">
        <f>BG27+'User Input - Correlations'!I27</f>
        <v>0</v>
      </c>
      <c r="J27" s="240">
        <f>BH27+'User Input - Correlations'!J27</f>
        <v>0</v>
      </c>
      <c r="K27" s="240">
        <f>BI27+'User Input - Correlations'!K27</f>
        <v>0</v>
      </c>
      <c r="L27" s="240">
        <f>BJ27+'User Input - Correlations'!L27</f>
        <v>0</v>
      </c>
      <c r="M27" s="240">
        <f>BK27+'User Input - Correlations'!M27</f>
        <v>0</v>
      </c>
      <c r="N27" s="240">
        <f>BL27+'User Input - Correlations'!N27</f>
        <v>0</v>
      </c>
      <c r="O27" s="240">
        <f>BM27+'User Input - Correlations'!O27</f>
        <v>0</v>
      </c>
      <c r="P27" s="240">
        <f>BN27+'User Input - Correlations'!P27</f>
        <v>0</v>
      </c>
      <c r="Q27" s="240">
        <f>BO27+'User Input - Correlations'!Q27</f>
        <v>0</v>
      </c>
      <c r="R27" s="240">
        <f>BP27+'User Input - Correlations'!R27</f>
        <v>0</v>
      </c>
      <c r="S27" s="240">
        <v>1</v>
      </c>
      <c r="T27" s="240">
        <f>BR27+'User Input - Correlations'!T27</f>
        <v>0</v>
      </c>
      <c r="U27" s="240">
        <f>BS27+'User Input - Correlations'!U27</f>
        <v>0</v>
      </c>
      <c r="V27" s="240">
        <f>BT27+'User Input - Correlations'!V27</f>
        <v>0</v>
      </c>
      <c r="W27" s="240">
        <f>BU27+'User Input - Correlations'!W27</f>
        <v>0</v>
      </c>
      <c r="X27" s="240">
        <f>BV27+'User Input - Correlations'!X27</f>
        <v>0</v>
      </c>
      <c r="Y27" s="240">
        <f>BW27+'User Input - Correlations'!Y27</f>
        <v>0</v>
      </c>
      <c r="Z27" s="240">
        <f>BX27+'User Input - Correlations'!Z27</f>
        <v>0</v>
      </c>
      <c r="AA27" s="240">
        <f>BY27+'User Input - Correlations'!AA27</f>
        <v>0</v>
      </c>
      <c r="AB27" s="240">
        <f>BZ27+'User Input - Correlations'!AB27</f>
        <v>0</v>
      </c>
      <c r="AC27" s="240">
        <f>CA27+'User Input - Correlations'!AC27</f>
        <v>0</v>
      </c>
      <c r="AD27" s="240">
        <f>CB27+'User Input - Correlations'!AD27</f>
        <v>0</v>
      </c>
      <c r="AE27" s="240">
        <f>CC27+'User Input - Correlations'!AE27</f>
        <v>0</v>
      </c>
      <c r="AF27" s="240">
        <f>CD27+'User Input - Correlations'!AF27</f>
        <v>0</v>
      </c>
      <c r="AG27" s="241">
        <f ca="1">MDETERM(OFFSET($C$11,0,0,ROWS($AG$11:$AG27),ROWS($AG$11:$AG27)))</f>
        <v>1</v>
      </c>
      <c r="BA27" s="221">
        <v>0</v>
      </c>
      <c r="BB27" s="221">
        <v>0</v>
      </c>
      <c r="BC27" s="221">
        <v>0</v>
      </c>
      <c r="BD27" s="221">
        <v>0</v>
      </c>
      <c r="BE27" s="221">
        <v>0</v>
      </c>
      <c r="BF27" s="221">
        <v>0</v>
      </c>
      <c r="BG27" s="221">
        <v>0</v>
      </c>
      <c r="BH27" s="221">
        <v>0</v>
      </c>
      <c r="BI27" s="221">
        <v>0</v>
      </c>
      <c r="BJ27" s="221">
        <v>0</v>
      </c>
      <c r="BK27" s="221">
        <v>0</v>
      </c>
      <c r="BL27" s="221">
        <v>0</v>
      </c>
      <c r="BM27" s="221">
        <v>0</v>
      </c>
      <c r="BN27" s="221">
        <v>0</v>
      </c>
      <c r="BO27" s="221">
        <v>0</v>
      </c>
      <c r="BP27" s="221">
        <v>0</v>
      </c>
      <c r="BQ27" s="221">
        <v>1</v>
      </c>
      <c r="BR27" s="221">
        <v>0</v>
      </c>
      <c r="BS27" s="221">
        <v>0</v>
      </c>
      <c r="BT27" s="221">
        <v>0</v>
      </c>
      <c r="BU27" s="221">
        <v>0</v>
      </c>
      <c r="BV27" s="221">
        <v>0</v>
      </c>
      <c r="BW27" s="221">
        <v>0</v>
      </c>
      <c r="BX27" s="221">
        <v>0</v>
      </c>
      <c r="BY27" s="221">
        <v>0</v>
      </c>
      <c r="BZ27" s="221">
        <v>0</v>
      </c>
      <c r="CA27" s="221">
        <v>0</v>
      </c>
      <c r="CB27" s="221">
        <v>0</v>
      </c>
      <c r="CC27" s="221">
        <v>0</v>
      </c>
      <c r="CD27" s="221">
        <v>0</v>
      </c>
    </row>
    <row r="28">
      <c r="A28" s="254" t="s">
        <v>92</v>
      </c>
      <c r="B28" s="254" t="s">
        <v>85</v>
      </c>
      <c r="C28" s="240">
        <f>BA28+'User Input - Correlations'!C28</f>
        <v>0</v>
      </c>
      <c r="D28" s="240">
        <f>BB28+'User Input - Correlations'!D28</f>
        <v>0</v>
      </c>
      <c r="E28" s="240">
        <f>BC28+'User Input - Correlations'!E28</f>
        <v>0</v>
      </c>
      <c r="F28" s="240">
        <f>BD28+'User Input - Correlations'!F28</f>
        <v>0</v>
      </c>
      <c r="G28" s="240">
        <f>BE28+'User Input - Correlations'!G28</f>
        <v>0</v>
      </c>
      <c r="H28" s="240">
        <f>BF28+'User Input - Correlations'!H28</f>
        <v>0</v>
      </c>
      <c r="I28" s="240">
        <f>BG28+'User Input - Correlations'!I28</f>
        <v>0</v>
      </c>
      <c r="J28" s="240">
        <f>BH28+'User Input - Correlations'!J28</f>
        <v>0</v>
      </c>
      <c r="K28" s="240">
        <f>BI28+'User Input - Correlations'!K28</f>
        <v>0</v>
      </c>
      <c r="L28" s="240">
        <f>BJ28+'User Input - Correlations'!L28</f>
        <v>0</v>
      </c>
      <c r="M28" s="240">
        <f>BK28+'User Input - Correlations'!M28</f>
        <v>0</v>
      </c>
      <c r="N28" s="240">
        <f>BL28+'User Input - Correlations'!N28</f>
        <v>0</v>
      </c>
      <c r="O28" s="240">
        <f>BM28+'User Input - Correlations'!O28</f>
        <v>0</v>
      </c>
      <c r="P28" s="240">
        <f>BN28+'User Input - Correlations'!P28</f>
        <v>0</v>
      </c>
      <c r="Q28" s="240">
        <f>BO28+'User Input - Correlations'!Q28</f>
        <v>0</v>
      </c>
      <c r="R28" s="240">
        <f>BP28+'User Input - Correlations'!R28</f>
        <v>0</v>
      </c>
      <c r="S28" s="240">
        <f>BQ28+'User Input - Correlations'!S28</f>
        <v>0</v>
      </c>
      <c r="T28" s="240">
        <v>1</v>
      </c>
      <c r="U28" s="240">
        <f>BS28+'User Input - Correlations'!U28</f>
        <v>0</v>
      </c>
      <c r="V28" s="240">
        <f>BT28+'User Input - Correlations'!V28</f>
        <v>0</v>
      </c>
      <c r="W28" s="240">
        <f>BU28+'User Input - Correlations'!W28</f>
        <v>0</v>
      </c>
      <c r="X28" s="240">
        <f>BV28+'User Input - Correlations'!X28</f>
        <v>0</v>
      </c>
      <c r="Y28" s="240">
        <f>BW28+'User Input - Correlations'!Y28</f>
        <v>0</v>
      </c>
      <c r="Z28" s="240">
        <f>BX28+'User Input - Correlations'!Z28</f>
        <v>0</v>
      </c>
      <c r="AA28" s="240">
        <f>BY28+'User Input - Correlations'!AA28</f>
        <v>0</v>
      </c>
      <c r="AB28" s="240">
        <f>BZ28+'User Input - Correlations'!AB28</f>
        <v>0</v>
      </c>
      <c r="AC28" s="240">
        <f>CA28+'User Input - Correlations'!AC28</f>
        <v>0</v>
      </c>
      <c r="AD28" s="240">
        <f>CB28+'User Input - Correlations'!AD28</f>
        <v>0</v>
      </c>
      <c r="AE28" s="240">
        <f>CC28+'User Input - Correlations'!AE28</f>
        <v>0</v>
      </c>
      <c r="AF28" s="240">
        <f>CD28+'User Input - Correlations'!AF28</f>
        <v>0</v>
      </c>
      <c r="AG28" s="241">
        <f ca="1">MDETERM(OFFSET($C$11,0,0,ROWS($AG$11:$AG28),ROWS($AG$11:$AG28)))</f>
        <v>1</v>
      </c>
      <c r="BA28" s="221">
        <v>0</v>
      </c>
      <c r="BB28" s="221">
        <v>0</v>
      </c>
      <c r="BC28" s="221">
        <v>0</v>
      </c>
      <c r="BD28" s="221">
        <v>0</v>
      </c>
      <c r="BE28" s="221">
        <v>0</v>
      </c>
      <c r="BF28" s="221">
        <v>0</v>
      </c>
      <c r="BG28" s="221">
        <v>0</v>
      </c>
      <c r="BH28" s="221">
        <v>0</v>
      </c>
      <c r="BI28" s="221">
        <v>0</v>
      </c>
      <c r="BJ28" s="221">
        <v>0</v>
      </c>
      <c r="BK28" s="221">
        <v>0</v>
      </c>
      <c r="BL28" s="221">
        <v>0</v>
      </c>
      <c r="BM28" s="221">
        <v>0</v>
      </c>
      <c r="BN28" s="221">
        <v>0</v>
      </c>
      <c r="BO28" s="221">
        <v>0</v>
      </c>
      <c r="BP28" s="221">
        <v>0</v>
      </c>
      <c r="BQ28" s="221">
        <v>0</v>
      </c>
      <c r="BR28" s="221">
        <v>1</v>
      </c>
      <c r="BS28" s="221">
        <v>0</v>
      </c>
      <c r="BT28" s="221">
        <v>0</v>
      </c>
      <c r="BU28" s="221">
        <v>0</v>
      </c>
      <c r="BV28" s="221">
        <v>0</v>
      </c>
      <c r="BW28" s="221">
        <v>0</v>
      </c>
      <c r="BX28" s="221">
        <v>0</v>
      </c>
      <c r="BY28" s="221">
        <v>0</v>
      </c>
      <c r="BZ28" s="221">
        <v>0</v>
      </c>
      <c r="CA28" s="221">
        <v>0</v>
      </c>
      <c r="CB28" s="221">
        <v>0</v>
      </c>
      <c r="CC28" s="221">
        <v>0</v>
      </c>
      <c r="CD28" s="221">
        <v>0</v>
      </c>
    </row>
    <row r="29">
      <c r="A29" s="254" t="s">
        <v>91</v>
      </c>
      <c r="B29" s="254" t="s">
        <v>85</v>
      </c>
      <c r="C29" s="240">
        <f>BA29+'User Input - Correlations'!C29</f>
        <v>0</v>
      </c>
      <c r="D29" s="240">
        <f>BB29+'User Input - Correlations'!D29</f>
        <v>0</v>
      </c>
      <c r="E29" s="240">
        <f>BC29+'User Input - Correlations'!E29</f>
        <v>0</v>
      </c>
      <c r="F29" s="240">
        <f>BD29+'User Input - Correlations'!F29</f>
        <v>0</v>
      </c>
      <c r="G29" s="240">
        <f>BE29+'User Input - Correlations'!G29</f>
        <v>0</v>
      </c>
      <c r="H29" s="240">
        <f>BF29+'User Input - Correlations'!H29</f>
        <v>0</v>
      </c>
      <c r="I29" s="240">
        <f>BG29+'User Input - Correlations'!I29</f>
        <v>0</v>
      </c>
      <c r="J29" s="240">
        <f>BH29+'User Input - Correlations'!J29</f>
        <v>0</v>
      </c>
      <c r="K29" s="240">
        <f>BI29+'User Input - Correlations'!K29</f>
        <v>0</v>
      </c>
      <c r="L29" s="240">
        <f>BJ29+'User Input - Correlations'!L29</f>
        <v>0</v>
      </c>
      <c r="M29" s="240">
        <f>BK29+'User Input - Correlations'!M29</f>
        <v>0</v>
      </c>
      <c r="N29" s="240">
        <f>BL29+'User Input - Correlations'!N29</f>
        <v>0</v>
      </c>
      <c r="O29" s="240">
        <f>BM29+'User Input - Correlations'!O29</f>
        <v>0</v>
      </c>
      <c r="P29" s="240">
        <f>BN29+'User Input - Correlations'!P29</f>
        <v>0</v>
      </c>
      <c r="Q29" s="240">
        <f>BO29+'User Input - Correlations'!Q29</f>
        <v>0</v>
      </c>
      <c r="R29" s="240">
        <f>BP29+'User Input - Correlations'!R29</f>
        <v>0</v>
      </c>
      <c r="S29" s="240">
        <f>BQ29+'User Input - Correlations'!S29</f>
        <v>0</v>
      </c>
      <c r="T29" s="240">
        <f>BR29+'User Input - Correlations'!T29</f>
        <v>0</v>
      </c>
      <c r="U29" s="240">
        <v>1</v>
      </c>
      <c r="V29" s="240">
        <f>BT29+'User Input - Correlations'!V29</f>
        <v>0</v>
      </c>
      <c r="W29" s="240">
        <f>BU29+'User Input - Correlations'!W29</f>
        <v>0</v>
      </c>
      <c r="X29" s="240">
        <f>BV29+'User Input - Correlations'!X29</f>
        <v>0</v>
      </c>
      <c r="Y29" s="240">
        <f>BW29+'User Input - Correlations'!Y29</f>
        <v>0</v>
      </c>
      <c r="Z29" s="240">
        <f>BX29+'User Input - Correlations'!Z29</f>
        <v>0</v>
      </c>
      <c r="AA29" s="240">
        <f>BY29+'User Input - Correlations'!AA29</f>
        <v>0</v>
      </c>
      <c r="AB29" s="240">
        <f>BZ29+'User Input - Correlations'!AB29</f>
        <v>0</v>
      </c>
      <c r="AC29" s="240">
        <f>CA29+'User Input - Correlations'!AC29</f>
        <v>0</v>
      </c>
      <c r="AD29" s="240">
        <f>CB29+'User Input - Correlations'!AD29</f>
        <v>0</v>
      </c>
      <c r="AE29" s="240">
        <f>CC29+'User Input - Correlations'!AE29</f>
        <v>0</v>
      </c>
      <c r="AF29" s="240">
        <f>CD29+'User Input - Correlations'!AF29</f>
        <v>0</v>
      </c>
      <c r="AG29" s="241">
        <f ca="1">MDETERM(OFFSET($C$11,0,0,ROWS($AG$11:$AG29),ROWS($AG$11:$AG29)))</f>
        <v>1</v>
      </c>
      <c r="BA29" s="221">
        <v>0</v>
      </c>
      <c r="BB29" s="221">
        <v>0</v>
      </c>
      <c r="BC29" s="221">
        <v>0</v>
      </c>
      <c r="BD29" s="221">
        <v>0</v>
      </c>
      <c r="BE29" s="221">
        <v>0</v>
      </c>
      <c r="BF29" s="221">
        <v>0</v>
      </c>
      <c r="BG29" s="221">
        <v>0</v>
      </c>
      <c r="BH29" s="221">
        <v>0</v>
      </c>
      <c r="BI29" s="221">
        <v>0</v>
      </c>
      <c r="BJ29" s="221">
        <v>0</v>
      </c>
      <c r="BK29" s="221">
        <v>0</v>
      </c>
      <c r="BL29" s="221">
        <v>0</v>
      </c>
      <c r="BM29" s="221">
        <v>0</v>
      </c>
      <c r="BN29" s="221">
        <v>0</v>
      </c>
      <c r="BO29" s="221">
        <v>0</v>
      </c>
      <c r="BP29" s="221">
        <v>0</v>
      </c>
      <c r="BQ29" s="221">
        <v>0</v>
      </c>
      <c r="BR29" s="221">
        <v>0</v>
      </c>
      <c r="BS29" s="221">
        <v>1</v>
      </c>
      <c r="BT29" s="221">
        <v>0</v>
      </c>
      <c r="BU29" s="221">
        <v>0</v>
      </c>
      <c r="BV29" s="221">
        <v>0</v>
      </c>
      <c r="BW29" s="221">
        <v>0</v>
      </c>
      <c r="BX29" s="221">
        <v>0</v>
      </c>
      <c r="BY29" s="221">
        <v>0</v>
      </c>
      <c r="BZ29" s="221">
        <v>0</v>
      </c>
      <c r="CA29" s="221">
        <v>0</v>
      </c>
      <c r="CB29" s="221">
        <v>0</v>
      </c>
      <c r="CC29" s="221">
        <v>0</v>
      </c>
      <c r="CD29" s="221">
        <v>0</v>
      </c>
    </row>
    <row r="30">
      <c r="A30" s="254" t="s">
        <v>90</v>
      </c>
      <c r="B30" s="254" t="s">
        <v>85</v>
      </c>
      <c r="C30" s="240">
        <f>BA30+'User Input - Correlations'!C30</f>
        <v>0</v>
      </c>
      <c r="D30" s="240">
        <f>BB30+'User Input - Correlations'!D30</f>
        <v>0</v>
      </c>
      <c r="E30" s="240">
        <f>BC30+'User Input - Correlations'!E30</f>
        <v>0</v>
      </c>
      <c r="F30" s="240">
        <f>BD30+'User Input - Correlations'!F30</f>
        <v>0</v>
      </c>
      <c r="G30" s="240">
        <f>BE30+'User Input - Correlations'!G30</f>
        <v>0</v>
      </c>
      <c r="H30" s="240">
        <f>BF30+'User Input - Correlations'!H30</f>
        <v>0</v>
      </c>
      <c r="I30" s="240">
        <f>BG30+'User Input - Correlations'!I30</f>
        <v>0</v>
      </c>
      <c r="J30" s="240">
        <f>BH30+'User Input - Correlations'!J30</f>
        <v>0</v>
      </c>
      <c r="K30" s="240">
        <f>BI30+'User Input - Correlations'!K30</f>
        <v>0</v>
      </c>
      <c r="L30" s="240">
        <f>BJ30+'User Input - Correlations'!L30</f>
        <v>0</v>
      </c>
      <c r="M30" s="240">
        <f>BK30+'User Input - Correlations'!M30</f>
        <v>0</v>
      </c>
      <c r="N30" s="240">
        <f>BL30+'User Input - Correlations'!N30</f>
        <v>0</v>
      </c>
      <c r="O30" s="240">
        <f>BM30+'User Input - Correlations'!O30</f>
        <v>0</v>
      </c>
      <c r="P30" s="240">
        <f>BN30+'User Input - Correlations'!P30</f>
        <v>0</v>
      </c>
      <c r="Q30" s="240">
        <f>BO30+'User Input - Correlations'!Q30</f>
        <v>0</v>
      </c>
      <c r="R30" s="240">
        <f>BP30+'User Input - Correlations'!R30</f>
        <v>0</v>
      </c>
      <c r="S30" s="240">
        <f>BQ30+'User Input - Correlations'!S30</f>
        <v>0</v>
      </c>
      <c r="T30" s="240">
        <f>BR30+'User Input - Correlations'!T30</f>
        <v>0</v>
      </c>
      <c r="U30" s="240">
        <f>BS30+'User Input - Correlations'!U30</f>
        <v>0</v>
      </c>
      <c r="V30" s="240">
        <v>1</v>
      </c>
      <c r="W30" s="240">
        <f>BU30+'User Input - Correlations'!W30</f>
        <v>0</v>
      </c>
      <c r="X30" s="240">
        <f>BV30+'User Input - Correlations'!X30</f>
        <v>0</v>
      </c>
      <c r="Y30" s="240">
        <f>BW30+'User Input - Correlations'!Y30</f>
        <v>0</v>
      </c>
      <c r="Z30" s="240">
        <f>BX30+'User Input - Correlations'!Z30</f>
        <v>0</v>
      </c>
      <c r="AA30" s="240">
        <f>BY30+'User Input - Correlations'!AA30</f>
        <v>0</v>
      </c>
      <c r="AB30" s="240">
        <f>BZ30+'User Input - Correlations'!AB30</f>
        <v>0</v>
      </c>
      <c r="AC30" s="240">
        <f>CA30+'User Input - Correlations'!AC30</f>
        <v>0</v>
      </c>
      <c r="AD30" s="240">
        <f>CB30+'User Input - Correlations'!AD30</f>
        <v>0</v>
      </c>
      <c r="AE30" s="240">
        <f>CC30+'User Input - Correlations'!AE30</f>
        <v>0</v>
      </c>
      <c r="AF30" s="240">
        <f>CD30+'User Input - Correlations'!AF30</f>
        <v>0</v>
      </c>
      <c r="AG30" s="241">
        <f ca="1">MDETERM(OFFSET($C$11,0,0,ROWS($AG$11:$AG30),ROWS($AG$11:$AG30)))</f>
        <v>1</v>
      </c>
      <c r="BA30" s="221">
        <v>0</v>
      </c>
      <c r="BB30" s="221">
        <v>0</v>
      </c>
      <c r="BC30" s="221">
        <v>0</v>
      </c>
      <c r="BD30" s="221">
        <v>0</v>
      </c>
      <c r="BE30" s="221">
        <v>0</v>
      </c>
      <c r="BF30" s="221">
        <v>0</v>
      </c>
      <c r="BG30" s="221">
        <v>0</v>
      </c>
      <c r="BH30" s="221">
        <v>0</v>
      </c>
      <c r="BI30" s="221">
        <v>0</v>
      </c>
      <c r="BJ30" s="221">
        <v>0</v>
      </c>
      <c r="BK30" s="221">
        <v>0</v>
      </c>
      <c r="BL30" s="221">
        <v>0</v>
      </c>
      <c r="BM30" s="221">
        <v>0</v>
      </c>
      <c r="BN30" s="221">
        <v>0</v>
      </c>
      <c r="BO30" s="221">
        <v>0</v>
      </c>
      <c r="BP30" s="221">
        <v>0</v>
      </c>
      <c r="BQ30" s="221">
        <v>0</v>
      </c>
      <c r="BR30" s="221">
        <v>0</v>
      </c>
      <c r="BS30" s="221">
        <v>0</v>
      </c>
      <c r="BT30" s="221">
        <v>1</v>
      </c>
      <c r="BU30" s="221">
        <v>0</v>
      </c>
      <c r="BV30" s="221">
        <v>0</v>
      </c>
      <c r="BW30" s="221">
        <v>0</v>
      </c>
      <c r="BX30" s="221">
        <v>0</v>
      </c>
      <c r="BY30" s="221">
        <v>0</v>
      </c>
      <c r="BZ30" s="221">
        <v>0</v>
      </c>
      <c r="CA30" s="221">
        <v>0</v>
      </c>
      <c r="CB30" s="221">
        <v>0</v>
      </c>
      <c r="CC30" s="221">
        <v>0</v>
      </c>
      <c r="CD30" s="221">
        <v>0</v>
      </c>
    </row>
    <row r="31">
      <c r="A31" s="254" t="s">
        <v>89</v>
      </c>
      <c r="B31" s="254" t="s">
        <v>85</v>
      </c>
      <c r="C31" s="240">
        <f>BA31+'User Input - Correlations'!C31</f>
        <v>0</v>
      </c>
      <c r="D31" s="240">
        <f>BB31+'User Input - Correlations'!D31</f>
        <v>0</v>
      </c>
      <c r="E31" s="240">
        <f>BC31+'User Input - Correlations'!E31</f>
        <v>0</v>
      </c>
      <c r="F31" s="240">
        <f>BD31+'User Input - Correlations'!F31</f>
        <v>0</v>
      </c>
      <c r="G31" s="240">
        <f>BE31+'User Input - Correlations'!G31</f>
        <v>0</v>
      </c>
      <c r="H31" s="240">
        <f>BF31+'User Input - Correlations'!H31</f>
        <v>0</v>
      </c>
      <c r="I31" s="240">
        <f>BG31+'User Input - Correlations'!I31</f>
        <v>0</v>
      </c>
      <c r="J31" s="240">
        <f>BH31+'User Input - Correlations'!J31</f>
        <v>0</v>
      </c>
      <c r="K31" s="240">
        <f>BI31+'User Input - Correlations'!K31</f>
        <v>0</v>
      </c>
      <c r="L31" s="240">
        <f>BJ31+'User Input - Correlations'!L31</f>
        <v>0</v>
      </c>
      <c r="M31" s="240">
        <f>BK31+'User Input - Correlations'!M31</f>
        <v>0</v>
      </c>
      <c r="N31" s="240">
        <f>BL31+'User Input - Correlations'!N31</f>
        <v>0</v>
      </c>
      <c r="O31" s="240">
        <f>BM31+'User Input - Correlations'!O31</f>
        <v>0</v>
      </c>
      <c r="P31" s="240">
        <f>BN31+'User Input - Correlations'!P31</f>
        <v>0</v>
      </c>
      <c r="Q31" s="240">
        <f>BO31+'User Input - Correlations'!Q31</f>
        <v>0</v>
      </c>
      <c r="R31" s="240">
        <f>BP31+'User Input - Correlations'!R31</f>
        <v>0</v>
      </c>
      <c r="S31" s="240">
        <f>BQ31+'User Input - Correlations'!S31</f>
        <v>0</v>
      </c>
      <c r="T31" s="240">
        <f>BR31+'User Input - Correlations'!T31</f>
        <v>0</v>
      </c>
      <c r="U31" s="240">
        <f>BS31+'User Input - Correlations'!U31</f>
        <v>0</v>
      </c>
      <c r="V31" s="240">
        <f>BT31+'User Input - Correlations'!V31</f>
        <v>0</v>
      </c>
      <c r="W31" s="240">
        <v>1</v>
      </c>
      <c r="X31" s="240">
        <f>BV31+'User Input - Correlations'!X31</f>
        <v>0</v>
      </c>
      <c r="Y31" s="240">
        <f>BW31+'User Input - Correlations'!Y31</f>
        <v>0</v>
      </c>
      <c r="Z31" s="240">
        <f>BX31+'User Input - Correlations'!Z31</f>
        <v>0</v>
      </c>
      <c r="AA31" s="240">
        <f>BY31+'User Input - Correlations'!AA31</f>
        <v>0</v>
      </c>
      <c r="AB31" s="240">
        <f>BZ31+'User Input - Correlations'!AB31</f>
        <v>0</v>
      </c>
      <c r="AC31" s="240">
        <f>CA31+'User Input - Correlations'!AC31</f>
        <v>0</v>
      </c>
      <c r="AD31" s="240">
        <f>CB31+'User Input - Correlations'!AD31</f>
        <v>0</v>
      </c>
      <c r="AE31" s="240">
        <f>CC31+'User Input - Correlations'!AE31</f>
        <v>0</v>
      </c>
      <c r="AF31" s="240">
        <f>CD31+'User Input - Correlations'!AF31</f>
        <v>0</v>
      </c>
      <c r="AG31" s="241">
        <f ca="1">MDETERM(OFFSET($C$11,0,0,ROWS($AG$11:$AG31),ROWS($AG$11:$AG31)))</f>
        <v>1</v>
      </c>
      <c r="BA31" s="221">
        <v>0</v>
      </c>
      <c r="BB31" s="221">
        <v>0</v>
      </c>
      <c r="BC31" s="221">
        <v>0</v>
      </c>
      <c r="BD31" s="221">
        <v>0</v>
      </c>
      <c r="BE31" s="221">
        <v>0</v>
      </c>
      <c r="BF31" s="221">
        <v>0</v>
      </c>
      <c r="BG31" s="221">
        <v>0</v>
      </c>
      <c r="BH31" s="221">
        <v>0</v>
      </c>
      <c r="BI31" s="221">
        <v>0</v>
      </c>
      <c r="BJ31" s="221">
        <v>0</v>
      </c>
      <c r="BK31" s="221">
        <v>0</v>
      </c>
      <c r="BL31" s="221">
        <v>0</v>
      </c>
      <c r="BM31" s="221">
        <v>0</v>
      </c>
      <c r="BN31" s="221">
        <v>0</v>
      </c>
      <c r="BO31" s="221">
        <v>0</v>
      </c>
      <c r="BP31" s="221">
        <v>0</v>
      </c>
      <c r="BQ31" s="221">
        <v>0</v>
      </c>
      <c r="BR31" s="221">
        <v>0</v>
      </c>
      <c r="BS31" s="221">
        <v>0</v>
      </c>
      <c r="BT31" s="221">
        <v>0</v>
      </c>
      <c r="BU31" s="221">
        <v>1</v>
      </c>
      <c r="BV31" s="221">
        <v>0</v>
      </c>
      <c r="BW31" s="221">
        <v>0</v>
      </c>
      <c r="BX31" s="221">
        <v>0</v>
      </c>
      <c r="BY31" s="221">
        <v>0</v>
      </c>
      <c r="BZ31" s="221">
        <v>0</v>
      </c>
      <c r="CA31" s="221">
        <v>0</v>
      </c>
      <c r="CB31" s="221">
        <v>0</v>
      </c>
      <c r="CC31" s="221">
        <v>0</v>
      </c>
      <c r="CD31" s="221">
        <v>0</v>
      </c>
    </row>
    <row r="32">
      <c r="A32" s="254" t="s">
        <v>88</v>
      </c>
      <c r="B32" s="254" t="s">
        <v>85</v>
      </c>
      <c r="C32" s="240">
        <f>BA32+'User Input - Correlations'!C32</f>
        <v>0</v>
      </c>
      <c r="D32" s="240">
        <f>BB32+'User Input - Correlations'!D32</f>
        <v>0</v>
      </c>
      <c r="E32" s="240">
        <f>BC32+'User Input - Correlations'!E32</f>
        <v>0</v>
      </c>
      <c r="F32" s="240">
        <f>BD32+'User Input - Correlations'!F32</f>
        <v>0</v>
      </c>
      <c r="G32" s="240">
        <f>BE32+'User Input - Correlations'!G32</f>
        <v>0</v>
      </c>
      <c r="H32" s="240">
        <f>BF32+'User Input - Correlations'!H32</f>
        <v>0</v>
      </c>
      <c r="I32" s="240">
        <f>BG32+'User Input - Correlations'!I32</f>
        <v>0</v>
      </c>
      <c r="J32" s="240">
        <f>BH32+'User Input - Correlations'!J32</f>
        <v>0</v>
      </c>
      <c r="K32" s="240">
        <f>BI32+'User Input - Correlations'!K32</f>
        <v>0</v>
      </c>
      <c r="L32" s="240">
        <f>BJ32+'User Input - Correlations'!L32</f>
        <v>0</v>
      </c>
      <c r="M32" s="240">
        <f>BK32+'User Input - Correlations'!M32</f>
        <v>0</v>
      </c>
      <c r="N32" s="240">
        <f>BL32+'User Input - Correlations'!N32</f>
        <v>0</v>
      </c>
      <c r="O32" s="240">
        <f>BM32+'User Input - Correlations'!O32</f>
        <v>0</v>
      </c>
      <c r="P32" s="240">
        <f>BN32+'User Input - Correlations'!P32</f>
        <v>0</v>
      </c>
      <c r="Q32" s="240">
        <f>BO32+'User Input - Correlations'!Q32</f>
        <v>0</v>
      </c>
      <c r="R32" s="240">
        <f>BP32+'User Input - Correlations'!R32</f>
        <v>0</v>
      </c>
      <c r="S32" s="240">
        <f>BQ32+'User Input - Correlations'!S32</f>
        <v>0</v>
      </c>
      <c r="T32" s="240">
        <f>BR32+'User Input - Correlations'!T32</f>
        <v>0</v>
      </c>
      <c r="U32" s="240">
        <f>BS32+'User Input - Correlations'!U32</f>
        <v>0</v>
      </c>
      <c r="V32" s="240">
        <f>BT32+'User Input - Correlations'!V32</f>
        <v>0</v>
      </c>
      <c r="W32" s="240">
        <f>BU32+'User Input - Correlations'!W32</f>
        <v>0</v>
      </c>
      <c r="X32" s="240">
        <v>1</v>
      </c>
      <c r="Y32" s="240">
        <f>BW32+'User Input - Correlations'!Y32</f>
        <v>0</v>
      </c>
      <c r="Z32" s="240">
        <f>BX32+'User Input - Correlations'!Z32</f>
        <v>0</v>
      </c>
      <c r="AA32" s="240">
        <f>BY32+'User Input - Correlations'!AA32</f>
        <v>0</v>
      </c>
      <c r="AB32" s="240">
        <f>BZ32+'User Input - Correlations'!AB32</f>
        <v>0</v>
      </c>
      <c r="AC32" s="240">
        <f>CA32+'User Input - Correlations'!AC32</f>
        <v>0</v>
      </c>
      <c r="AD32" s="240">
        <f>CB32+'User Input - Correlations'!AD32</f>
        <v>0</v>
      </c>
      <c r="AE32" s="240">
        <f>CC32+'User Input - Correlations'!AE32</f>
        <v>0</v>
      </c>
      <c r="AF32" s="240">
        <f>CD32+'User Input - Correlations'!AF32</f>
        <v>0</v>
      </c>
      <c r="AG32" s="241">
        <f ca="1">MDETERM(OFFSET($C$11,0,0,ROWS($AG$11:$AG32),ROWS($AG$11:$AG32)))</f>
        <v>1</v>
      </c>
      <c r="BA32" s="221">
        <v>0</v>
      </c>
      <c r="BB32" s="221">
        <v>0</v>
      </c>
      <c r="BC32" s="221">
        <v>0</v>
      </c>
      <c r="BD32" s="221">
        <v>0</v>
      </c>
      <c r="BE32" s="221">
        <v>0</v>
      </c>
      <c r="BF32" s="221">
        <v>0</v>
      </c>
      <c r="BG32" s="221">
        <v>0</v>
      </c>
      <c r="BH32" s="221">
        <v>0</v>
      </c>
      <c r="BI32" s="221">
        <v>0</v>
      </c>
      <c r="BJ32" s="221">
        <v>0</v>
      </c>
      <c r="BK32" s="221">
        <v>0</v>
      </c>
      <c r="BL32" s="221">
        <v>0</v>
      </c>
      <c r="BM32" s="221">
        <v>0</v>
      </c>
      <c r="BN32" s="221">
        <v>0</v>
      </c>
      <c r="BO32" s="221">
        <v>0</v>
      </c>
      <c r="BP32" s="221">
        <v>0</v>
      </c>
      <c r="BQ32" s="221">
        <v>0</v>
      </c>
      <c r="BR32" s="221">
        <v>0</v>
      </c>
      <c r="BS32" s="221">
        <v>0</v>
      </c>
      <c r="BT32" s="221">
        <v>0</v>
      </c>
      <c r="BU32" s="221">
        <v>0</v>
      </c>
      <c r="BV32" s="221">
        <v>1</v>
      </c>
      <c r="BW32" s="221">
        <v>0</v>
      </c>
      <c r="BX32" s="221">
        <v>0</v>
      </c>
      <c r="BY32" s="221">
        <v>0</v>
      </c>
      <c r="BZ32" s="221">
        <v>0</v>
      </c>
      <c r="CA32" s="221">
        <v>0</v>
      </c>
      <c r="CB32" s="221">
        <v>0</v>
      </c>
      <c r="CC32" s="221">
        <v>0</v>
      </c>
      <c r="CD32" s="221">
        <v>0</v>
      </c>
    </row>
    <row r="33">
      <c r="A33" s="254" t="s">
        <v>87</v>
      </c>
      <c r="B33" s="254" t="s">
        <v>85</v>
      </c>
      <c r="C33" s="240">
        <f>BA33+'User Input - Correlations'!C33</f>
        <v>0</v>
      </c>
      <c r="D33" s="240">
        <f>BB33+'User Input - Correlations'!D33</f>
        <v>0</v>
      </c>
      <c r="E33" s="240">
        <f>BC33+'User Input - Correlations'!E33</f>
        <v>0</v>
      </c>
      <c r="F33" s="240">
        <f>BD33+'User Input - Correlations'!F33</f>
        <v>0</v>
      </c>
      <c r="G33" s="240">
        <f>BE33+'User Input - Correlations'!G33</f>
        <v>0</v>
      </c>
      <c r="H33" s="240">
        <f>BF33+'User Input - Correlations'!H33</f>
        <v>0</v>
      </c>
      <c r="I33" s="240">
        <f>BG33+'User Input - Correlations'!I33</f>
        <v>0</v>
      </c>
      <c r="J33" s="240">
        <f>BH33+'User Input - Correlations'!J33</f>
        <v>0</v>
      </c>
      <c r="K33" s="240">
        <f>BI33+'User Input - Correlations'!K33</f>
        <v>0</v>
      </c>
      <c r="L33" s="240">
        <f>BJ33+'User Input - Correlations'!L33</f>
        <v>0</v>
      </c>
      <c r="M33" s="240">
        <f>BK33+'User Input - Correlations'!M33</f>
        <v>0</v>
      </c>
      <c r="N33" s="240">
        <f>BL33+'User Input - Correlations'!N33</f>
        <v>0</v>
      </c>
      <c r="O33" s="240">
        <f>BM33+'User Input - Correlations'!O33</f>
        <v>0</v>
      </c>
      <c r="P33" s="240">
        <f>BN33+'User Input - Correlations'!P33</f>
        <v>0</v>
      </c>
      <c r="Q33" s="240">
        <f>BO33+'User Input - Correlations'!Q33</f>
        <v>0</v>
      </c>
      <c r="R33" s="240">
        <f>BP33+'User Input - Correlations'!R33</f>
        <v>0</v>
      </c>
      <c r="S33" s="240">
        <f>BQ33+'User Input - Correlations'!S33</f>
        <v>0</v>
      </c>
      <c r="T33" s="240">
        <f>BR33+'User Input - Correlations'!T33</f>
        <v>0</v>
      </c>
      <c r="U33" s="240">
        <f>BS33+'User Input - Correlations'!U33</f>
        <v>0</v>
      </c>
      <c r="V33" s="240">
        <f>BT33+'User Input - Correlations'!V33</f>
        <v>0</v>
      </c>
      <c r="W33" s="240">
        <f>BU33+'User Input - Correlations'!W33</f>
        <v>0</v>
      </c>
      <c r="X33" s="240">
        <f>BV33+'User Input - Correlations'!X33</f>
        <v>0</v>
      </c>
      <c r="Y33" s="240">
        <v>1</v>
      </c>
      <c r="Z33" s="240">
        <f>BX33+'User Input - Correlations'!Z33</f>
        <v>0</v>
      </c>
      <c r="AA33" s="240">
        <f>BY33+'User Input - Correlations'!AA33</f>
        <v>0</v>
      </c>
      <c r="AB33" s="240">
        <f>BZ33+'User Input - Correlations'!AB33</f>
        <v>0</v>
      </c>
      <c r="AC33" s="240">
        <f>CA33+'User Input - Correlations'!AC33</f>
        <v>0</v>
      </c>
      <c r="AD33" s="240">
        <f>CB33+'User Input - Correlations'!AD33</f>
        <v>0</v>
      </c>
      <c r="AE33" s="240">
        <f>CC33+'User Input - Correlations'!AE33</f>
        <v>0</v>
      </c>
      <c r="AF33" s="240">
        <f>CD33+'User Input - Correlations'!AF33</f>
        <v>0</v>
      </c>
      <c r="AG33" s="241">
        <f ca="1">MDETERM(OFFSET($C$11,0,0,ROWS($AG$11:$AG33),ROWS($AG$11:$AG33)))</f>
        <v>1</v>
      </c>
      <c r="BA33" s="221">
        <v>0</v>
      </c>
      <c r="BB33" s="221">
        <v>0</v>
      </c>
      <c r="BC33" s="221">
        <v>0</v>
      </c>
      <c r="BD33" s="221">
        <v>0</v>
      </c>
      <c r="BE33" s="221">
        <v>0</v>
      </c>
      <c r="BF33" s="221">
        <v>0</v>
      </c>
      <c r="BG33" s="221">
        <v>0</v>
      </c>
      <c r="BH33" s="221">
        <v>0</v>
      </c>
      <c r="BI33" s="221">
        <v>0</v>
      </c>
      <c r="BJ33" s="221">
        <v>0</v>
      </c>
      <c r="BK33" s="221">
        <v>0</v>
      </c>
      <c r="BL33" s="221">
        <v>0</v>
      </c>
      <c r="BM33" s="221">
        <v>0</v>
      </c>
      <c r="BN33" s="221">
        <v>0</v>
      </c>
      <c r="BO33" s="221">
        <v>0</v>
      </c>
      <c r="BP33" s="221">
        <v>0</v>
      </c>
      <c r="BQ33" s="221">
        <v>0</v>
      </c>
      <c r="BR33" s="221">
        <v>0</v>
      </c>
      <c r="BS33" s="221">
        <v>0</v>
      </c>
      <c r="BT33" s="221">
        <v>0</v>
      </c>
      <c r="BU33" s="221">
        <v>0</v>
      </c>
      <c r="BV33" s="221">
        <v>0</v>
      </c>
      <c r="BW33" s="221">
        <v>1</v>
      </c>
      <c r="BX33" s="221">
        <v>0</v>
      </c>
      <c r="BY33" s="221">
        <v>0</v>
      </c>
      <c r="BZ33" s="221">
        <v>0</v>
      </c>
      <c r="CA33" s="221">
        <v>0</v>
      </c>
      <c r="CB33" s="221">
        <v>0</v>
      </c>
      <c r="CC33" s="221">
        <v>0</v>
      </c>
      <c r="CD33" s="221">
        <v>0</v>
      </c>
    </row>
    <row r="34">
      <c r="A34" s="254" t="s">
        <v>86</v>
      </c>
      <c r="B34" s="254" t="s">
        <v>85</v>
      </c>
      <c r="C34" s="240">
        <f>BA34+'User Input - Correlations'!C34</f>
        <v>0</v>
      </c>
      <c r="D34" s="240">
        <f>BB34+'User Input - Correlations'!D34</f>
        <v>0</v>
      </c>
      <c r="E34" s="240">
        <f>BC34+'User Input - Correlations'!E34</f>
        <v>0</v>
      </c>
      <c r="F34" s="240">
        <f>BD34+'User Input - Correlations'!F34</f>
        <v>0</v>
      </c>
      <c r="G34" s="240">
        <f>BE34+'User Input - Correlations'!G34</f>
        <v>0</v>
      </c>
      <c r="H34" s="240">
        <f>BF34+'User Input - Correlations'!H34</f>
        <v>0</v>
      </c>
      <c r="I34" s="240">
        <f>BG34+'User Input - Correlations'!I34</f>
        <v>0</v>
      </c>
      <c r="J34" s="240">
        <f>BH34+'User Input - Correlations'!J34</f>
        <v>0</v>
      </c>
      <c r="K34" s="240">
        <f>BI34+'User Input - Correlations'!K34</f>
        <v>0</v>
      </c>
      <c r="L34" s="240">
        <f>BJ34+'User Input - Correlations'!L34</f>
        <v>0</v>
      </c>
      <c r="M34" s="240">
        <f>BK34+'User Input - Correlations'!M34</f>
        <v>0</v>
      </c>
      <c r="N34" s="240">
        <f>BL34+'User Input - Correlations'!N34</f>
        <v>0</v>
      </c>
      <c r="O34" s="240">
        <f>BM34+'User Input - Correlations'!O34</f>
        <v>0</v>
      </c>
      <c r="P34" s="240">
        <f>BN34+'User Input - Correlations'!P34</f>
        <v>0</v>
      </c>
      <c r="Q34" s="240">
        <f>BO34+'User Input - Correlations'!Q34</f>
        <v>0</v>
      </c>
      <c r="R34" s="240">
        <f>BP34+'User Input - Correlations'!R34</f>
        <v>0</v>
      </c>
      <c r="S34" s="240">
        <f>BQ34+'User Input - Correlations'!S34</f>
        <v>0</v>
      </c>
      <c r="T34" s="240">
        <f>BR34+'User Input - Correlations'!T34</f>
        <v>0</v>
      </c>
      <c r="U34" s="240">
        <f>BS34+'User Input - Correlations'!U34</f>
        <v>0</v>
      </c>
      <c r="V34" s="240">
        <f>BT34+'User Input - Correlations'!V34</f>
        <v>0</v>
      </c>
      <c r="W34" s="240">
        <f>BU34+'User Input - Correlations'!W34</f>
        <v>0</v>
      </c>
      <c r="X34" s="240">
        <f>BV34+'User Input - Correlations'!X34</f>
        <v>0</v>
      </c>
      <c r="Y34" s="240">
        <f>BW34+'User Input - Correlations'!Y34</f>
        <v>0</v>
      </c>
      <c r="Z34" s="240">
        <v>1</v>
      </c>
      <c r="AA34" s="240">
        <f>BY34+'User Input - Correlations'!AA34</f>
        <v>0</v>
      </c>
      <c r="AB34" s="240">
        <f>BZ34+'User Input - Correlations'!AB34</f>
        <v>0</v>
      </c>
      <c r="AC34" s="240">
        <f>CA34+'User Input - Correlations'!AC34</f>
        <v>0</v>
      </c>
      <c r="AD34" s="240">
        <f>CB34+'User Input - Correlations'!AD34</f>
        <v>0</v>
      </c>
      <c r="AE34" s="240">
        <f>CC34+'User Input - Correlations'!AE34</f>
        <v>0</v>
      </c>
      <c r="AF34" s="240">
        <f>CD34+'User Input - Correlations'!AF34</f>
        <v>0</v>
      </c>
      <c r="AG34" s="241">
        <f ca="1">MDETERM(OFFSET($C$11,0,0,ROWS($AG$11:$AG34),ROWS($AG$11:$AG34)))</f>
        <v>1</v>
      </c>
      <c r="BA34" s="221">
        <v>0</v>
      </c>
      <c r="BB34" s="221">
        <v>0</v>
      </c>
      <c r="BC34" s="221">
        <v>0</v>
      </c>
      <c r="BD34" s="221">
        <v>0</v>
      </c>
      <c r="BE34" s="221">
        <v>0</v>
      </c>
      <c r="BF34" s="221">
        <v>0</v>
      </c>
      <c r="BG34" s="221">
        <v>0</v>
      </c>
      <c r="BH34" s="221">
        <v>0</v>
      </c>
      <c r="BI34" s="221">
        <v>0</v>
      </c>
      <c r="BJ34" s="221">
        <v>0</v>
      </c>
      <c r="BK34" s="221">
        <v>0</v>
      </c>
      <c r="BL34" s="221">
        <v>0</v>
      </c>
      <c r="BM34" s="221">
        <v>0</v>
      </c>
      <c r="BN34" s="221">
        <v>0</v>
      </c>
      <c r="BO34" s="221">
        <v>0</v>
      </c>
      <c r="BP34" s="221">
        <v>0</v>
      </c>
      <c r="BQ34" s="221">
        <v>0</v>
      </c>
      <c r="BR34" s="221">
        <v>0</v>
      </c>
      <c r="BS34" s="221">
        <v>0</v>
      </c>
      <c r="BT34" s="221">
        <v>0</v>
      </c>
      <c r="BU34" s="221">
        <v>0</v>
      </c>
      <c r="BV34" s="221">
        <v>0</v>
      </c>
      <c r="BW34" s="221">
        <v>0</v>
      </c>
      <c r="BX34" s="221">
        <v>1</v>
      </c>
      <c r="BY34" s="221">
        <v>0</v>
      </c>
      <c r="BZ34" s="221">
        <v>0</v>
      </c>
      <c r="CA34" s="221">
        <v>0</v>
      </c>
      <c r="CB34" s="221">
        <v>0</v>
      </c>
      <c r="CC34" s="221">
        <v>0</v>
      </c>
      <c r="CD34" s="221">
        <v>0</v>
      </c>
    </row>
    <row r="35">
      <c r="A35" s="255" t="s">
        <v>130</v>
      </c>
      <c r="B35" s="255" t="s">
        <v>113</v>
      </c>
      <c r="C35" s="240">
        <f>BA35+'User Input - Correlations'!C35</f>
        <v>0</v>
      </c>
      <c r="D35" s="240">
        <f>BB35+'User Input - Correlations'!D35</f>
        <v>0</v>
      </c>
      <c r="E35" s="240">
        <f>BC35+'User Input - Correlations'!E35</f>
        <v>0</v>
      </c>
      <c r="F35" s="240">
        <f>BD35+'User Input - Correlations'!F35</f>
        <v>0</v>
      </c>
      <c r="G35" s="240">
        <f>BE35+'User Input - Correlations'!G35</f>
        <v>0</v>
      </c>
      <c r="H35" s="240">
        <f>BF35+'User Input - Correlations'!H35</f>
        <v>0</v>
      </c>
      <c r="I35" s="240">
        <f>BG35+'User Input - Correlations'!I35</f>
        <v>0</v>
      </c>
      <c r="J35" s="240">
        <f>BH35+'User Input - Correlations'!J35</f>
        <v>0</v>
      </c>
      <c r="K35" s="240">
        <f>BI35+'User Input - Correlations'!K35</f>
        <v>0</v>
      </c>
      <c r="L35" s="240">
        <f>BJ35+'User Input - Correlations'!L35</f>
        <v>0</v>
      </c>
      <c r="M35" s="240">
        <f>BK35+'User Input - Correlations'!M35</f>
        <v>0</v>
      </c>
      <c r="N35" s="240">
        <f>BL35+'User Input - Correlations'!N35</f>
        <v>0</v>
      </c>
      <c r="O35" s="240">
        <f>BM35+'User Input - Correlations'!O35</f>
        <v>0</v>
      </c>
      <c r="P35" s="240">
        <f>BN35+'User Input - Correlations'!P35</f>
        <v>0</v>
      </c>
      <c r="Q35" s="240">
        <f>BO35+'User Input - Correlations'!Q35</f>
        <v>0</v>
      </c>
      <c r="R35" s="240">
        <f>BP35+'User Input - Correlations'!R35</f>
        <v>0</v>
      </c>
      <c r="S35" s="240">
        <f>BQ35+'User Input - Correlations'!S35</f>
        <v>0</v>
      </c>
      <c r="T35" s="240">
        <f>BR35+'User Input - Correlations'!T35</f>
        <v>0</v>
      </c>
      <c r="U35" s="240">
        <f>BS35+'User Input - Correlations'!U35</f>
        <v>0</v>
      </c>
      <c r="V35" s="240">
        <f>BT35+'User Input - Correlations'!V35</f>
        <v>0</v>
      </c>
      <c r="W35" s="240">
        <f>BU35+'User Input - Correlations'!W35</f>
        <v>0</v>
      </c>
      <c r="X35" s="240">
        <f>BV35+'User Input - Correlations'!X35</f>
        <v>0</v>
      </c>
      <c r="Y35" s="240">
        <f>BW35+'User Input - Correlations'!Y35</f>
        <v>0</v>
      </c>
      <c r="Z35" s="240">
        <f>BX35+'User Input - Correlations'!Z35</f>
        <v>0</v>
      </c>
      <c r="AA35" s="240">
        <v>1</v>
      </c>
      <c r="AB35" s="240">
        <f>BZ35+'User Input - Correlations'!AB35</f>
        <v>0</v>
      </c>
      <c r="AC35" s="240">
        <f>CA35+'User Input - Correlations'!AC35</f>
        <v>0</v>
      </c>
      <c r="AD35" s="240">
        <f>CB35+'User Input - Correlations'!AD35</f>
        <v>0</v>
      </c>
      <c r="AE35" s="240">
        <f>CC35+'User Input - Correlations'!AE35</f>
        <v>0</v>
      </c>
      <c r="AF35" s="240">
        <f>CD35+'User Input - Correlations'!AF35</f>
        <v>0</v>
      </c>
      <c r="AG35" s="241">
        <f ca="1">MDETERM(OFFSET($C$11,0,0,ROWS($AG$11:$AG35),ROWS($AG$11:$AG35)))</f>
        <v>1</v>
      </c>
      <c r="BA35" s="221">
        <v>0</v>
      </c>
      <c r="BB35" s="221">
        <v>0</v>
      </c>
      <c r="BC35" s="221">
        <v>0</v>
      </c>
      <c r="BD35" s="221">
        <v>0</v>
      </c>
      <c r="BE35" s="221">
        <v>0</v>
      </c>
      <c r="BF35" s="221">
        <v>0</v>
      </c>
      <c r="BG35" s="221">
        <v>0</v>
      </c>
      <c r="BH35" s="221">
        <v>0</v>
      </c>
      <c r="BI35" s="221">
        <v>0</v>
      </c>
      <c r="BJ35" s="221">
        <v>0</v>
      </c>
      <c r="BK35" s="221">
        <v>0</v>
      </c>
      <c r="BL35" s="221">
        <v>0</v>
      </c>
      <c r="BM35" s="221">
        <v>0</v>
      </c>
      <c r="BN35" s="221">
        <v>0</v>
      </c>
      <c r="BO35" s="221">
        <v>0</v>
      </c>
      <c r="BP35" s="221">
        <v>0</v>
      </c>
      <c r="BQ35" s="221">
        <v>0</v>
      </c>
      <c r="BR35" s="221">
        <v>0</v>
      </c>
      <c r="BS35" s="221">
        <v>0</v>
      </c>
      <c r="BT35" s="221">
        <v>0</v>
      </c>
      <c r="BU35" s="221">
        <v>0</v>
      </c>
      <c r="BV35" s="221">
        <v>0</v>
      </c>
      <c r="BW35" s="221">
        <v>0</v>
      </c>
      <c r="BX35" s="221">
        <v>0</v>
      </c>
      <c r="BY35" s="221">
        <v>1</v>
      </c>
      <c r="BZ35" s="221">
        <v>0</v>
      </c>
      <c r="CA35" s="221">
        <v>0</v>
      </c>
      <c r="CB35" s="221">
        <v>0</v>
      </c>
      <c r="CC35" s="221">
        <v>0</v>
      </c>
      <c r="CD35" s="221">
        <v>0</v>
      </c>
    </row>
    <row r="36">
      <c r="A36" s="255" t="s">
        <v>130</v>
      </c>
      <c r="B36" s="255" t="s">
        <v>126</v>
      </c>
      <c r="C36" s="240">
        <f>BA36+'User Input - Correlations'!C36</f>
        <v>0</v>
      </c>
      <c r="D36" s="240">
        <f>BB36+'User Input - Correlations'!D36</f>
        <v>0</v>
      </c>
      <c r="E36" s="240">
        <f>BC36+'User Input - Correlations'!E36</f>
        <v>0</v>
      </c>
      <c r="F36" s="240">
        <f>BD36+'User Input - Correlations'!F36</f>
        <v>0</v>
      </c>
      <c r="G36" s="240">
        <f>BE36+'User Input - Correlations'!G36</f>
        <v>0</v>
      </c>
      <c r="H36" s="240">
        <f>BF36+'User Input - Correlations'!H36</f>
        <v>0</v>
      </c>
      <c r="I36" s="240">
        <f>BG36+'User Input - Correlations'!I36</f>
        <v>0</v>
      </c>
      <c r="J36" s="240">
        <f>BH36+'User Input - Correlations'!J36</f>
        <v>0</v>
      </c>
      <c r="K36" s="240">
        <f>BI36+'User Input - Correlations'!K36</f>
        <v>0</v>
      </c>
      <c r="L36" s="240">
        <f>BJ36+'User Input - Correlations'!L36</f>
        <v>0</v>
      </c>
      <c r="M36" s="240">
        <f>BK36+'User Input - Correlations'!M36</f>
        <v>0</v>
      </c>
      <c r="N36" s="240">
        <f>BL36+'User Input - Correlations'!N36</f>
        <v>0</v>
      </c>
      <c r="O36" s="240">
        <f>BM36+'User Input - Correlations'!O36</f>
        <v>0</v>
      </c>
      <c r="P36" s="240">
        <f>BN36+'User Input - Correlations'!P36</f>
        <v>0</v>
      </c>
      <c r="Q36" s="240">
        <f>BO36+'User Input - Correlations'!Q36</f>
        <v>0</v>
      </c>
      <c r="R36" s="240">
        <f>BP36+'User Input - Correlations'!R36</f>
        <v>0</v>
      </c>
      <c r="S36" s="240">
        <f>BQ36+'User Input - Correlations'!S36</f>
        <v>0</v>
      </c>
      <c r="T36" s="240">
        <f>BR36+'User Input - Correlations'!T36</f>
        <v>0</v>
      </c>
      <c r="U36" s="240">
        <f>BS36+'User Input - Correlations'!U36</f>
        <v>0</v>
      </c>
      <c r="V36" s="240">
        <f>BT36+'User Input - Correlations'!V36</f>
        <v>0</v>
      </c>
      <c r="W36" s="240">
        <f>BU36+'User Input - Correlations'!W36</f>
        <v>0</v>
      </c>
      <c r="X36" s="240">
        <f>BV36+'User Input - Correlations'!X36</f>
        <v>0</v>
      </c>
      <c r="Y36" s="240">
        <f>BW36+'User Input - Correlations'!Y36</f>
        <v>0</v>
      </c>
      <c r="Z36" s="240">
        <f>BX36+'User Input - Correlations'!Z36</f>
        <v>0</v>
      </c>
      <c r="AA36" s="240">
        <f>BY36+'User Input - Correlations'!AA36</f>
        <v>0</v>
      </c>
      <c r="AB36" s="240">
        <v>1</v>
      </c>
      <c r="AC36" s="240">
        <f>CA36+'User Input - Correlations'!AC36</f>
        <v>0</v>
      </c>
      <c r="AD36" s="240">
        <f>CB36+'User Input - Correlations'!AD36</f>
        <v>0</v>
      </c>
      <c r="AE36" s="240">
        <f>CC36+'User Input - Correlations'!AE36</f>
        <v>0</v>
      </c>
      <c r="AF36" s="240">
        <f>CD36+'User Input - Correlations'!AF36</f>
        <v>0</v>
      </c>
      <c r="AG36" s="241">
        <f ca="1">MDETERM(OFFSET($C$11,0,0,ROWS($AG$11:$AG36),ROWS($AG$11:$AG36)))</f>
        <v>1</v>
      </c>
      <c r="BA36" s="221">
        <v>0</v>
      </c>
      <c r="BB36" s="221">
        <v>0</v>
      </c>
      <c r="BC36" s="221">
        <v>0</v>
      </c>
      <c r="BD36" s="221">
        <v>0</v>
      </c>
      <c r="BE36" s="221">
        <v>0</v>
      </c>
      <c r="BF36" s="221">
        <v>0</v>
      </c>
      <c r="BG36" s="221">
        <v>0</v>
      </c>
      <c r="BH36" s="221">
        <v>0</v>
      </c>
      <c r="BI36" s="221">
        <v>0</v>
      </c>
      <c r="BJ36" s="221">
        <v>0</v>
      </c>
      <c r="BK36" s="221">
        <v>0</v>
      </c>
      <c r="BL36" s="221">
        <v>0</v>
      </c>
      <c r="BM36" s="221">
        <v>0</v>
      </c>
      <c r="BN36" s="221">
        <v>0</v>
      </c>
      <c r="BO36" s="221">
        <v>0</v>
      </c>
      <c r="BP36" s="221">
        <v>0</v>
      </c>
      <c r="BQ36" s="221">
        <v>0</v>
      </c>
      <c r="BR36" s="221">
        <v>0</v>
      </c>
      <c r="BS36" s="221">
        <v>0</v>
      </c>
      <c r="BT36" s="221">
        <v>0</v>
      </c>
      <c r="BU36" s="221">
        <v>0</v>
      </c>
      <c r="BV36" s="221">
        <v>0</v>
      </c>
      <c r="BW36" s="221">
        <v>0</v>
      </c>
      <c r="BX36" s="221">
        <v>0</v>
      </c>
      <c r="BY36" s="221">
        <v>0</v>
      </c>
      <c r="BZ36" s="221">
        <v>1</v>
      </c>
      <c r="CA36" s="221">
        <v>0</v>
      </c>
      <c r="CB36" s="221">
        <v>0</v>
      </c>
      <c r="CC36" s="221">
        <v>0</v>
      </c>
      <c r="CD36" s="221">
        <v>0</v>
      </c>
    </row>
    <row r="37">
      <c r="A37" s="255" t="s">
        <v>130</v>
      </c>
      <c r="B37" s="255" t="s">
        <v>119</v>
      </c>
      <c r="C37" s="240">
        <f>BA37+'User Input - Correlations'!C37</f>
        <v>0</v>
      </c>
      <c r="D37" s="240">
        <f>BB37+'User Input - Correlations'!D37</f>
        <v>0</v>
      </c>
      <c r="E37" s="240">
        <f>BC37+'User Input - Correlations'!E37</f>
        <v>0</v>
      </c>
      <c r="F37" s="240">
        <f>BD37+'User Input - Correlations'!F37</f>
        <v>0</v>
      </c>
      <c r="G37" s="240">
        <f>BE37+'User Input - Correlations'!G37</f>
        <v>0</v>
      </c>
      <c r="H37" s="240">
        <f>BF37+'User Input - Correlations'!H37</f>
        <v>0</v>
      </c>
      <c r="I37" s="240">
        <f>BG37+'User Input - Correlations'!I37</f>
        <v>0</v>
      </c>
      <c r="J37" s="240">
        <f>BH37+'User Input - Correlations'!J37</f>
        <v>0</v>
      </c>
      <c r="K37" s="240">
        <f>BI37+'User Input - Correlations'!K37</f>
        <v>0</v>
      </c>
      <c r="L37" s="240">
        <f>BJ37+'User Input - Correlations'!L37</f>
        <v>0</v>
      </c>
      <c r="M37" s="240">
        <f>BK37+'User Input - Correlations'!M37</f>
        <v>0</v>
      </c>
      <c r="N37" s="240">
        <f>BL37+'User Input - Correlations'!N37</f>
        <v>0</v>
      </c>
      <c r="O37" s="240">
        <f>BM37+'User Input - Correlations'!O37</f>
        <v>0</v>
      </c>
      <c r="P37" s="240">
        <f>BN37+'User Input - Correlations'!P37</f>
        <v>0</v>
      </c>
      <c r="Q37" s="240">
        <f>BO37+'User Input - Correlations'!Q37</f>
        <v>0</v>
      </c>
      <c r="R37" s="240">
        <f>BP37+'User Input - Correlations'!R37</f>
        <v>0</v>
      </c>
      <c r="S37" s="240">
        <f>BQ37+'User Input - Correlations'!S37</f>
        <v>0</v>
      </c>
      <c r="T37" s="240">
        <f>BR37+'User Input - Correlations'!T37</f>
        <v>0</v>
      </c>
      <c r="U37" s="240">
        <f>BS37+'User Input - Correlations'!U37</f>
        <v>0</v>
      </c>
      <c r="V37" s="240">
        <f>BT37+'User Input - Correlations'!V37</f>
        <v>0</v>
      </c>
      <c r="W37" s="240">
        <f>BU37+'User Input - Correlations'!W37</f>
        <v>0</v>
      </c>
      <c r="X37" s="240">
        <f>BV37+'User Input - Correlations'!X37</f>
        <v>0</v>
      </c>
      <c r="Y37" s="240">
        <f>BW37+'User Input - Correlations'!Y37</f>
        <v>0</v>
      </c>
      <c r="Z37" s="240">
        <f>BX37+'User Input - Correlations'!Z37</f>
        <v>0</v>
      </c>
      <c r="AA37" s="240">
        <f>BY37+'User Input - Correlations'!AA37</f>
        <v>0</v>
      </c>
      <c r="AB37" s="240">
        <f>BZ37+'User Input - Correlations'!AB37</f>
        <v>0</v>
      </c>
      <c r="AC37" s="240">
        <v>1</v>
      </c>
      <c r="AD37" s="240">
        <f>CB37+'User Input - Correlations'!AD37</f>
        <v>0</v>
      </c>
      <c r="AE37" s="240">
        <f>CC37+'User Input - Correlations'!AE37</f>
        <v>0</v>
      </c>
      <c r="AF37" s="240">
        <f>CD37+'User Input - Correlations'!AF37</f>
        <v>0</v>
      </c>
      <c r="AG37" s="241">
        <f ca="1">MDETERM(OFFSET($C$11,0,0,ROWS($AG$11:$AG37),ROWS($AG$11:$AG37)))</f>
        <v>1</v>
      </c>
      <c r="BA37" s="221">
        <v>0</v>
      </c>
      <c r="BB37" s="221">
        <v>0</v>
      </c>
      <c r="BC37" s="221">
        <v>0</v>
      </c>
      <c r="BD37" s="221">
        <v>0</v>
      </c>
      <c r="BE37" s="221">
        <v>0</v>
      </c>
      <c r="BF37" s="221">
        <v>0</v>
      </c>
      <c r="BG37" s="221">
        <v>0</v>
      </c>
      <c r="BH37" s="221">
        <v>0</v>
      </c>
      <c r="BI37" s="221">
        <v>0</v>
      </c>
      <c r="BJ37" s="221">
        <v>0</v>
      </c>
      <c r="BK37" s="221">
        <v>0</v>
      </c>
      <c r="BL37" s="221">
        <v>0</v>
      </c>
      <c r="BM37" s="221">
        <v>0</v>
      </c>
      <c r="BN37" s="221">
        <v>0</v>
      </c>
      <c r="BO37" s="221">
        <v>0</v>
      </c>
      <c r="BP37" s="221">
        <v>0</v>
      </c>
      <c r="BQ37" s="221">
        <v>0</v>
      </c>
      <c r="BR37" s="221">
        <v>0</v>
      </c>
      <c r="BS37" s="221">
        <v>0</v>
      </c>
      <c r="BT37" s="221">
        <v>0</v>
      </c>
      <c r="BU37" s="221">
        <v>0</v>
      </c>
      <c r="BV37" s="221">
        <v>0</v>
      </c>
      <c r="BW37" s="221">
        <v>0</v>
      </c>
      <c r="BX37" s="221">
        <v>0</v>
      </c>
      <c r="BY37" s="221">
        <v>0</v>
      </c>
      <c r="BZ37" s="221">
        <v>0</v>
      </c>
      <c r="CA37" s="221">
        <v>1</v>
      </c>
      <c r="CB37" s="221">
        <v>0</v>
      </c>
      <c r="CC37" s="221">
        <v>0</v>
      </c>
      <c r="CD37" s="221">
        <v>0</v>
      </c>
    </row>
    <row r="38">
      <c r="A38" s="255" t="s">
        <v>130</v>
      </c>
      <c r="B38" s="255" t="s">
        <v>127</v>
      </c>
      <c r="C38" s="240">
        <f>BA38+'User Input - Correlations'!C38</f>
        <v>0</v>
      </c>
      <c r="D38" s="240">
        <f>BB38+'User Input - Correlations'!D38</f>
        <v>0</v>
      </c>
      <c r="E38" s="240">
        <f>BC38+'User Input - Correlations'!E38</f>
        <v>0</v>
      </c>
      <c r="F38" s="240">
        <f>BD38+'User Input - Correlations'!F38</f>
        <v>0</v>
      </c>
      <c r="G38" s="240">
        <f>BE38+'User Input - Correlations'!G38</f>
        <v>0</v>
      </c>
      <c r="H38" s="240">
        <f>BF38+'User Input - Correlations'!H38</f>
        <v>0</v>
      </c>
      <c r="I38" s="240">
        <f>BG38+'User Input - Correlations'!I38</f>
        <v>0</v>
      </c>
      <c r="J38" s="240">
        <f>BH38+'User Input - Correlations'!J38</f>
        <v>0</v>
      </c>
      <c r="K38" s="240">
        <f>BI38+'User Input - Correlations'!K38</f>
        <v>0</v>
      </c>
      <c r="L38" s="240">
        <f>BJ38+'User Input - Correlations'!L38</f>
        <v>0</v>
      </c>
      <c r="M38" s="240">
        <f>BK38+'User Input - Correlations'!M38</f>
        <v>0</v>
      </c>
      <c r="N38" s="240">
        <f>BL38+'User Input - Correlations'!N38</f>
        <v>0</v>
      </c>
      <c r="O38" s="240">
        <f>BM38+'User Input - Correlations'!O38</f>
        <v>0</v>
      </c>
      <c r="P38" s="240">
        <f>BN38+'User Input - Correlations'!P38</f>
        <v>0</v>
      </c>
      <c r="Q38" s="240">
        <f>BO38+'User Input - Correlations'!Q38</f>
        <v>0</v>
      </c>
      <c r="R38" s="240">
        <f>BP38+'User Input - Correlations'!R38</f>
        <v>0</v>
      </c>
      <c r="S38" s="240">
        <f>BQ38+'User Input - Correlations'!S38</f>
        <v>0</v>
      </c>
      <c r="T38" s="240">
        <f>BR38+'User Input - Correlations'!T38</f>
        <v>0</v>
      </c>
      <c r="U38" s="240">
        <f>BS38+'User Input - Correlations'!U38</f>
        <v>0</v>
      </c>
      <c r="V38" s="240">
        <f>BT38+'User Input - Correlations'!V38</f>
        <v>0</v>
      </c>
      <c r="W38" s="240">
        <f>BU38+'User Input - Correlations'!W38</f>
        <v>0</v>
      </c>
      <c r="X38" s="240">
        <f>BV38+'User Input - Correlations'!X38</f>
        <v>0</v>
      </c>
      <c r="Y38" s="240">
        <f>BW38+'User Input - Correlations'!Y38</f>
        <v>0</v>
      </c>
      <c r="Z38" s="240">
        <f>BX38+'User Input - Correlations'!Z38</f>
        <v>0</v>
      </c>
      <c r="AA38" s="240">
        <f>BY38+'User Input - Correlations'!AA38</f>
        <v>0</v>
      </c>
      <c r="AB38" s="240">
        <f>BZ38+'User Input - Correlations'!AB38</f>
        <v>0</v>
      </c>
      <c r="AC38" s="240">
        <f>CA38+'User Input - Correlations'!AC38</f>
        <v>0</v>
      </c>
      <c r="AD38" s="240">
        <v>1</v>
      </c>
      <c r="AE38" s="240">
        <f>CC38+'User Input - Correlations'!AE38</f>
        <v>0</v>
      </c>
      <c r="AF38" s="240">
        <f>CD38+'User Input - Correlations'!AF38</f>
        <v>0</v>
      </c>
      <c r="AG38" s="241">
        <f ca="1">MDETERM(OFFSET($C$11,0,0,ROWS($AG$11:$AG38),ROWS($AG$11:$AG38)))</f>
        <v>1</v>
      </c>
      <c r="BA38" s="221">
        <v>0</v>
      </c>
      <c r="BB38" s="221">
        <v>0</v>
      </c>
      <c r="BC38" s="221">
        <v>0</v>
      </c>
      <c r="BD38" s="221">
        <v>0</v>
      </c>
      <c r="BE38" s="221">
        <v>0</v>
      </c>
      <c r="BF38" s="221">
        <v>0</v>
      </c>
      <c r="BG38" s="221">
        <v>0</v>
      </c>
      <c r="BH38" s="221">
        <v>0</v>
      </c>
      <c r="BI38" s="221">
        <v>0</v>
      </c>
      <c r="BJ38" s="221">
        <v>0</v>
      </c>
      <c r="BK38" s="221">
        <v>0</v>
      </c>
      <c r="BL38" s="221">
        <v>0</v>
      </c>
      <c r="BM38" s="221">
        <v>0</v>
      </c>
      <c r="BN38" s="221">
        <v>0</v>
      </c>
      <c r="BO38" s="221">
        <v>0</v>
      </c>
      <c r="BP38" s="221">
        <v>0</v>
      </c>
      <c r="BQ38" s="221">
        <v>0</v>
      </c>
      <c r="BR38" s="221">
        <v>0</v>
      </c>
      <c r="BS38" s="221">
        <v>0</v>
      </c>
      <c r="BT38" s="221">
        <v>0</v>
      </c>
      <c r="BU38" s="221">
        <v>0</v>
      </c>
      <c r="BV38" s="221">
        <v>0</v>
      </c>
      <c r="BW38" s="221">
        <v>0</v>
      </c>
      <c r="BX38" s="221">
        <v>0</v>
      </c>
      <c r="BY38" s="221">
        <v>0</v>
      </c>
      <c r="BZ38" s="221">
        <v>0</v>
      </c>
      <c r="CA38" s="221">
        <v>0</v>
      </c>
      <c r="CB38" s="221">
        <v>1</v>
      </c>
      <c r="CC38" s="221">
        <v>0</v>
      </c>
      <c r="CD38" s="221">
        <v>0</v>
      </c>
    </row>
    <row r="39">
      <c r="A39" s="255" t="s">
        <v>130</v>
      </c>
      <c r="B39" s="255" t="s">
        <v>128</v>
      </c>
      <c r="C39" s="240">
        <f>BA39+'User Input - Correlations'!C39</f>
        <v>0</v>
      </c>
      <c r="D39" s="240">
        <f>BB39+'User Input - Correlations'!D39</f>
        <v>0</v>
      </c>
      <c r="E39" s="240">
        <f>BC39+'User Input - Correlations'!E39</f>
        <v>0</v>
      </c>
      <c r="F39" s="240">
        <f>BD39+'User Input - Correlations'!F39</f>
        <v>0</v>
      </c>
      <c r="G39" s="240">
        <f>BE39+'User Input - Correlations'!G39</f>
        <v>0</v>
      </c>
      <c r="H39" s="240">
        <f>BF39+'User Input - Correlations'!H39</f>
        <v>0</v>
      </c>
      <c r="I39" s="240">
        <f>BG39+'User Input - Correlations'!I39</f>
        <v>0</v>
      </c>
      <c r="J39" s="240">
        <f>BH39+'User Input - Correlations'!J39</f>
        <v>0</v>
      </c>
      <c r="K39" s="240">
        <f>BI39+'User Input - Correlations'!K39</f>
        <v>0</v>
      </c>
      <c r="L39" s="240">
        <f>BJ39+'User Input - Correlations'!L39</f>
        <v>0</v>
      </c>
      <c r="M39" s="240">
        <f>BK39+'User Input - Correlations'!M39</f>
        <v>0</v>
      </c>
      <c r="N39" s="240">
        <f>BL39+'User Input - Correlations'!N39</f>
        <v>0</v>
      </c>
      <c r="O39" s="240">
        <f>BM39+'User Input - Correlations'!O39</f>
        <v>0</v>
      </c>
      <c r="P39" s="240">
        <f>BN39+'User Input - Correlations'!P39</f>
        <v>0</v>
      </c>
      <c r="Q39" s="240">
        <f>BO39+'User Input - Correlations'!Q39</f>
        <v>0</v>
      </c>
      <c r="R39" s="240">
        <f>BP39+'User Input - Correlations'!R39</f>
        <v>0</v>
      </c>
      <c r="S39" s="240">
        <f>BQ39+'User Input - Correlations'!S39</f>
        <v>0</v>
      </c>
      <c r="T39" s="240">
        <f>BR39+'User Input - Correlations'!T39</f>
        <v>0</v>
      </c>
      <c r="U39" s="240">
        <f>BS39+'User Input - Correlations'!U39</f>
        <v>0</v>
      </c>
      <c r="V39" s="240">
        <f>BT39+'User Input - Correlations'!V39</f>
        <v>0</v>
      </c>
      <c r="W39" s="240">
        <f>BU39+'User Input - Correlations'!W39</f>
        <v>0</v>
      </c>
      <c r="X39" s="240">
        <f>BV39+'User Input - Correlations'!X39</f>
        <v>0</v>
      </c>
      <c r="Y39" s="240">
        <f>BW39+'User Input - Correlations'!Y39</f>
        <v>0</v>
      </c>
      <c r="Z39" s="240">
        <f>BX39+'User Input - Correlations'!Z39</f>
        <v>0</v>
      </c>
      <c r="AA39" s="240">
        <f>BY39+'User Input - Correlations'!AA39</f>
        <v>0</v>
      </c>
      <c r="AB39" s="240">
        <f>BZ39+'User Input - Correlations'!AB39</f>
        <v>0</v>
      </c>
      <c r="AC39" s="240">
        <f>CA39+'User Input - Correlations'!AC39</f>
        <v>0</v>
      </c>
      <c r="AD39" s="240">
        <f>CB39+'User Input - Correlations'!AD39</f>
        <v>0</v>
      </c>
      <c r="AE39" s="240">
        <v>1</v>
      </c>
      <c r="AF39" s="240">
        <f>CD39+'User Input - Correlations'!AF39</f>
        <v>0</v>
      </c>
      <c r="AG39" s="241">
        <f ca="1">MDETERM(OFFSET($C$11,0,0,ROWS($AG$11:$AG39),ROWS($AG$11:$AG39)))</f>
        <v>1</v>
      </c>
      <c r="BA39" s="221">
        <v>0</v>
      </c>
      <c r="BB39" s="221">
        <v>0</v>
      </c>
      <c r="BC39" s="221">
        <v>0</v>
      </c>
      <c r="BD39" s="221">
        <v>0</v>
      </c>
      <c r="BE39" s="221">
        <v>0</v>
      </c>
      <c r="BF39" s="221">
        <v>0</v>
      </c>
      <c r="BG39" s="221">
        <v>0</v>
      </c>
      <c r="BH39" s="221">
        <v>0</v>
      </c>
      <c r="BI39" s="221">
        <v>0</v>
      </c>
      <c r="BJ39" s="221">
        <v>0</v>
      </c>
      <c r="BK39" s="221">
        <v>0</v>
      </c>
      <c r="BL39" s="221">
        <v>0</v>
      </c>
      <c r="BM39" s="221">
        <v>0</v>
      </c>
      <c r="BN39" s="221">
        <v>0</v>
      </c>
      <c r="BO39" s="221">
        <v>0</v>
      </c>
      <c r="BP39" s="221">
        <v>0</v>
      </c>
      <c r="BQ39" s="221">
        <v>0</v>
      </c>
      <c r="BR39" s="221">
        <v>0</v>
      </c>
      <c r="BS39" s="221">
        <v>0</v>
      </c>
      <c r="BT39" s="221">
        <v>0</v>
      </c>
      <c r="BU39" s="221">
        <v>0</v>
      </c>
      <c r="BV39" s="221">
        <v>0</v>
      </c>
      <c r="BW39" s="221">
        <v>0</v>
      </c>
      <c r="BX39" s="221">
        <v>0</v>
      </c>
      <c r="BY39" s="221">
        <v>0</v>
      </c>
      <c r="BZ39" s="221">
        <v>0</v>
      </c>
      <c r="CA39" s="221">
        <v>0</v>
      </c>
      <c r="CB39" s="221">
        <v>0</v>
      </c>
      <c r="CC39" s="221">
        <v>1</v>
      </c>
      <c r="CD39" s="221">
        <v>0</v>
      </c>
    </row>
    <row r="40">
      <c r="A40" s="255" t="s">
        <v>130</v>
      </c>
      <c r="B40" s="255" t="s">
        <v>129</v>
      </c>
      <c r="C40" s="240">
        <f>BA40+'User Input - Correlations'!C40</f>
        <v>0</v>
      </c>
      <c r="D40" s="240">
        <f>BB40+'User Input - Correlations'!D40</f>
        <v>0</v>
      </c>
      <c r="E40" s="240">
        <f>BC40+'User Input - Correlations'!E40</f>
        <v>0</v>
      </c>
      <c r="F40" s="240">
        <f>BD40+'User Input - Correlations'!F40</f>
        <v>0</v>
      </c>
      <c r="G40" s="240">
        <f>BE40+'User Input - Correlations'!G40</f>
        <v>0</v>
      </c>
      <c r="H40" s="240">
        <f>BF40+'User Input - Correlations'!H40</f>
        <v>0</v>
      </c>
      <c r="I40" s="240">
        <f>BG40+'User Input - Correlations'!I40</f>
        <v>0</v>
      </c>
      <c r="J40" s="240">
        <f>BH40+'User Input - Correlations'!J40</f>
        <v>0</v>
      </c>
      <c r="K40" s="240">
        <f>BI40+'User Input - Correlations'!K40</f>
        <v>0</v>
      </c>
      <c r="L40" s="240">
        <f>BJ40+'User Input - Correlations'!L40</f>
        <v>0</v>
      </c>
      <c r="M40" s="240">
        <f>BK40+'User Input - Correlations'!M40</f>
        <v>0</v>
      </c>
      <c r="N40" s="240">
        <f>BL40+'User Input - Correlations'!N40</f>
        <v>0</v>
      </c>
      <c r="O40" s="240">
        <f>BM40+'User Input - Correlations'!O40</f>
        <v>0</v>
      </c>
      <c r="P40" s="240">
        <f>BN40+'User Input - Correlations'!P40</f>
        <v>0</v>
      </c>
      <c r="Q40" s="240">
        <f>BO40+'User Input - Correlations'!Q40</f>
        <v>0</v>
      </c>
      <c r="R40" s="240">
        <f>BP40+'User Input - Correlations'!R40</f>
        <v>0</v>
      </c>
      <c r="S40" s="240">
        <f>BQ40+'User Input - Correlations'!S40</f>
        <v>0</v>
      </c>
      <c r="T40" s="240">
        <f>BR40+'User Input - Correlations'!T40</f>
        <v>0</v>
      </c>
      <c r="U40" s="240">
        <f>BS40+'User Input - Correlations'!U40</f>
        <v>0</v>
      </c>
      <c r="V40" s="240">
        <f>BT40+'User Input - Correlations'!V40</f>
        <v>0</v>
      </c>
      <c r="W40" s="240">
        <f>BU40+'User Input - Correlations'!W40</f>
        <v>0</v>
      </c>
      <c r="X40" s="240">
        <f>BV40+'User Input - Correlations'!X40</f>
        <v>0</v>
      </c>
      <c r="Y40" s="240">
        <f>BW40+'User Input - Correlations'!Y40</f>
        <v>0</v>
      </c>
      <c r="Z40" s="240">
        <f>BX40+'User Input - Correlations'!Z40</f>
        <v>0</v>
      </c>
      <c r="AA40" s="240">
        <f>BY40+'User Input - Correlations'!AA40</f>
        <v>0</v>
      </c>
      <c r="AB40" s="240">
        <f>BZ40+'User Input - Correlations'!AB40</f>
        <v>0</v>
      </c>
      <c r="AC40" s="240">
        <f>CA40+'User Input - Correlations'!AC40</f>
        <v>0</v>
      </c>
      <c r="AD40" s="240">
        <f>CB40+'User Input - Correlations'!AD40</f>
        <v>0</v>
      </c>
      <c r="AE40" s="240">
        <f>CC40+'User Input - Correlations'!AE40</f>
        <v>0</v>
      </c>
      <c r="AF40" s="240">
        <v>1</v>
      </c>
      <c r="AG40" s="241">
        <f ca="1">MDETERM(OFFSET($C$11,0,0,ROWS($AG$11:$AG40),ROWS($AG$11:$AG40)))</f>
        <v>1</v>
      </c>
      <c r="BA40" s="221">
        <v>0</v>
      </c>
      <c r="BB40" s="221">
        <v>0</v>
      </c>
      <c r="BC40" s="221">
        <v>0</v>
      </c>
      <c r="BD40" s="221">
        <v>0</v>
      </c>
      <c r="BE40" s="221">
        <v>0</v>
      </c>
      <c r="BF40" s="221">
        <v>0</v>
      </c>
      <c r="BG40" s="221">
        <v>0</v>
      </c>
      <c r="BH40" s="221">
        <v>0</v>
      </c>
      <c r="BI40" s="221">
        <v>0</v>
      </c>
      <c r="BJ40" s="221">
        <v>0</v>
      </c>
      <c r="BK40" s="221">
        <v>0</v>
      </c>
      <c r="BL40" s="221">
        <v>0</v>
      </c>
      <c r="BM40" s="221">
        <v>0</v>
      </c>
      <c r="BN40" s="221">
        <v>0</v>
      </c>
      <c r="BO40" s="221">
        <v>0</v>
      </c>
      <c r="BP40" s="221">
        <v>0</v>
      </c>
      <c r="BQ40" s="221">
        <v>0</v>
      </c>
      <c r="BR40" s="221">
        <v>0</v>
      </c>
      <c r="BS40" s="221">
        <v>0</v>
      </c>
      <c r="BT40" s="221">
        <v>0</v>
      </c>
      <c r="BU40" s="221">
        <v>0</v>
      </c>
      <c r="BV40" s="221">
        <v>0</v>
      </c>
      <c r="BW40" s="221">
        <v>0</v>
      </c>
      <c r="BX40" s="221">
        <v>0</v>
      </c>
      <c r="BY40" s="221">
        <v>0</v>
      </c>
      <c r="BZ40" s="221">
        <v>0</v>
      </c>
      <c r="CA40" s="221">
        <v>0</v>
      </c>
      <c r="CB40" s="221">
        <v>0</v>
      </c>
      <c r="CC40" s="221">
        <v>0</v>
      </c>
      <c r="CD40" s="221">
        <v>1</v>
      </c>
    </row>
    <row r="41"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  <c r="Y41" s="76"/>
      <c r="Z41" s="76"/>
      <c r="AA41" s="76"/>
      <c r="AB41" s="76"/>
      <c r="AC41" s="76"/>
      <c r="AD41" s="76"/>
      <c r="AE41" s="76"/>
      <c r="AF41" s="76"/>
      <c r="AG41" s="222"/>
    </row>
    <row r="42">
      <c r="A42" s="76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</row>
  </sheetData>
  <mergeCells>
    <mergeCell ref="A1:AE1"/>
    <mergeCell ref="AG9:AG10"/>
    <mergeCell ref="N2:Q2"/>
  </mergeCells>
  <conditionalFormatting sqref="B8">
    <cfRule type="cellIs" dxfId="0" priority="1" operator="equal">
      <formula>"Negative"</formula>
    </cfRule>
  </conditionalFormatting>
  <pageMargins left="0.7" right="0.7" top="0.75" bottom="0.75" header="0.3" footer="0.3"/>
  <pageSetup usePrinterDefaults="0"/>
  <drawing r:id="flId1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2"/>
  <dimension ref="A3:N19"/>
  <sheetViews>
    <sheetView topLeftCell="A1" workbookViewId="0"/>
  </sheetViews>
  <sheetFormatPr defaultColWidth="9" defaultRowHeight="14.25"/>
  <cols>
    <col min="1" max="1" width="22.625" bestFit="1" customWidth="1"/>
    <col min="2" max="2" width="34.375" bestFit="1" customWidth="1"/>
    <col min="3" max="3" width="23.75" customWidth="1"/>
    <col min="4" max="4" width="35.625" bestFit="1" customWidth="1"/>
    <col min="5" max="7" width="2.75" customWidth="1"/>
    <col min="8" max="8" width="37.125" customWidth="1"/>
    <col min="9" max="9" width="10.875" bestFit="1" customWidth="1"/>
    <col min="10" max="12" width="2.75" customWidth="1"/>
    <col min="13" max="13" width="13.875" customWidth="1"/>
    <col min="14" max="14" width="10.625" bestFit="1" customWidth="1"/>
  </cols>
  <sheetData>
    <row r="3">
      <c r="A3" s="106" t="s">
        <v>57</v>
      </c>
    </row>
    <row r="4">
      <c r="A4" s="106" t="s">
        <v>56</v>
      </c>
    </row>
    <row r="5">
      <c r="A5" s="106" t="s">
        <v>58</v>
      </c>
    </row>
    <row r="8">
      <c r="A8" s="107" t="s">
        <v>59</v>
      </c>
      <c r="B8" s="107"/>
      <c r="C8" s="107"/>
      <c r="D8" s="107"/>
      <c r="H8" s="107" t="s">
        <v>64</v>
      </c>
      <c r="I8" s="107"/>
      <c r="M8" s="107" t="s">
        <v>67</v>
      </c>
      <c r="N8" s="107"/>
    </row>
    <row r="9">
      <c r="A9" s="105" t="s">
        <v>60</v>
      </c>
      <c r="B9" s="105" t="s">
        <v>61</v>
      </c>
      <c r="C9" s="105" t="s">
        <v>62</v>
      </c>
      <c r="D9" s="105" t="s">
        <v>63</v>
      </c>
      <c r="H9" s="105" t="s">
        <v>65</v>
      </c>
      <c r="I9" s="105" t="s">
        <v>66</v>
      </c>
      <c r="M9" s="105" t="s">
        <v>68</v>
      </c>
      <c r="N9" s="105" t="s">
        <v>69</v>
      </c>
    </row>
    <row r="10">
      <c r="A10" t="s">
        <v>97</v>
      </c>
      <c r="B10" t="s">
        <v>98</v>
      </c>
      <c r="C10" t="s">
        <v>103</v>
      </c>
      <c r="D10" t="s">
        <v>102</v>
      </c>
      <c r="H10" t="s">
        <v>70</v>
      </c>
      <c r="I10" s="133">
        <v>1234.56</v>
      </c>
    </row>
    <row r="11">
      <c r="A11" t="s">
        <v>99</v>
      </c>
      <c r="B11" t="s">
        <v>98</v>
      </c>
      <c r="C11" t="s">
        <v>101</v>
      </c>
      <c r="D11" t="s">
        <v>102</v>
      </c>
      <c r="H11" t="s">
        <v>72</v>
      </c>
      <c r="I11" s="150" t="s">
        <v>71</v>
      </c>
    </row>
    <row r="12">
      <c r="A12" t="s">
        <v>100</v>
      </c>
      <c r="B12" t="s">
        <v>98</v>
      </c>
      <c r="C12" t="s">
        <v>104</v>
      </c>
      <c r="D12" t="s">
        <v>102</v>
      </c>
      <c r="H12" t="s">
        <v>81</v>
      </c>
      <c r="I12" s="150" t="s">
        <v>71</v>
      </c>
    </row>
    <row r="13">
      <c r="A13" t="s">
        <v>114</v>
      </c>
      <c r="B13" t="s">
        <v>115</v>
      </c>
      <c r="C13" t="s">
        <v>116</v>
      </c>
      <c r="H13" t="s">
        <v>82</v>
      </c>
      <c r="I13" s="133">
        <v>1234.56</v>
      </c>
    </row>
    <row r="14">
      <c r="A14" t="s">
        <v>117</v>
      </c>
      <c r="B14" t="s">
        <v>118</v>
      </c>
      <c r="C14" t="s">
        <v>116</v>
      </c>
      <c r="H14" t="s">
        <v>155</v>
      </c>
      <c r="I14" s="197">
        <v>1234.56</v>
      </c>
    </row>
    <row r="15">
      <c r="A15" t="s">
        <v>119</v>
      </c>
      <c r="B15" t="s">
        <v>161</v>
      </c>
      <c r="C15" t="s">
        <v>116</v>
      </c>
    </row>
    <row r="16">
      <c r="A16" t="s">
        <v>120</v>
      </c>
      <c r="B16" t="s">
        <v>169</v>
      </c>
      <c r="C16" t="s">
        <v>116</v>
      </c>
    </row>
    <row r="17">
      <c r="A17" t="s">
        <v>121</v>
      </c>
      <c r="B17" t="s">
        <v>174</v>
      </c>
      <c r="C17" t="s">
        <v>116</v>
      </c>
    </row>
    <row r="18">
      <c r="A18" t="s">
        <v>122</v>
      </c>
      <c r="B18" t="s">
        <v>178</v>
      </c>
      <c r="C18" t="s">
        <v>116</v>
      </c>
    </row>
    <row r="19">
      <c r="A19" t="s">
        <v>149</v>
      </c>
      <c r="B19" t="s">
        <v>98</v>
      </c>
      <c r="D19" t="s">
        <v>102</v>
      </c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4</vt:i4>
      </vt:variant>
    </vt:vector>
  </HeadingPairs>
  <TitlesOfParts>
    <vt:vector baseType="lpstr" size="4">
      <vt:lpstr>Base Estimate</vt:lpstr>
      <vt:lpstr>User Input - Ranges</vt:lpstr>
      <vt:lpstr>User Input - Correlations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2022-10-20T20:30:27Z</dcterms:created>
  <dcterms:modified xsi:type="dcterms:W3CDTF">2022-10-20T20:30:27Z</dcterms:modified>
</cp:coreProperties>
</file>