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Proj Cost Sumry" sheetId="1" r:id="flId1"/>
    <sheet name="&lt;#Config&gt;" sheetId="2" r:id="flId2"/>
  </sheets>
  <definedNames>
    <definedName name="_TBL_0_ICQ_WageRate_X">'Proj Cost Sumry'!$T$5:$W$5</definedName>
    <definedName name="_TBL_0_TAQ_TDC_AcctSumry_X" localSheetId="0">'Proj Cost Sumry'!$A$8:$H$8</definedName>
    <definedName name="_TBL_00_ICQ_ConstInd_X">'Proj Cost Sumry'!$J$10:$M$10</definedName>
    <definedName name="_TBL_00_ICQ_Contingency_X">'Proj Cost Sumry'!$O$25:$R$25</definedName>
    <definedName name="_TBL_00_ICQ_DirectWageBuild_X">'Proj Cost Sumry'!$T$11:$W$11</definedName>
    <definedName name="_TBL_00_ICQ_Engineering_X">'Proj Cost Sumry'!$O$15:$R$15</definedName>
    <definedName name="_TBL_00_ICQ_FldOfcInd_X">'Proj Cost Sumry'!$J$5:$M$5</definedName>
    <definedName name="_TBL_00_ICQ_Freight_X">'Proj Cost Sumry'!$O$5:$R$5</definedName>
    <definedName name="_TBL_00_ICQ_OtherProjCosts_X">'Proj Cost Sumry'!$O$20:$R$20</definedName>
    <definedName name="_TBL_00_ICQ_TaxesPermits_X">'Proj Cost Sumry'!$O$10:$R$10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<sst xmlns="http://schemas.openxmlformats.org/spreadsheetml/2006/main" count="198" uniqueCount="155">
  <si>
    <t>Project Cost Summary</t>
  </si>
  <si>
    <t>Indirect Field Cost Summary</t>
  </si>
  <si>
    <t>Non - Field Cost Summary</t>
  </si>
  <si>
    <t>Wage Rate Summary</t>
  </si>
  <si>
    <t>Project Title:</t>
  </si>
  <si>
    <t>Project Name:</t>
  </si>
  <si>
    <t>Scenario Name:</t>
  </si>
  <si>
    <t>Code</t>
  </si>
  <si>
    <t>Description</t>
  </si>
  <si>
    <t>Ind MH</t>
  </si>
  <si>
    <t>Ind Cost</t>
  </si>
  <si>
    <t>Indirect and HO Average Wage Rates</t>
  </si>
  <si>
    <t>Proj. Location:</t>
  </si>
  <si>
    <t>Job No:</t>
  </si>
  <si>
    <t>Prep. By:</t>
  </si>
  <si>
    <t>Estimate Date:</t>
  </si>
  <si>
    <t>Est. Class:</t>
  </si>
  <si>
    <t>Currency:</t>
  </si>
  <si>
    <t>Account</t>
  </si>
  <si>
    <t>MH</t>
  </si>
  <si>
    <t>Wage Rate</t>
  </si>
  <si>
    <t>Labor Cost</t>
  </si>
  <si>
    <t>Matl Cost</t>
  </si>
  <si>
    <t>Total Cost</t>
  </si>
  <si>
    <t>Percentages</t>
  </si>
  <si>
    <t>Field Office Staff</t>
  </si>
  <si>
    <t>Freight Total</t>
  </si>
  <si>
    <t>of TDC</t>
  </si>
  <si>
    <t>Construction Indirects Total</t>
  </si>
  <si>
    <t>Taxes and Permits Total</t>
  </si>
  <si>
    <t>(Excludes G&amp;A, Fee, Escalation)</t>
  </si>
  <si>
    <t>Total Direct Field Costs</t>
  </si>
  <si>
    <t>(TDMH)</t>
  </si>
  <si>
    <t>(TDL)</t>
  </si>
  <si>
    <t>(TDM)</t>
  </si>
  <si>
    <t>(TDC)</t>
  </si>
  <si>
    <t>Engineering &amp; HO Total</t>
  </si>
  <si>
    <t>Direct Average Wage Rate Build-up</t>
  </si>
  <si>
    <t>Direct Wage Rate (TDL / TDMH)</t>
  </si>
  <si>
    <t>Indirect Field Costs</t>
  </si>
  <si>
    <t>(IFMH)</t>
  </si>
  <si>
    <t>(IFC)</t>
  </si>
  <si>
    <t>Field Office Costs</t>
  </si>
  <si>
    <t>Other Project Costs Total</t>
  </si>
  <si>
    <t>All Inclusive Wage Rate</t>
  </si>
  <si>
    <t>Total Field Costs</t>
  </si>
  <si>
    <t>of TIC</t>
  </si>
  <si>
    <t>(Excludes Escalation)</t>
  </si>
  <si>
    <t>(TFMH)</t>
  </si>
  <si>
    <t>(TFC)</t>
  </si>
  <si>
    <t>Freight</t>
  </si>
  <si>
    <t>Contingency Total</t>
  </si>
  <si>
    <t>Taxes and Permits</t>
  </si>
  <si>
    <t>Engineering and HO</t>
  </si>
  <si>
    <t>Other Project Costs</t>
  </si>
  <si>
    <t>Contingency</t>
  </si>
  <si>
    <t>Total Non-Field Costs</t>
  </si>
  <si>
    <t>(HOMH)</t>
  </si>
  <si>
    <t>Project Total Costs</t>
  </si>
  <si>
    <t>(TIC)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</si>
  <si>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</si>
  <si>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</si>
  <si>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</si>
  <si>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</si>
  <si>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</si>
  <si>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</si>
  <si>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</si>
  <si>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</si>
  <si>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</si>
  <si>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</si>
  <si>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</si>
  <si>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</si>
  <si>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</si>
  <si>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</si>
  <si>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</si>
  <si>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</si>
  <si>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</si>
  <si>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</si>
  <si>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</si>
  <si>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</si>
  <si>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</si>
  <si>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</si>
  <si>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</si>
  <si>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</si>
  <si>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</si>
  <si>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</si>
  <si>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Account ASC</t>
  </si>
  <si>
    <t>Code ASC</t>
  </si>
  <si>
    <t>RightBorder(Border)</t>
  </si>
  <si>
    <t>LeftBorder(Border)</t>
  </si>
  <si>
    <t>&lt;#PreparedBy&gt;</t>
  </si>
  <si>
    <t>&lt;#Currency&gt;</t>
  </si>
  <si>
    <t>&lt;#ProductName&gt;</t>
  </si>
  <si>
    <t>&lt;#TBL_0_TAQ_TDC_AcctSumry.Account;&gt;</t>
  </si>
  <si>
    <t>&lt;#TBL_0_TAQ_TDC_AcctSumry.MH;&gt;</t>
  </si>
  <si>
    <t>&lt;#TBL_0_TAQ_TDC_AcctSumry.Wage Rate;&gt;</t>
  </si>
  <si>
    <t>&lt;#TBL_0_TAQ_TDC_AcctSumry.Labor Cost;&gt;</t>
  </si>
  <si>
    <t>&lt;#TBL_0_TAQ_TDC_AcctSumry.Matl Cost;&gt;</t>
  </si>
  <si>
    <t>&lt;#TBL_0_TAQ_TDC_AcctSumry.Total Cost;&gt;</t>
  </si>
  <si>
    <t>TBL_0_TAQ_TDC_AcctSumry</t>
  </si>
  <si>
    <t>&lt;#TBL_00_ICQ_FldOfcInd.Code;&gt;</t>
  </si>
  <si>
    <t>&lt;#TBL_00_ICQ_FldOfcInd.Description;&gt;</t>
  </si>
  <si>
    <t>&lt;#TBL_00_ICQ_FldOfcInd.Ind MH;&gt;</t>
  </si>
  <si>
    <t>&lt;#TBL_00_ICQ_FldOfcInd.Ind Cost;&gt;</t>
  </si>
  <si>
    <t>TBL_00_ICQ_FldOfcInd</t>
  </si>
  <si>
    <t>&lt;#TBL_00_ICQ_ConstInd.Code;&gt;</t>
  </si>
  <si>
    <t>&lt;#TBL_00_ICQ_ConstInd.Description;&gt;</t>
  </si>
  <si>
    <t>&lt;#TBL_00_ICQ_ConstInd.Ind MH;&gt;</t>
  </si>
  <si>
    <t>&lt;#TBL_00_ICQ_ConstInd.Ind Cost;&gt;</t>
  </si>
  <si>
    <t>TBL_00_ICQ_ConstInd</t>
  </si>
  <si>
    <t>TBL_00_ICQ_Freight</t>
  </si>
  <si>
    <t>TBL_00_ICQ_Engineering</t>
  </si>
  <si>
    <t>TBL_00_ICQ_OtherProjCosts</t>
  </si>
  <si>
    <t>TBL_00_ICQ_Contingency</t>
  </si>
  <si>
    <t>TBL_00_ICQ_DirectWageBuild</t>
  </si>
  <si>
    <t>TBL_0_ICQ_WageRate</t>
  </si>
  <si>
    <t>&lt;#TBL_0_ICQ_WageRate.Blank;&gt;&lt;#format range(T5:T5;LeftBorder)&gt;</t>
  </si>
  <si>
    <t>&lt;#TBL_0_ICQ_WageRate.TITLE;&gt;</t>
  </si>
  <si>
    <t>&lt;#TBL_0_ICQ_WageRate.MH Rate;&gt;</t>
  </si>
  <si>
    <t>&lt;#if(&lt;#TBL_0_ICQ_WageRate.MH Rate&gt; = 0; ; per MH)&gt;&lt;#format range(W5:W5;RightBorder)&gt;</t>
  </si>
  <si>
    <t>&lt;#TBL_00_ICQ_DirectWageBuild.Blank;&gt;&lt;#format range(T11:T11;LeftBorder)&gt;</t>
  </si>
  <si>
    <t>&lt;#TBL_00_ICQ_DirectWageBuild.COADES;&gt;</t>
  </si>
  <si>
    <t>&lt;#TBL_00_ICQ_DirectWageBuild.Contribution;&gt;</t>
  </si>
  <si>
    <t>&lt;#TBL_00_ICQ_DirectWageBuild.xx;&gt;&lt;#format range(W11:W11;RightBorder)&gt;</t>
  </si>
  <si>
    <t>&lt;#TBL_00_ICQ_Contingency.Code;&gt;</t>
  </si>
  <si>
    <t>&lt;#TBL_00_ICQ_Contingency.Description;&gt;</t>
  </si>
  <si>
    <t>&lt;#TBL_00_ICQ_Contingency.Ind MH;&gt;</t>
  </si>
  <si>
    <t>&lt;#TBL_00_ICQ_Contingency.Ind Cost;&gt;</t>
  </si>
  <si>
    <t>&lt;#TBL_00_ICQ_OtherProjCosts.Code;&gt;</t>
  </si>
  <si>
    <t>&lt;#TBL_00_ICQ_OtherProjCosts.Description;&gt;</t>
  </si>
  <si>
    <t>&lt;#TBL_00_ICQ_OtherProjCosts.Ind MH;&gt;</t>
  </si>
  <si>
    <t>&lt;#TBL_00_ICQ_OtherProjCosts.Ind Cost;&gt;</t>
  </si>
  <si>
    <t>&lt;#TBL_00_ICQ_Engineering.Code;&gt;</t>
  </si>
  <si>
    <t>&lt;#TBL_00_ICQ_Engineering.Description;&gt;</t>
  </si>
  <si>
    <t>&lt;#TBL_00_ICQ_Engineering.Ind MH;&gt;</t>
  </si>
  <si>
    <t>&lt;#TBL_00_ICQ_Engineering.Ind Cost;&gt;</t>
  </si>
  <si>
    <t>&lt;#TBL_00_ICQ_TaxesPermits.Code;&gt;</t>
  </si>
  <si>
    <t>&lt;#TBL_00_ICQ_TaxesPermits.Description;&gt;</t>
  </si>
  <si>
    <t>&lt;#TBL_00_ICQ_TaxesPermits.Ind MH;&gt;</t>
  </si>
  <si>
    <t>&lt;#TBL_00_ICQ_TaxesPermits.Ind Cost;&gt;</t>
  </si>
  <si>
    <t>&lt;#TBL_00_ICQ_Freight.Code;&gt;</t>
  </si>
  <si>
    <t>&lt;#TBL_00_ICQ_Freight.Description;&gt;</t>
  </si>
  <si>
    <t>&lt;#TBL_00_ICQ_Freight.Ind MH;&gt;</t>
  </si>
  <si>
    <t>&lt;#TBL_00_ICQ_Freight.Ind Cost;&gt;</t>
  </si>
  <si>
    <t>TBL_00_ICQ_TaxesPermits</t>
  </si>
  <si>
    <t>ATLEAST(0_TAQ_TDC_AcctSumry; 1;)</t>
  </si>
  <si>
    <t>ATLEAST(00_ICQ_FldOfcInd; 1;)</t>
  </si>
  <si>
    <t>ATLEAST(00_ICQ_ConstInd; 1;)</t>
  </si>
  <si>
    <t>ATLEAST(00_ICQ_Freight; 1;)</t>
  </si>
  <si>
    <t>ATLEAST(00_ICQ_Engineering; 1;)</t>
  </si>
  <si>
    <t>ATLEAST(00_ICQ_OtherProjCosts; 1;)</t>
  </si>
  <si>
    <t>ATLEAST(00_ICQ_Contingency; 1;)</t>
  </si>
  <si>
    <t>ATLEAST(00_ICQ_DirectWageBuild; 1;)</t>
  </si>
  <si>
    <t>ATLEAST(0_ICQ_WageRate; 1;)</t>
  </si>
  <si>
    <t>ATLEAST(00_ICQ_TaxesPermits; 1;)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</si>
</sst>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0.0%"/>
  </numFmts>
  <fonts count="2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2"/>
      <color auto="1"/>
      <name val="Arial"/>
      <family val="2"/>
    </font>
    <font>
      <b/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indexed="8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sz val="11"/>
      <color auto="1"/>
      <name val="Calibri"/>
      <family val="2"/>
      <scheme val="minor"/>
    </font>
    <font>
      <sz val="10"/>
      <color auto="1"/>
      <name val="Arial"/>
      <family val="2"/>
    </font>
    <font>
      <sz val="7"/>
      <color rgb="FF000000"/>
      <name val="Arial"/>
      <charset val="1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4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 style="thin">
        <color indexed="22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indexed="8"/>
      </top>
      <bottom style="thin">
        <color indexed="22"/>
      </bottom>
      <diagonal/>
    </border>
  </borders>
  <cellStyleXfs count="12">
    <xf fontId="0" numFmtId="0" fillId="0" borderId="0"/>
    <xf applyFont="0" applyFill="0" applyBorder="0" applyAlignment="0" applyProtection="0" fontId="6" numFmtId="43" fillId="0" borderId="0"/>
    <xf applyFont="0" applyFill="0" applyBorder="0" applyAlignment="0" applyProtection="0" fontId="6" numFmtId="9" fillId="0" borderId="0"/>
    <xf applyNumberFormat="0" applyBorder="0" applyAlignment="0" applyProtection="0" fontId="5" numFmtId="0" fillId="3" borderId="0"/>
    <xf fontId="16" numFmtId="0" fillId="0" borderId="0"/>
    <xf applyNumberFormat="0" applyBorder="0" applyAlignment="0" applyProtection="0" fontId="4" numFmtId="0" fillId="2" borderId="0"/>
    <xf fontId="4" numFmtId="0" fillId="0" borderId="0"/>
    <xf applyNumberFormat="0" applyBorder="0" applyAlignment="0" applyProtection="0" fontId="4" numFmtId="0" fillId="4" borderId="0"/>
    <xf fontId="23" numFmtId="0" fillId="0" borderId="0"/>
    <xf fontId="6" numFmtId="0" fillId="0" borderId="0"/>
    <xf applyFont="0" applyFill="0" applyBorder="0" applyAlignment="0" applyProtection="0" fontId="6" numFmtId="43" fillId="0" borderId="0"/>
    <xf applyFont="0" applyFill="0" applyBorder="0" applyAlignment="0" applyProtection="0" fontId="6" numFmtId="9" fillId="0" borderId="0"/>
  </cellStyleXfs>
  <cellXfs count="210">
    <xf fontId="0" numFmtId="0" fillId="0" borderId="0" xfId="0"/>
    <xf applyNumberFormat="1" applyFont="1" applyAlignment="1" fontId="0" numFmtId="3" fillId="0" borderId="0" xfId="0"/>
    <xf applyNumberFormat="1" applyFont="1" applyFill="1" applyAlignment="1" applyProtection="1" fontId="0" numFmtId="3" fillId="0" borderId="0" xfId="0">
      <alignment horizontal="right"/>
    </xf>
    <xf applyNumberFormat="1" applyFont="1" applyFill="1" applyAlignment="1" applyProtection="1" fontId="0" numFmtId="3" fillId="0" borderId="0" xfId="0"/>
    <xf applyNumberFormat="1" applyAlignment="1" fontId="0" numFmtId="3" fillId="0" borderId="0" xfId="0"/>
    <xf applyNumberFormat="1" applyFont="1" applyBorder="1" applyAlignment="1" fontId="0" numFmtId="3" fillId="0" borderId="0" xfId="0"/>
    <xf applyNumberFormat="1" applyFont="1" applyFill="1" applyBorder="1" applyAlignment="1" applyProtection="1" fontId="0" numFmtId="3" fillId="0" borderId="0" xfId="0">
      <alignment horizontal="right"/>
    </xf>
    <xf applyNumberFormat="1" applyFont="1" applyFill="1" applyBorder="1" applyAlignment="1" applyProtection="1" fontId="0" numFmtId="3" fillId="0" borderId="0" xfId="0"/>
    <xf applyNumberFormat="1" applyBorder="1" applyAlignment="1" fontId="0" numFmtId="3" fillId="0" borderId="0" xfId="0"/>
    <xf applyNumberFormat="1" applyFont="1" applyBorder="1" applyAlignment="1" fontId="9" numFmtId="3" fillId="0" borderId="1" xfId="0">
      <alignment horizontal="right"/>
    </xf>
    <xf applyNumberFormat="1" applyFont="1" applyBorder="1" applyAlignment="1" fontId="10" numFmtId="3" fillId="0" borderId="2" xfId="1">
      <alignment horizontal="left"/>
    </xf>
    <xf applyNumberFormat="1" applyFont="1" applyBorder="1" applyAlignment="1" fontId="11" numFmtId="4" fillId="0" borderId="2" xfId="1"/>
    <xf applyNumberFormat="1" applyFont="1" applyBorder="1" applyAlignment="1" fontId="12" numFmtId="3" fillId="0" borderId="2" xfId="1"/>
    <xf applyNumberFormat="1" applyFont="1" applyAlignment="1" fontId="0" numFmtId="3" fillId="0" borderId="0" xfId="1"/>
    <xf applyNumberFormat="1" applyFont="1" applyBorder="1" applyAlignment="1" fontId="10" numFmtId="164" fillId="0" borderId="2" xfId="2"/>
    <xf applyNumberFormat="1" applyFont="1" applyBorder="1" applyAlignment="1" fontId="9" numFmtId="3" fillId="0" borderId="7" xfId="1">
      <alignment horizontal="right"/>
    </xf>
    <xf applyNumberFormat="1" applyFont="1" applyBorder="1" applyAlignment="1" fontId="10" numFmtId="3" fillId="0" borderId="0" xfId="1">
      <alignment horizontal="left"/>
    </xf>
    <xf applyNumberFormat="1" applyFont="1" applyBorder="1" applyAlignment="1" fontId="11" numFmtId="4" fillId="0" borderId="0" xfId="1"/>
    <xf applyNumberFormat="1" applyFont="1" applyBorder="1" applyAlignment="1" fontId="12" numFmtId="3" fillId="0" borderId="0" xfId="1"/>
    <xf applyNumberFormat="1" applyFont="1" applyBorder="1" applyAlignment="1" fontId="9" numFmtId="3" fillId="0" borderId="0" xfId="0">
      <alignment horizontal="right"/>
    </xf>
    <xf applyNumberFormat="1" applyFont="1" applyBorder="1" applyAlignment="1" fontId="10" numFmtId="164" fillId="0" borderId="0" xfId="2"/>
    <xf applyNumberFormat="1" applyFont="1" applyBorder="1" applyAlignment="1" fontId="15" numFmtId="3" fillId="0" borderId="0" xfId="0"/>
    <xf applyNumberFormat="1" applyFont="1" applyFill="1" applyBorder="1" applyAlignment="1" applyProtection="1" fontId="15" numFmtId="3" fillId="0" borderId="0" xfId="0">
      <alignment horizontal="right"/>
    </xf>
    <xf applyNumberFormat="1" applyFont="1" applyBorder="1" applyAlignment="1" fontId="9" numFmtId="3" fillId="0" borderId="7" xfId="0">
      <alignment horizontal="right"/>
    </xf>
    <xf applyNumberFormat="1" applyFont="1" applyBorder="1" applyAlignment="1" fontId="9" numFmtId="3" fillId="0" borderId="0" xfId="1">
      <alignment horizontal="right"/>
    </xf>
    <xf applyNumberFormat="1" applyFont="1" applyBorder="1" applyAlignment="1" fontId="16" numFmtId="3" fillId="0" borderId="0" xfId="0"/>
    <xf applyNumberFormat="1" applyFont="1" applyFill="1" applyBorder="1" applyAlignment="1" applyProtection="1" fontId="16" numFmtId="3" fillId="0" borderId="0" xfId="0">
      <alignment horizontal="right"/>
    </xf>
    <xf applyNumberFormat="1" applyFont="1" applyBorder="1" applyAlignment="1" fontId="10" numFmtId="3" fillId="0" borderId="5" xfId="1">
      <alignment horizontal="left"/>
    </xf>
    <xf applyNumberFormat="1" applyFont="1" applyFill="1" applyBorder="1" applyAlignment="1" fontId="16" numFmtId="3" fillId="0" borderId="18" xfId="4"/>
    <xf applyNumberFormat="1" applyFont="1" applyFill="1" applyBorder="1" applyAlignment="1" fontId="16" numFmtId="3" fillId="0" borderId="19" xfId="4">
      <alignment horizontal="left"/>
    </xf>
    <xf applyNumberFormat="1" applyFont="1" applyFill="1" applyBorder="1" applyAlignment="1" fontId="16" numFmtId="3" fillId="0" borderId="19" xfId="4"/>
    <xf applyNumberFormat="1" applyFont="1" applyFill="1" applyBorder="1" applyAlignment="1" fontId="16" numFmtId="3" fillId="0" borderId="20" xfId="4"/>
    <xf applyNumberFormat="1" applyFont="1" applyFill="1" applyBorder="1" applyAlignment="1" applyProtection="1" fontId="16" numFmtId="3" fillId="0" borderId="0" xfId="0"/>
    <xf applyNumberFormat="1" applyFont="1" applyFill="1" applyBorder="1" applyAlignment="1" applyProtection="1" fontId="0" numFmtId="3" fillId="0" borderId="9" xfId="0"/>
    <xf applyNumberFormat="1" applyFont="1" applyFill="1" applyBorder="1" applyAlignment="1" applyProtection="1" fontId="15" numFmtId="3" fillId="0" borderId="10" xfId="0">
      <alignment horizontal="right"/>
    </xf>
    <xf applyNumberFormat="1" applyFont="1" applyFill="1" applyBorder="1" applyAlignment="1" applyProtection="1" fontId="15" numFmtId="3" fillId="0" borderId="10" xfId="0"/>
    <xf applyNumberFormat="1" applyFont="1" applyFill="1" applyBorder="1" applyAlignment="1" applyProtection="1" fontId="16" numFmtId="3" fillId="0" borderId="0" xfId="2">
      <alignment horizontal="center"/>
    </xf>
    <xf applyNumberFormat="1" applyFont="1" applyFill="1" applyBorder="1" applyAlignment="1" fontId="16" numFmtId="3" fillId="0" borderId="14" xfId="4">
      <alignment horizontal="left"/>
    </xf>
    <xf applyNumberFormat="1" applyFont="1" applyFill="1" applyBorder="1" applyAlignment="1" fontId="16" numFmtId="3" fillId="0" borderId="15" xfId="1"/>
    <xf applyNumberFormat="1" applyFont="1" applyFill="1" applyBorder="1" applyAlignment="1" fontId="16" numFmtId="4" fillId="0" borderId="15" xfId="1"/>
    <xf applyNumberFormat="1" applyFont="1" applyFill="1" applyBorder="1" applyAlignment="1" applyProtection="1" fontId="17" numFmtId="164" fillId="0" borderId="23" xfId="2"/>
    <xf applyNumberFormat="1" applyFont="1" applyFill="1" applyBorder="1" applyAlignment="1" applyProtection="1" fontId="6" numFmtId="3" fillId="0" borderId="7" xfId="0"/>
    <xf applyNumberFormat="1" applyFont="1" applyFill="1" applyBorder="1" applyAlignment="1" applyProtection="1" fontId="6" numFmtId="3" fillId="0" borderId="0" xfId="0"/>
    <xf applyNumberFormat="1" applyFont="1" applyFill="1" applyBorder="1" applyAlignment="1" applyProtection="1" fontId="6" numFmtId="3" fillId="0" borderId="8" xfId="0"/>
    <xf applyNumberFormat="1" applyFont="1" applyFill="1" applyBorder="1" applyAlignment="1" applyProtection="1" fontId="16" numFmtId="3" fillId="0" borderId="0" xfId="2"/>
    <xf applyNumberFormat="1" applyFont="1" applyFill="1" applyBorder="1" applyAlignment="1" applyProtection="1" fontId="6" numFmtId="3" fillId="0" borderId="0" xfId="1"/>
    <xf applyNumberFormat="1" applyFont="1" applyFill="1" applyBorder="1" applyAlignment="1" applyProtection="1" fontId="17" numFmtId="164" fillId="0" borderId="24" xfId="2"/>
    <xf applyNumberFormat="1" applyFont="1" applyFill="1" applyBorder="1" applyAlignment="1" applyProtection="1" fontId="18" numFmtId="3" fillId="0" borderId="9" xfId="0"/>
    <xf applyNumberFormat="1" applyFont="1" applyFill="1" applyBorder="1" applyAlignment="1" applyProtection="1" fontId="18" numFmtId="3" fillId="0" borderId="10" xfId="0">
      <alignment horizontal="right"/>
    </xf>
    <xf applyNumberFormat="1" applyFont="1" applyFill="1" applyBorder="1" applyAlignment="1" applyProtection="1" fontId="15" numFmtId="3" fillId="0" borderId="0" xfId="0">
      <alignment horizontal="center"/>
    </xf>
    <xf applyNumberFormat="1" applyFont="1" applyFill="1" applyBorder="1" applyAlignment="1" applyProtection="1" fontId="6" numFmtId="3" fillId="0" borderId="0" xfId="0">
      <alignment horizontal="centerContinuous"/>
    </xf>
    <xf applyNumberFormat="1" applyFont="1" applyBorder="1" applyAlignment="1" applyProtection="1" fontId="0" numFmtId="3" fillId="0" borderId="4" xfId="0">
      <protection locked="0"/>
    </xf>
    <xf applyNumberFormat="1" applyFont="1" applyBorder="1" applyAlignment="1" applyProtection="1" fontId="0" numFmtId="3" fillId="0" borderId="5" xfId="0">
      <protection locked="0"/>
    </xf>
    <xf applyNumberFormat="1" applyFont="1" applyBorder="1" applyAlignment="1" applyProtection="1" fontId="0" numFmtId="4" fillId="0" borderId="5" xfId="0">
      <protection locked="0"/>
    </xf>
    <xf applyNumberFormat="1" applyFont="1" applyBorder="1" applyAlignment="1" applyProtection="1" fontId="17" numFmtId="3" fillId="0" borderId="6" xfId="0">
      <alignment horizontal="right"/>
      <protection locked="0"/>
    </xf>
    <xf applyNumberFormat="1" applyFont="1" applyFill="1" applyBorder="1" applyAlignment="1" applyProtection="1" fontId="15" numFmtId="3" fillId="0" borderId="26" xfId="0">
      <alignment horizontal="right"/>
    </xf>
    <xf applyNumberFormat="1" applyFont="1" applyFill="1" applyBorder="1" applyAlignment="1" applyProtection="1" fontId="15" numFmtId="3" fillId="0" borderId="27" xfId="1"/>
    <xf applyNumberFormat="1" applyFont="1" applyFill="1" applyBorder="1" applyAlignment="1" applyProtection="1" fontId="15" numFmtId="4" fillId="0" borderId="27" xfId="1"/>
    <xf applyNumberFormat="1" applyFont="1" applyFill="1" applyBorder="1" applyAlignment="1" applyProtection="1" fontId="17" numFmtId="164" fillId="0" borderId="21" xfId="2"/>
    <xf applyNumberFormat="1" applyFont="1" applyFill="1" applyBorder="1" applyAlignment="1" applyProtection="1" fontId="0" numFmtId="3" fillId="0" borderId="7" xfId="0"/>
    <xf applyNumberFormat="1" applyFont="1" applyFill="1" applyBorder="1" applyAlignment="1" applyProtection="1" fontId="19" numFmtId="3" fillId="0" borderId="0" xfId="1">
      <alignment horizontal="right"/>
    </xf>
    <xf applyNumberFormat="1" applyFont="1" applyFill="1" applyBorder="1" applyAlignment="1" applyProtection="1" fontId="19" numFmtId="4" fillId="0" borderId="0" xfId="1"/>
    <xf applyNumberFormat="1" applyFont="1" applyFill="1" applyBorder="1" applyAlignment="1" applyProtection="1" fontId="20" numFmtId="164" fillId="0" borderId="0" xfId="2"/>
    <xf applyNumberFormat="1" applyFont="1" applyFill="1" applyBorder="1" applyAlignment="1" applyProtection="1" fontId="15" numFmtId="3" fillId="0" borderId="9" xfId="0"/>
    <xf applyNumberFormat="1" applyFont="1" applyFill="1" applyBorder="1" applyAlignment="1" applyProtection="1" fontId="6" numFmtId="4" fillId="0" borderId="0" xfId="1"/>
    <xf applyNumberFormat="1" applyFont="1" applyFill="1" applyBorder="1" applyAlignment="1" applyProtection="1" fontId="0" numFmtId="3" fillId="0" borderId="0" xfId="1"/>
    <xf applyNumberFormat="1" applyFont="1" applyFill="1" applyBorder="1" applyAlignment="1" applyProtection="1" fontId="6" numFmtId="4" fillId="0" borderId="28" xfId="1"/>
    <xf applyNumberFormat="1" applyFont="1" applyFill="1" applyBorder="1" applyAlignment="1" applyProtection="1" fontId="15" numFmtId="3" fillId="0" borderId="10" xfId="1"/>
    <xf applyNumberFormat="1" applyFont="1" applyFill="1" applyBorder="1" applyAlignment="1" applyProtection="1" fontId="17" numFmtId="164" fillId="0" borderId="28" xfId="2"/>
    <xf applyNumberFormat="1" applyFont="1" applyFill="1" applyBorder="1" applyAlignment="1" applyProtection="1" fontId="17" numFmtId="164" fillId="0" borderId="0" xfId="2"/>
    <xf applyNumberFormat="1" applyFont="1" applyFill="1" applyBorder="1" applyAlignment="1" applyProtection="1" fontId="15" numFmtId="3" fillId="0" borderId="0" xfId="2"/>
    <xf applyNumberFormat="1" applyFont="1" applyFill="1" applyBorder="1" applyAlignment="1" applyProtection="1" fontId="0" numFmtId="3" fillId="0" borderId="7" xfId="0">
      <alignment horizontal="center"/>
    </xf>
    <xf applyNumberFormat="1" applyFont="1" applyFill="1" applyBorder="1" applyAlignment="1" applyProtection="1" fontId="6" numFmtId="3" fillId="0" borderId="0" xfId="2"/>
    <xf applyNumberFormat="1" applyFont="1" applyBorder="1" applyAlignment="1" fontId="0" numFmtId="3" fillId="0" borderId="7" xfId="0"/>
    <xf applyNumberFormat="1" applyFont="1" applyBorder="1" applyAlignment="1" fontId="6" numFmtId="3" fillId="0" borderId="0" xfId="1"/>
    <xf applyNumberFormat="1" applyFont="1" applyBorder="1" applyAlignment="1" fontId="6" numFmtId="4" fillId="0" borderId="0" xfId="1"/>
    <xf applyNumberFormat="1" applyFont="1" applyBorder="1" applyAlignment="1" fontId="0" numFmtId="3" fillId="0" borderId="0" xfId="1"/>
    <xf applyNumberFormat="1" applyFont="1" applyBorder="1" applyAlignment="1" fontId="20" numFmtId="164" fillId="0" borderId="0" xfId="2"/>
    <xf applyNumberFormat="1" applyFont="1" applyFill="1" applyBorder="1" applyAlignment="1" applyProtection="1" fontId="15" numFmtId="4" fillId="0" borderId="28" xfId="1"/>
    <xf applyNumberFormat="1" applyFont="1" applyFill="1" applyBorder="1" applyAlignment="1" applyProtection="1" fontId="6" numFmtId="3" fillId="0" borderId="10" xfId="1"/>
    <xf applyNumberFormat="1" applyFont="1" applyFill="1" applyBorder="1" applyAlignment="1" applyProtection="1" fontId="0" numFmtId="3" fillId="0" borderId="10" xfId="1"/>
    <xf applyNumberFormat="1" applyFont="1" applyAlignment="1" applyProtection="1" fontId="0" numFmtId="3" fillId="0" borderId="0" xfId="0">
      <protection locked="0"/>
    </xf>
    <xf applyNumberFormat="1" applyFont="1" applyAlignment="1" applyProtection="1" fontId="0" numFmtId="4" fillId="0" borderId="0" xfId="0">
      <protection locked="0"/>
    </xf>
    <xf applyNumberFormat="1" applyFont="1" applyFill="1" applyBorder="1" applyAlignment="1" applyProtection="1" fontId="0" numFmtId="3" fillId="0" borderId="12" xfId="0"/>
    <xf applyNumberFormat="1" applyFont="1" applyFill="1" applyBorder="1" applyAlignment="1" applyProtection="1" fontId="6" numFmtId="3" fillId="0" borderId="13" xfId="1"/>
    <xf applyNumberFormat="1" applyFont="1" applyFill="1" applyBorder="1" applyAlignment="1" applyProtection="1" fontId="6" numFmtId="4" fillId="0" borderId="29" xfId="1"/>
    <xf applyNumberFormat="1" applyFont="1" applyFill="1" applyBorder="1" applyAlignment="1" applyProtection="1" fontId="0" numFmtId="3" fillId="0" borderId="30" xfId="1"/>
    <xf applyNumberFormat="1" applyFont="1" applyFill="1" applyBorder="1" applyAlignment="1" applyProtection="1" fontId="0" numFmtId="3" fillId="0" borderId="31" xfId="1"/>
    <xf applyNumberFormat="1" applyFont="1" applyFill="1" applyBorder="1" applyAlignment="1" applyProtection="1" fontId="17" numFmtId="164" fillId="0" borderId="29" xfId="2"/>
    <xf applyNumberFormat="1" applyFont="1" applyFill="1" applyBorder="1" applyAlignment="1" applyProtection="1" fontId="6" numFmtId="3" fillId="0" borderId="9" xfId="0"/>
    <xf applyNumberFormat="1" applyFont="1" applyFill="1" applyBorder="1" applyAlignment="1" applyProtection="1" fontId="0" numFmtId="3" fillId="0" borderId="14" xfId="0"/>
    <xf applyNumberFormat="1" applyFont="1" applyFill="1" applyBorder="1" applyAlignment="1" applyProtection="1" fontId="6" numFmtId="3" fillId="0" borderId="15" xfId="1"/>
    <xf applyNumberFormat="1" applyFont="1" applyFill="1" applyBorder="1" applyAlignment="1" applyProtection="1" fontId="6" numFmtId="4" fillId="0" borderId="33" xfId="1"/>
    <xf applyNumberFormat="1" applyFont="1" applyFill="1" applyBorder="1" applyAlignment="1" applyProtection="1" fontId="0" numFmtId="3" fillId="0" borderId="34" xfId="1"/>
    <xf applyNumberFormat="1" applyFont="1" applyFill="1" applyBorder="1" applyAlignment="1" applyProtection="1" fontId="0" numFmtId="3" fillId="0" borderId="24" xfId="1"/>
    <xf applyNumberFormat="1" applyFont="1" applyFill="1" applyBorder="1" applyAlignment="1" applyProtection="1" fontId="17" numFmtId="164" fillId="0" borderId="33" xfId="2"/>
    <xf applyNumberFormat="1" applyFont="1" applyFill="1" applyAlignment="1" applyProtection="1" fontId="6" numFmtId="3" fillId="0" borderId="0" xfId="1"/>
    <xf applyNumberFormat="1" applyFont="1" applyBorder="1" applyAlignment="1" applyProtection="1" fontId="0" numFmtId="3" fillId="0" borderId="0" xfId="0">
      <protection locked="0"/>
    </xf>
    <xf applyNumberFormat="1" applyFont="1" applyAlignment="1" fontId="16" numFmtId="3" fillId="0" borderId="0" xfId="0"/>
    <xf applyNumberFormat="1" applyFont="1" applyFill="1" applyBorder="1" applyAlignment="1" applyProtection="1" fontId="15" numFmtId="3" fillId="0" borderId="0" xfId="0"/>
    <xf applyNumberFormat="1" applyFont="1" applyFill="1" applyBorder="1" applyAlignment="1" applyProtection="1" fontId="0" numFmtId="3" fillId="0" borderId="18" xfId="0"/>
    <xf applyNumberFormat="1" applyFont="1" applyFill="1" applyBorder="1" applyAlignment="1" applyProtection="1" fontId="6" numFmtId="3" fillId="0" borderId="19" xfId="1"/>
    <xf applyNumberFormat="1" applyFont="1" applyFill="1" applyBorder="1" applyAlignment="1" applyProtection="1" fontId="6" numFmtId="4" fillId="0" borderId="36" xfId="1"/>
    <xf applyNumberFormat="1" applyFont="1" applyFill="1" applyBorder="1" applyAlignment="1" applyProtection="1" fontId="0" numFmtId="3" fillId="0" borderId="37" xfId="1"/>
    <xf applyNumberFormat="1" applyFont="1" applyFill="1" applyBorder="1" applyAlignment="1" applyProtection="1" fontId="0" numFmtId="3" fillId="0" borderId="25" xfId="1"/>
    <xf applyNumberFormat="1" applyFont="1" applyFill="1" applyBorder="1" applyAlignment="1" applyProtection="1" fontId="17" numFmtId="164" fillId="0" borderId="36" xfId="2"/>
    <xf applyNumberFormat="1" applyFont="1" applyFill="1" applyBorder="1" applyAlignment="1" applyProtection="1" fontId="15" numFmtId="3" fillId="0" borderId="21" xfId="1"/>
    <xf applyNumberFormat="1" applyFont="1" applyFill="1" applyAlignment="1" applyProtection="1" fontId="16" numFmtId="3" fillId="0" borderId="0" xfId="0"/>
    <xf applyNumberFormat="1" applyFont="1" applyFill="1" applyBorder="1" applyAlignment="1" applyProtection="1" fontId="15" numFmtId="3" fillId="0" borderId="1" xfId="0">
      <alignment horizontal="left"/>
    </xf>
    <xf applyNumberFormat="1" applyFont="1" applyFill="1" applyBorder="1" applyAlignment="1" applyProtection="1" fontId="19" numFmtId="3" fillId="0" borderId="2" xfId="1">
      <alignment horizontal="right"/>
    </xf>
    <xf applyNumberFormat="1" applyFont="1" applyFill="1" applyBorder="1" applyAlignment="1" applyProtection="1" fontId="19" numFmtId="4" fillId="0" borderId="2" xfId="1"/>
    <xf applyNumberFormat="1" applyFont="1" applyFill="1" applyBorder="1" applyAlignment="1" applyProtection="1" fontId="0" numFmtId="3" fillId="0" borderId="2" xfId="1"/>
    <xf applyNumberFormat="1" applyFont="1" applyFill="1" applyBorder="1" applyAlignment="1" applyProtection="1" fontId="17" numFmtId="164" fillId="0" borderId="2" xfId="2"/>
    <xf applyNumberFormat="1" applyFont="1" applyFill="1" applyBorder="1" applyAlignment="1" applyProtection="1" fontId="0" numFmtId="3" fillId="0" borderId="4" xfId="0"/>
    <xf applyNumberFormat="1" applyFont="1" applyFill="1" applyBorder="1" applyAlignment="1" applyProtection="1" fontId="6" numFmtId="3" fillId="0" borderId="5" xfId="1"/>
    <xf applyNumberFormat="1" applyFont="1" applyFill="1" applyBorder="1" applyAlignment="1" applyProtection="1" fontId="6" numFmtId="4" fillId="0" borderId="5" xfId="1"/>
    <xf applyNumberFormat="1" applyFont="1" applyFill="1" applyBorder="1" applyAlignment="1" applyProtection="1" fontId="0" numFmtId="3" fillId="0" borderId="5" xfId="1"/>
    <xf applyNumberFormat="1" applyFont="1" applyFill="1" applyBorder="1" applyAlignment="1" applyProtection="1" fontId="17" numFmtId="164" fillId="0" borderId="5" xfId="2"/>
    <xf applyNumberFormat="1" applyFont="1" applyFill="1" applyBorder="1" applyAlignment="1" applyProtection="1" fontId="15" numFmtId="3" fillId="0" borderId="28" xfId="1"/>
    <xf applyNumberFormat="1" applyFont="1" applyFill="1" applyBorder="1" applyAlignment="1" applyProtection="1" fontId="15" numFmtId="4" fillId="0" borderId="10" xfId="1"/>
    <xf applyNumberFormat="1" applyFont="1" applyFill="1" applyBorder="1" applyAlignment="1" applyProtection="1" fontId="19" numFmtId="3" fillId="0" borderId="5" xfId="1">
      <alignment horizontal="right"/>
    </xf>
    <xf applyNumberFormat="1" applyFont="1" applyFill="1" applyBorder="1" applyAlignment="1" applyProtection="1" fontId="20" numFmtId="164" fillId="0" borderId="5" xfId="2"/>
    <xf applyNumberFormat="1" applyFont="1" applyAlignment="1" fontId="6" numFmtId="3" fillId="0" borderId="0" xfId="1"/>
    <xf applyNumberFormat="1" applyFont="1" applyAlignment="1" fontId="6" numFmtId="4" fillId="0" borderId="0" xfId="1"/>
    <xf applyNumberFormat="1" applyFont="1" applyAlignment="1" fontId="15" numFmtId="164" fillId="0" borderId="0" xfId="2"/>
    <xf fontId="4" numFmtId="0" fillId="2" borderId="0" xfId="5"/>
    <xf fontId="4" numFmtId="0" fillId="0" borderId="0" xfId="6"/>
    <xf fontId="4" numFmtId="0" fillId="4" borderId="0" xfId="7"/>
    <xf fontId="5" numFmtId="0" fillId="3" borderId="0" xfId="3"/>
    <xf applyFont="1" fontId="4" numFmtId="0" fillId="0" borderId="0" xfId="6"/>
    <xf applyNumberFormat="1" applyFont="1" applyAlignment="1" fontId="22" numFmtId="3" fillId="0" borderId="0" xfId="6">
      <alignment horizontal="right"/>
    </xf>
    <xf applyAlignment="1" fontId="4" numFmtId="0" fillId="0" borderId="0" xfId="6">
      <alignment horizontal="left"/>
    </xf>
    <xf applyNumberFormat="1" applyFont="1" applyFill="1" applyBorder="1" applyAlignment="1" fontId="16" numFmtId="3" fillId="5" borderId="38" xfId="4">
      <alignment horizontal="center"/>
    </xf>
    <xf applyNumberFormat="1" applyFont="1" applyFill="1" applyBorder="1" applyAlignment="1" fontId="16" numFmtId="3" fillId="5" borderId="38" xfId="1">
      <alignment horizontal="center"/>
    </xf>
    <xf applyNumberFormat="1" applyFont="1" applyFill="1" applyBorder="1" applyAlignment="1" fontId="16" numFmtId="4" fillId="5" borderId="38" xfId="1">
      <alignment horizontal="center"/>
    </xf>
    <xf applyNumberFormat="1" applyFont="1" applyFill="1" applyBorder="1" applyAlignment="1" fontId="16" numFmtId="3" fillId="5" borderId="39" xfId="4">
      <alignment horizontal="center"/>
    </xf>
    <xf applyNumberFormat="1" applyFont="1" applyFill="1" applyBorder="1" applyAlignment="1" fontId="16" numFmtId="3" fillId="5" borderId="10" xfId="4">
      <alignment horizontal="center"/>
    </xf>
    <xf applyNumberFormat="1" applyFont="1" applyFill="1" applyBorder="1" applyAlignment="1" fontId="16" numFmtId="3" fillId="5" borderId="11" xfId="4">
      <alignment horizontal="center"/>
    </xf>
    <xf applyNumberFormat="1" applyFont="1" applyFill="1" applyBorder="1" applyAlignment="1" applyProtection="1" fontId="15" numFmtId="3" fillId="0" borderId="11" xfId="0"/>
    <xf applyNumberFormat="1" applyFont="1" applyFill="1" applyBorder="1" applyAlignment="1" fontId="16" numFmtId="3" fillId="5" borderId="40" xfId="4">
      <alignment horizontal="center"/>
    </xf>
    <xf applyNumberFormat="1" applyFont="1" applyFill="1" applyBorder="1" applyAlignment="1" fontId="16" numFmtId="3" fillId="5" borderId="41" xfId="4">
      <alignment horizontal="center"/>
    </xf>
    <xf applyNumberFormat="1" applyFont="1" applyFill="1" applyBorder="1" applyAlignment="1" fontId="16" numFmtId="3" fillId="5" borderId="42" xfId="4">
      <alignment horizontal="center"/>
    </xf>
    <xf applyNumberFormat="1" applyFont="1" applyFill="1" applyBorder="1" applyAlignment="1" fontId="16" numFmtId="3" fillId="5" borderId="43" xfId="4">
      <alignment horizontal="center"/>
    </xf>
    <xf applyNumberFormat="1" applyFont="1" applyFill="1" applyBorder="1" applyAlignment="1" applyProtection="1" fontId="15" numFmtId="3" fillId="0" borderId="27" xfId="0"/>
    <xf applyNumberFormat="1" applyFont="1" applyFill="1" applyBorder="1" applyAlignment="1" applyProtection="1" fontId="15" numFmtId="3" fillId="0" borderId="28" xfId="0"/>
    <xf applyNumberFormat="1" applyFont="1" applyFill="1" applyBorder="1" applyAlignment="1" applyProtection="1" fontId="6" numFmtId="3" fillId="5" borderId="10" xfId="0">
      <alignment horizontal="center"/>
      <protection locked="0"/>
    </xf>
    <xf applyNumberFormat="1" applyFont="1" applyFill="1" applyBorder="1" applyAlignment="1" applyProtection="1" fontId="6" numFmtId="3" fillId="5" borderId="11" xfId="0">
      <alignment horizontal="center"/>
      <protection locked="0"/>
    </xf>
    <xf applyNumberFormat="1" applyFont="1" applyBorder="1" applyAlignment="1" applyProtection="1" fontId="13" numFmtId="3" fillId="0" borderId="0" xfId="0">
      <alignment horizontal="center"/>
      <protection locked="0"/>
    </xf>
    <xf applyNumberFormat="1" applyFont="1" applyBorder="1" applyAlignment="1" applyProtection="1" fontId="14" numFmtId="3" fillId="0" borderId="0" xfId="0">
      <protection locked="0"/>
    </xf>
    <xf applyFont="1" fontId="3" numFmtId="0" fillId="0" borderId="0" xfId="6"/>
    <xf applyNumberFormat="1" applyFont="1" applyFill="1" applyBorder="1" applyAlignment="1" fontId="16" numFmtId="3" fillId="0" borderId="44" xfId="4"/>
    <xf applyNumberFormat="1" applyFont="1" applyFill="1" applyBorder="1" applyAlignment="1" fontId="16" numFmtId="3" fillId="0" borderId="45" xfId="4"/>
    <xf applyNumberFormat="1" applyFont="1" applyFill="1" applyBorder="1" applyAlignment="1" fontId="16" numFmtId="3" fillId="0" borderId="46" xfId="4"/>
    <xf applyNumberFormat="1" applyFont="1" applyFill="1" applyBorder="1" applyAlignment="1" fontId="16" numFmtId="3" fillId="5" borderId="9" xfId="4">
      <alignment horizontal="center"/>
    </xf>
    <xf applyNumberFormat="1" applyFont="1" applyBorder="1" applyAlignment="1" applyProtection="1" fontId="23" numFmtId="3" fillId="0" borderId="0" xfId="8">
      <protection locked="0"/>
    </xf>
    <xf applyNumberFormat="1" applyFont="1" applyBorder="1" applyAlignment="1" applyProtection="1" fontId="0" numFmtId="4" fillId="0" borderId="0" xfId="0">
      <protection locked="0"/>
    </xf>
    <xf applyNumberFormat="1" applyBorder="1" applyAlignment="1" applyProtection="1" fontId="0" numFmtId="3" fillId="0" borderId="0" xfId="0">
      <protection locked="0"/>
    </xf>
    <xf applyNumberFormat="1" applyFont="1" applyBorder="1" applyProtection="1" fontId="6" numFmtId="3" fillId="0" borderId="0" xfId="0">
      <protection locked="0"/>
    </xf>
    <xf applyNumberFormat="1" applyFont="1" applyBorder="1" applyAlignment="1" applyProtection="1" fontId="15" numFmtId="3" fillId="0" borderId="45" xfId="0">
      <alignment horizontal="right"/>
      <protection locked="0"/>
    </xf>
    <xf applyNumberFormat="1" applyFont="1" applyBorder="1" applyAlignment="1" applyProtection="1" fontId="0" numFmtId="4" fillId="0" borderId="0" xfId="1">
      <protection locked="0"/>
    </xf>
    <xf applyNumberFormat="1" applyFont="1" applyFill="1" applyBorder="1" applyAlignment="1" applyProtection="1" fontId="0" numFmtId="3" fillId="0" borderId="47" xfId="0"/>
    <xf applyNumberFormat="1" applyFont="1" applyBorder="1" applyAlignment="1" fontId="11" numFmtId="49" fillId="0" borderId="3" xfId="0"/>
    <xf applyNumberFormat="1" applyFont="1" applyBorder="1" applyAlignment="1" fontId="11" numFmtId="49" fillId="0" borderId="8" xfId="0"/>
    <xf applyNumberFormat="1" applyFont="1" applyBorder="1" applyAlignment="1" fontId="11" numFmtId="49" fillId="0" borderId="6" xfId="0"/>
    <xf applyNumberFormat="1" applyFont="1" applyFill="1" applyBorder="1" applyAlignment="1" applyProtection="1" fontId="17" numFmtId="49" fillId="0" borderId="17" xfId="0"/>
    <xf applyNumberFormat="1" applyFont="1" applyFill="1" applyBorder="1" applyAlignment="1" applyProtection="1" fontId="17" numFmtId="49" fillId="0" borderId="16" xfId="0"/>
    <xf applyNumberFormat="1" applyFont="1" applyFill="1" applyBorder="1" applyAlignment="1" applyProtection="1" fontId="17" numFmtId="49" fillId="0" borderId="22" xfId="0"/>
    <xf applyNumberFormat="1" applyFont="1" applyFill="1" applyBorder="1" applyAlignment="1" applyProtection="1" fontId="21" numFmtId="49" fillId="0" borderId="8" xfId="0"/>
    <xf applyNumberFormat="1" applyFont="1" applyFill="1" applyBorder="1" applyAlignment="1" applyProtection="1" fontId="17" numFmtId="49" fillId="0" borderId="11" xfId="0"/>
    <xf applyNumberFormat="1" applyFont="1" applyFill="1" applyBorder="1" applyAlignment="1" applyProtection="1" fontId="19" numFmtId="49" fillId="0" borderId="8" xfId="0"/>
    <xf applyNumberFormat="1" applyFont="1" applyBorder="1" applyAlignment="1" fontId="15" numFmtId="49" fillId="0" borderId="8" xfId="0"/>
    <xf applyNumberFormat="1" applyFont="1" applyFill="1" applyBorder="1" applyAlignment="1" applyProtection="1" fontId="19" numFmtId="49" fillId="0" borderId="32" xfId="0"/>
    <xf applyNumberFormat="1" applyFont="1" applyFill="1" applyBorder="1" applyAlignment="1" applyProtection="1" fontId="19" numFmtId="49" fillId="0" borderId="35" xfId="0"/>
    <xf applyNumberFormat="1" applyFont="1" applyFill="1" applyBorder="1" applyAlignment="1" applyProtection="1" fontId="19" numFmtId="49" fillId="0" borderId="3" xfId="0"/>
    <xf applyNumberFormat="1" applyFont="1" applyFill="1" applyBorder="1" applyAlignment="1" applyProtection="1" fontId="19" numFmtId="49" fillId="0" borderId="6" xfId="0"/>
    <xf applyNumberFormat="1" applyFont="1" applyFill="1" applyBorder="1" applyAlignment="1" applyProtection="1" fontId="21" numFmtId="49" fillId="0" borderId="6" xfId="0"/>
    <xf applyNumberFormat="1" applyFont="1" applyAlignment="1" fontId="15" numFmtId="49" fillId="0" borderId="0" xfId="0"/>
    <xf applyNumberFormat="1" applyFont="1" applyBorder="1" applyAlignment="1" applyProtection="1" fontId="14" numFmtId="4" fillId="0" borderId="0" xfId="0">
      <protection locked="0"/>
    </xf>
    <xf applyNumberFormat="1" applyFont="1" applyFill="1" applyBorder="1" applyAlignment="1" applyProtection="1" fontId="6" numFmtId="4" fillId="5" borderId="10" xfId="0">
      <alignment horizontal="center"/>
      <protection locked="0"/>
    </xf>
    <xf applyNumberFormat="1" applyFont="1" applyFill="1" applyBorder="1" applyAlignment="1" applyProtection="1" fontId="6" numFmtId="3" fillId="5" borderId="10" xfId="0">
      <alignment horizontal="left"/>
      <protection locked="0"/>
    </xf>
    <xf applyNumberFormat="1" applyFont="1" applyFill="1" applyBorder="1" applyAlignment="1" applyProtection="1" fontId="6" numFmtId="3" fillId="5" borderId="9" xfId="0">
      <alignment horizontal="left"/>
      <protection locked="0"/>
    </xf>
    <xf applyNumberFormat="1" applyBorder="1" applyAlignment="1" applyProtection="1" fontId="0" numFmtId="3" fillId="0" borderId="0" xfId="0"/>
    <xf applyNumberFormat="1" applyFont="1" applyFill="1" applyBorder="1" applyAlignment="1" fontId="16" numFmtId="3" fillId="0" borderId="48" xfId="4"/>
    <xf applyNumberFormat="1" applyFont="1" applyBorder="1" applyAlignment="1" applyProtection="1" fontId="0" numFmtId="4" fillId="0" borderId="0" xfId="0"/>
    <xf applyNumberFormat="1" applyFont="1" applyBorder="1" applyAlignment="1" applyProtection="1" fontId="15" numFmtId="4" fillId="0" borderId="45" xfId="0"/>
    <xf applyBorder="1" fontId="4" numFmtId="0" fillId="0" borderId="8" xfId="6"/>
    <xf applyNumberFormat="1" applyBorder="1" applyAlignment="1" applyProtection="1" fontId="0" numFmtId="3" fillId="0" borderId="3" xfId="0"/>
    <xf applyNumberFormat="1" applyFont="1" applyBorder="1" applyAlignment="1" applyProtection="1" fontId="0" numFmtId="3" fillId="0" borderId="1" xfId="0">
      <protection locked="0"/>
    </xf>
    <xf applyBorder="1" fontId="4" numFmtId="0" fillId="0" borderId="7" xfId="6"/>
    <xf applyNumberFormat="1" applyFont="1" applyBorder="1" applyProtection="1" fontId="0" numFmtId="3" fillId="0" borderId="0" xfId="0">
      <protection locked="0"/>
    </xf>
    <xf applyNumberFormat="1" applyFont="1" applyBorder="1" applyAlignment="1" applyProtection="1" fontId="0" numFmtId="3" fillId="0" borderId="7" xfId="0">
      <protection locked="0"/>
    </xf>
    <xf applyNumberFormat="1" applyBorder="1" applyAlignment="1" applyProtection="1" fontId="0" numFmtId="3" fillId="0" borderId="8" xfId="0"/>
    <xf applyFont="1" fontId="2" numFmtId="0" fillId="0" borderId="0" xfId="6"/>
    <xf applyFont="1" fontId="1" numFmtId="0" fillId="0" borderId="0" xfId="6"/>
    <xf applyNumberFormat="1" applyFont="1" applyFill="1" applyBorder="1" applyAlignment="1" applyProtection="1" fontId="7" numFmtId="3" fillId="0" borderId="0" xfId="0">
      <alignment horizontal="center"/>
    </xf>
    <xf applyNumberFormat="1" applyFont="1" applyFill="1" applyBorder="1" applyAlignment="1" applyProtection="1" fontId="13" numFmtId="3" fillId="0" borderId="0" xfId="0">
      <alignment horizontal="center"/>
    </xf>
    <xf applyNumberFormat="1" applyFont="1" applyFill="1" applyBorder="1" applyAlignment="1" applyProtection="1" fontId="6" numFmtId="3" fillId="5" borderId="21" xfId="0">
      <alignment horizontal="center"/>
    </xf>
    <xf applyNumberFormat="1" applyFont="1" applyFill="1" applyBorder="1" applyAlignment="1" applyProtection="1" fontId="6" numFmtId="3" fillId="5" borderId="22" xfId="0">
      <alignment horizontal="center"/>
    </xf>
    <xf applyNumberFormat="1" applyFont="1" applyBorder="1" applyAlignment="1" applyProtection="1" fontId="8" numFmtId="3" fillId="0" borderId="4" xfId="0">
      <alignment horizontal="center" vertical="center"/>
      <protection locked="0"/>
    </xf>
    <xf applyBorder="1" applyAlignment="1" fontId="0" numFmtId="0" fillId="0" borderId="5" xfId="0">
      <alignment horizontal="center" vertical="center"/>
    </xf>
    <xf applyBorder="1" applyAlignment="1" fontId="0" numFmtId="0" fillId="0" borderId="6" xfId="0">
      <alignment horizontal="center" vertical="center"/>
    </xf>
    <xf applyNumberFormat="1" applyFont="1" applyBorder="1" applyAlignment="1" fontId="7" numFmtId="3" fillId="0" borderId="1" xfId="0">
      <alignment horizontal="center" vertical="center"/>
    </xf>
    <xf applyNumberFormat="1" applyFont="1" applyBorder="1" applyAlignment="1" fontId="7" numFmtId="3" fillId="0" borderId="2" xfId="0">
      <alignment horizontal="center" vertical="center"/>
    </xf>
    <xf applyNumberFormat="1" applyFont="1" applyBorder="1" applyAlignment="1" fontId="7" numFmtId="3" fillId="0" borderId="3" xfId="0">
      <alignment horizontal="center" vertical="center"/>
    </xf>
    <xf applyNumberFormat="1" applyFont="1" applyBorder="1" applyAlignment="1" fontId="8" numFmtId="3" fillId="0" borderId="4" xfId="0">
      <alignment horizontal="center" vertical="center"/>
    </xf>
    <xf applyNumberFormat="1" applyFont="1" applyBorder="1" applyAlignment="1" fontId="8" numFmtId="3" fillId="0" borderId="5" xfId="0">
      <alignment horizontal="center" vertical="center"/>
    </xf>
    <xf applyNumberFormat="1" applyFont="1" applyBorder="1" applyAlignment="1" fontId="8" numFmtId="3" fillId="0" borderId="6" xfId="0">
      <alignment horizontal="center" vertical="center"/>
    </xf>
    <xf applyNumberFormat="1" applyFont="1" applyFill="1" applyBorder="1" applyAlignment="1" applyProtection="1" fontId="8" numFmtId="3" fillId="0" borderId="4" xfId="0">
      <alignment horizontal="center" vertical="center"/>
    </xf>
    <xf applyNumberFormat="1" applyFont="1" applyFill="1" applyBorder="1" applyAlignment="1" applyProtection="1" fontId="8" numFmtId="3" fillId="0" borderId="5" xfId="0">
      <alignment horizontal="center" vertical="center"/>
    </xf>
    <xf applyNumberFormat="1" applyFont="1" applyFill="1" applyBorder="1" applyAlignment="1" applyProtection="1" fontId="8" numFmtId="3" fillId="0" borderId="6" xfId="0">
      <alignment horizontal="center" vertical="center"/>
    </xf>
  </cellXfs>
  <cellStyles count="12">
    <cellStyle name="20% - Accent5 2" xfId="7"/>
    <cellStyle name="60% - Accent1 2" xfId="5"/>
    <cellStyle name="Accent5" xfId="3" builtinId="45"/>
    <cellStyle name="Comma" xfId="1" builtinId="3"/>
    <cellStyle name="Comma 2" xfId="10"/>
    <cellStyle name="Normal" xfId="0" builtinId="0"/>
    <cellStyle name="Normal 2" xfId="6"/>
    <cellStyle name="Normal 2 2" xfId="9"/>
    <cellStyle name="Normal 3" xfId="8"/>
    <cellStyle name="Normal_KbProject Proj Cost Sumry" xfId="4"/>
    <cellStyle name="Percent" xfId="2" builtinId="5"/>
    <cellStyle name="Percent 2" xfId="11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charts/chart1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Direct Field Costs</a:t>
            </a:r>
          </a:p>
        </c:rich>
      </c:tx>
      <c:layout>
        <c:manualLayout>
          <c:xMode val="edge"/>
          <c:yMode val="edge"/>
          <c:x val="0.387302253884936"/>
          <c:y val="0.030092592592592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523979296843"/>
          <c:y val="0.129629922666022"/>
          <c:w val="0.876191834374755"/>
          <c:h val="0.6458347932825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'Proj Cost Sumry'!$D$7</c:f>
              <c:strCache>
                <c:ptCount val="1"/>
                <c:pt idx="0">
                  <c:v>Labor Cost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'Proj Cost Sumry'!$A$8:$A$9</c:f>
              <c:strCache>
                <c:ptCount val="2"/>
                <c:pt idx="0">
                  <c:v>&lt;#TBL_0_TAQ_TDC_AcctSumry.Account;&gt;</c:v>
                </c:pt>
              </c:strCache>
            </c:strRef>
          </c:cat>
          <c:val>
            <c:numRef>
              <c:f>'Proj Cost Sumry'!$D$8:$D$9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91-4945-AB8B-8DDDBE9A742E}"/>
            </c:ext>
          </c:extLst>
        </c:ser>
        <c:ser>
          <c:idx val="1"/>
          <c:order val="1"/>
          <c:tx>
            <c:strRef>
              <c:f>'Proj Cost Sumry'!$E$7</c:f>
              <c:strCache>
                <c:ptCount val="1"/>
                <c:pt idx="0">
                  <c:v>Matl Cost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'Proj Cost Sumry'!$A$8:$A$9</c:f>
              <c:strCache>
                <c:ptCount val="2"/>
                <c:pt idx="0">
                  <c:v>&lt;#TBL_0_TAQ_TDC_AcctSumry.Account;&gt;</c:v>
                </c:pt>
              </c:strCache>
            </c:strRef>
          </c:cat>
          <c:val>
            <c:numRef>
              <c:f>'Proj Cost Sumry'!$E$8:$E$9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91-4945-AB8B-8DDDBE9A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44440"/>
        <c:axId val="544853064"/>
      </c:barChart>
      <c:catAx>
        <c:axId val="544844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3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53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44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solidFill>
          <a:srgbClr val="C0C0C0"/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 horizontalDpi="300"/>
  </c:printSettings>
</c:chartSpace>
</file>

<file path=xl/charts/chart2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Indirect Field Costs</a:t>
            </a:r>
          </a:p>
        </c:rich>
      </c:tx>
      <c:layout>
        <c:manualLayout>
          <c:xMode val="edge"/>
          <c:yMode val="edge"/>
          <c:x val="0.377778444361122"/>
          <c:y val="0.033419023136246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07937295289709"/>
          <c:y val="0.133676092544987"/>
          <c:w val="0.925398259855933"/>
          <c:h val="0.78149100257070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('Proj Cost Sumry'!$K$5:$K$6,'Proj Cost Sumry'!$K$10:$K$11)</c:f>
              <c:multiLvlStrCache>
                <c:ptCount val="2"/>
                <c:lvl>
                  <c:pt idx="0">
                    <c:v>&lt;#TBL_00_ICQ_FldOfcInd.Description;&gt;</c:v>
                  </c:pt>
                  <c:pt idx="1">
                    <c:v>&lt;#TBL_00_ICQ_ConstInd.Description;&gt;</c:v>
                  </c:pt>
                </c:lvl>
              </c:multiLvlStrCache>
            </c:multiLvlStrRef>
          </c:cat>
          <c:val>
            <c:numRef>
              <c:f>('Proj Cost Sumry'!$M$5:$M$6,'Proj Cost Sumry'!$M$10:$M$11)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E-424A-A497-FB6CF35D6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51888"/>
        <c:axId val="544848360"/>
      </c:barChart>
      <c:catAx>
        <c:axId val="54485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8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48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1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charts/chart3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Non Field Costs</a:t>
            </a:r>
          </a:p>
        </c:rich>
      </c:tx>
      <c:layout>
        <c:manualLayout>
          <c:xMode val="edge"/>
          <c:yMode val="edge"/>
          <c:x val="0.396826063408748"/>
          <c:y val="0.030092592592592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96969545473482"/>
          <c:y val="0.160701544343056"/>
          <c:w val="0.91848935549723"/>
          <c:h val="0.6633269202200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('Proj Cost Sumry'!$P$7,'Proj Cost Sumry'!$P$12,'Proj Cost Sumry'!$P$15:$P$16,'Proj Cost Sumry'!$P$20:$P$21,'Proj Cost Sumry'!$P$25:$P$26)</c:f>
              <c:multiLvlStrCache>
                <c:ptCount val="4"/>
                <c:lvl>
                  <c:pt idx="0">
                    <c:v>Taxes and Permits Total</c:v>
                  </c:pt>
                </c:lvl>
                <c:lvl>
                  <c:pt idx="0">
                    <c:v>Freight Total</c:v>
                  </c:pt>
                  <c:pt idx="1">
                    <c:v>&lt;#TBL_00_ICQ_Engineering.Description;&gt;</c:v>
                  </c:pt>
                  <c:pt idx="2">
                    <c:v>&lt;#TBL_00_ICQ_OtherProjCosts.Description;&gt;</c:v>
                  </c:pt>
                  <c:pt idx="3">
                    <c:v>&lt;#TBL_00_ICQ_Contingency.Description;&gt;</c:v>
                  </c:pt>
                </c:lvl>
              </c:multiLvlStrCache>
            </c:multiLvlStrRef>
          </c:cat>
          <c:val>
            <c:numRef>
              <c:f>('Proj Cost Sumry'!$R$7,'Proj Cost Sumry'!$R$12,'Proj Cost Sumry'!$R$15:$R$16,'Proj Cost Sumry'!$R$20:$R$21,'Proj Cost Sumry'!$R$25:$R$26)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3-4964-89E4-52AA3132A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52280"/>
        <c:axId val="544853456"/>
      </c:barChart>
      <c:catAx>
        <c:axId val="54485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700" b="0" i="0" u="none" strike="noStrike" cap="non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53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22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charts/chart4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Average Wage Rates</a:t>
            </a:r>
          </a:p>
        </c:rich>
      </c:tx>
      <c:layout>
        <c:manualLayout>
          <c:xMode val="edge"/>
          <c:yMode val="edge"/>
          <c:x val="0.367834729257573"/>
          <c:y val="0.033248081841432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89172432614414"/>
          <c:y val="0.14578023320142"/>
          <c:w val="0.934714102553144"/>
          <c:h val="0.5063944942786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('Proj Cost Sumry'!$U$5:$U$6,'Proj Cost Sumry'!$U$14)</c:f>
              <c:strCache>
                <c:ptCount val="3"/>
                <c:pt idx="0">
                  <c:v>&lt;#TBL_0_ICQ_WageRate.TITLE;&gt;</c:v>
                </c:pt>
                <c:pt idx="2">
                  <c:v>All Inclusive Wage Rate</c:v>
                </c:pt>
              </c:strCache>
            </c:strRef>
          </c:cat>
          <c:val>
            <c:numRef>
              <c:f>('Proj Cost Sumry'!$V$5:$V$6,'Proj Cost Sumry'!$V$14)</c:f>
              <c:numCache>
                <c:formatCode>#,##0.00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1-47BF-AADA-D06DCDEBE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43264"/>
        <c:axId val="544843656"/>
      </c:barChart>
      <c:catAx>
        <c:axId val="54484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3656"/>
        <c:crosses val="autoZero"/>
        <c:auto val="1"/>
        <c:lblAlgn val="ctr"/>
        <c:lblOffset val="100"/>
        <c:tickMarkSkip val="1"/>
        <c:noMultiLvlLbl val="0"/>
      </c:catAx>
      <c:valAx>
        <c:axId val="544843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3264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6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drawings/_rels/drawing1.xml.rels>&#65279;<?xml version="1.0" encoding="utf-8" standalone="yes"?><Relationships xmlns="http://schemas.openxmlformats.org/package/2006/relationships"><Relationship Id="flId2" Type="http://schemas.openxmlformats.org/officeDocument/2006/relationships/chart" Target="/xl/charts/chart1.xml" /><Relationship Id="flId3" Type="http://schemas.openxmlformats.org/officeDocument/2006/relationships/chart" Target="/xl/charts/chart2.xml" /><Relationship Id="flId4" Type="http://schemas.openxmlformats.org/officeDocument/2006/relationships/chart" Target="/xl/charts/chart3.xml" /><Relationship Id="flId5" Type="http://schemas.openxmlformats.org/officeDocument/2006/relationships/chart" Target="/xl/charts/chart4.xml" /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24</xdr:col>
      <xdr:colOff>47625</xdr:colOff>
      <xdr:row>0</xdr:row>
      <xdr:rowOff>47625</xdr:rowOff>
    </xdr:from>
    <xdr:to>
      <xdr:col>33</xdr:col>
      <xdr:colOff>561975</xdr:colOff>
      <xdr:row>23</xdr:row>
      <xdr:rowOff>0</xdr:rowOff>
    </xdr:to>
    <xdr:graphicFrame>
      <xdr:nvGraphicFramePr>
        <xdr:cNvPr id="1025" name="Chart 1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2"/>
        </a:graphicData>
      </a:graphic>
    </xdr:graphicFrame>
    <xdr:clientData/>
  </xdr:twoCellAnchor>
  <xdr:twoCellAnchor>
    <xdr:from>
      <xdr:col>24</xdr:col>
      <xdr:colOff>57150</xdr:colOff>
      <xdr:row>23</xdr:row>
      <xdr:rowOff>76200</xdr:rowOff>
    </xdr:from>
    <xdr:to>
      <xdr:col>33</xdr:col>
      <xdr:colOff>571500</xdr:colOff>
      <xdr:row>46</xdr:row>
      <xdr:rowOff>57150</xdr:rowOff>
    </xdr:to>
    <xdr:graphicFrame>
      <xdr:nvGraphicFramePr>
        <xdr:cNvPr id="1026" name="Chart 2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3"/>
        </a:graphicData>
      </a:graphic>
    </xdr:graphicFrame>
    <xdr:clientData/>
  </xdr:twoCellAnchor>
  <xdr:twoCellAnchor editAs="absolute">
    <xdr:from>
      <xdr:col>34</xdr:col>
      <xdr:colOff>38100</xdr:colOff>
      <xdr:row>0</xdr:row>
      <xdr:rowOff>47625</xdr:rowOff>
    </xdr:from>
    <xdr:to>
      <xdr:col>43</xdr:col>
      <xdr:colOff>552450</xdr:colOff>
      <xdr:row>23</xdr:row>
      <xdr:rowOff>0</xdr:rowOff>
    </xdr:to>
    <xdr:graphicFrame>
      <xdr:nvGraphicFramePr>
        <xdr:cNvPr id="1027" name="Chart 3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4"/>
        </a:graphicData>
      </a:graphic>
    </xdr:graphicFrame>
    <xdr:clientData fLocksWithSheet="0"/>
  </xdr:twoCellAnchor>
  <xdr:twoCellAnchor>
    <xdr:from>
      <xdr:col>34</xdr:col>
      <xdr:colOff>47625</xdr:colOff>
      <xdr:row>23</xdr:row>
      <xdr:rowOff>85725</xdr:rowOff>
    </xdr:from>
    <xdr:to>
      <xdr:col>43</xdr:col>
      <xdr:colOff>542925</xdr:colOff>
      <xdr:row>46</xdr:row>
      <xdr:rowOff>85725</xdr:rowOff>
    </xdr:to>
    <xdr:graphicFrame>
      <xdr:nvGraphicFramePr>
        <xdr:cNvPr id="1028" name="Chart 4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5"/>
        </a:graphicData>
      </a:graphic>
    </xdr:graphicFrame>
    <xdr:clientData/>
  </xdr:twoCellAnchor>
  <xdr:twoCellAnchor>
    <xdr:from>
      <xdr:col>40</xdr:col>
      <xdr:colOff>209550</xdr:colOff>
      <xdr:row>42</xdr:row>
      <xdr:rowOff>19050</xdr:rowOff>
    </xdr:from>
    <xdr:to>
      <xdr:col>43</xdr:col>
      <xdr:colOff>485775</xdr:colOff>
      <xdr:row>42</xdr:row>
      <xdr:rowOff>142875</xdr:rowOff>
    </xdr:to>
    <xdr:sp>
      <xdr:nvSpPr>
        <xdr:cNvPr id="1029" name="Text Box 5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Note: Wage Rates Exclude G&amp;A, Fee, Escalation</a:t>
          </a:r>
        </a:p>
      </xdr:txBody>
    </xdr:sp>
    <xdr:clientData/>
  </xdr:twoCellAnchor>
  <xdr:twoCellAnchor editAs="oneCell">
    <xdr:from>
      <xdr:col>0</xdr:col>
      <xdr:colOff>38100</xdr:colOff>
      <xdr:row>0</xdr:row>
      <xdr:rowOff>0</xdr:rowOff>
    </xdr:from>
    <xdr:to>
      <xdr:col>0</xdr:col>
      <xdr:colOff>723900</xdr:colOff>
      <xdr:row>1</xdr:row>
      <xdr:rowOff>209550</xdr:rowOff>
    </xdr:to>
    <xdr:pic>
      <xdr:nvPicPr>
        <xdr:cNvPr id="1030" name="&lt;#Logo&gt;">
          <a:extLst>
            <a:ext xmlns:a="http://schemas.openxmlformats.org/drawingml/2006/main" uri="{FF2B5EF4-FFF2-40B4-BE49-F238E27FC236}">
              <a16:creationId xmlns:a16="http://schemas.microsoft.com/office/drawing/2014/main" id="{5CDE489B-706C-4473-A6B6-F5DD206C68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0</xdr:row>
      <xdr:rowOff>0</xdr:rowOff>
    </xdr:from>
    <xdr:to>
      <xdr:col>10</xdr:col>
      <xdr:colOff>333375</xdr:colOff>
      <xdr:row>1</xdr:row>
      <xdr:rowOff>209550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F56A72C6-84CD-4B34-A5CF-37BE50F902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0</xdr:row>
      <xdr:rowOff>0</xdr:rowOff>
    </xdr:from>
    <xdr:to>
      <xdr:col>15</xdr:col>
      <xdr:colOff>333375</xdr:colOff>
      <xdr:row>1</xdr:row>
      <xdr:rowOff>209550</xdr:rowOff>
    </xdr:to>
    <xdr:pic>
      <xdr:nvPicPr>
        <xdr:cNvPr id="1032" name="&lt;#Logo&gt;">
          <a:extLst>
            <a:ext xmlns:a="http://schemas.openxmlformats.org/drawingml/2006/main" uri="{FF2B5EF4-FFF2-40B4-BE49-F238E27FC236}">
              <a16:creationId xmlns:a16="http://schemas.microsoft.com/office/drawing/2014/main" id="{D7342711-A473-43D4-A3CE-D7A629779C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</xdr:colOff>
      <xdr:row>0</xdr:row>
      <xdr:rowOff>9525</xdr:rowOff>
    </xdr:from>
    <xdr:to>
      <xdr:col>20</xdr:col>
      <xdr:colOff>476250</xdr:colOff>
      <xdr:row>1</xdr:row>
      <xdr:rowOff>219075</xdr:rowOff>
    </xdr:to>
    <xdr:pic>
      <xdr:nvPicPr>
        <xdr:cNvPr id="1033" name="&lt;#Logo&gt;">
          <a:extLst>
            <a:ext xmlns:a="http://schemas.openxmlformats.org/drawingml/2006/main" uri="{FF2B5EF4-FFF2-40B4-BE49-F238E27FC236}">
              <a16:creationId xmlns:a16="http://schemas.microsoft.com/office/drawing/2014/main" id="{E5968AA0-DF04-43B1-AA1E-31D1C8B013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AR41"/>
  <sheetViews>
    <sheetView showZeros="0" tabSelected="1" topLeftCell="A1" zoomScale="85" zoomScaleNormal="85" workbookViewId="0">
      <selection activeCell="A8" sqref="A8"/>
    </sheetView>
  </sheetViews>
  <sheetFormatPr defaultColWidth="9.140625" defaultRowHeight="12.75"/>
  <cols>
    <col min="1" max="1" width="23.42578125" style="1" bestFit="1" customWidth="1"/>
    <col min="2" max="2" width="17.7109375" style="122" customWidth="1"/>
    <col min="3" max="3" width="12.7109375" style="123" customWidth="1"/>
    <col min="4" max="4" width="17.7109375" style="122" customWidth="1"/>
    <col min="5" max="6" width="17.7109375" style="13" customWidth="1"/>
    <col min="7" max="7" width="7.7109375" style="124" customWidth="1"/>
    <col min="8" max="8" width="7.85546875" style="176" customWidth="1"/>
    <col min="9" max="9" width="0.85546875" style="1" customWidth="1"/>
    <col min="10" max="10" width="5.5703125" style="3" bestFit="1" customWidth="1"/>
    <col min="11" max="11" width="27.85546875" style="3" customWidth="1"/>
    <col min="12" max="13" width="17.7109375" style="3" customWidth="1"/>
    <col min="14" max="14" width="0.85546875" style="2" customWidth="1"/>
    <col min="15" max="15" width="5.5703125" style="3" bestFit="1" customWidth="1"/>
    <col min="16" max="16" width="29.5703125" style="3" customWidth="1"/>
    <col min="17" max="17" width="17.7109375" style="96" customWidth="1"/>
    <col min="18" max="18" width="17.7109375" style="3" customWidth="1"/>
    <col min="19" max="19" width="0.85546875" style="3" customWidth="1"/>
    <col min="20" max="20" width="3.28515625" style="81" customWidth="1"/>
    <col min="21" max="21" width="30.140625" style="81" customWidth="1"/>
    <col min="22" max="22" width="15" style="82" customWidth="1"/>
    <col min="23" max="23" width="10" style="81" customWidth="1"/>
    <col min="24" max="24" width="0.85546875" style="1" customWidth="1"/>
    <col min="25" max="44" width="9.140625" style="1" customWidth="1"/>
    <col min="45" max="16384" width="9.140625" style="4"/>
  </cols>
  <sheetData>
    <row r="1" ht="37.5" customHeight="1">
      <c r="A1" s="201" t="s">
        <v>92</v>
      </c>
      <c r="B1" s="202"/>
      <c r="C1" s="202"/>
      <c r="D1" s="202"/>
      <c r="E1" s="202"/>
      <c r="F1" s="202"/>
      <c r="G1" s="202"/>
      <c r="H1" s="203"/>
      <c r="J1" s="201" t="s">
        <v>92</v>
      </c>
      <c r="K1" s="202"/>
      <c r="L1" s="202"/>
      <c r="M1" s="203"/>
      <c r="O1" s="201" t="s">
        <v>92</v>
      </c>
      <c r="P1" s="202"/>
      <c r="Q1" s="202"/>
      <c r="R1" s="203"/>
      <c r="T1" s="201" t="s">
        <v>92</v>
      </c>
      <c r="U1" s="202"/>
      <c r="V1" s="202"/>
      <c r="W1" s="203"/>
    </row>
    <row r="2" s="8" customFormat="1" ht="20.25" customHeight="1">
      <c r="A2" s="204" t="s">
        <v>0</v>
      </c>
      <c r="B2" s="205"/>
      <c r="C2" s="205"/>
      <c r="D2" s="205"/>
      <c r="E2" s="205"/>
      <c r="F2" s="205"/>
      <c r="G2" s="205"/>
      <c r="H2" s="206"/>
      <c r="I2" s="5"/>
      <c r="J2" s="207" t="s">
        <v>1</v>
      </c>
      <c r="K2" s="208"/>
      <c r="L2" s="208"/>
      <c r="M2" s="209"/>
      <c r="N2" s="6"/>
      <c r="O2" s="207" t="s">
        <v>2</v>
      </c>
      <c r="P2" s="208"/>
      <c r="Q2" s="208"/>
      <c r="R2" s="209"/>
      <c r="S2" s="7"/>
      <c r="T2" s="198" t="s">
        <v>3</v>
      </c>
      <c r="U2" s="199"/>
      <c r="V2" s="199"/>
      <c r="W2" s="200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</row>
    <row r="3" ht="15">
      <c r="A3" s="9" t="s">
        <v>4</v>
      </c>
      <c r="B3" s="10" t="s">
        <v>79</v>
      </c>
      <c r="C3" s="11"/>
      <c r="D3" s="12"/>
      <c r="G3" s="14"/>
      <c r="H3" s="161"/>
      <c r="I3" s="5"/>
      <c r="J3" s="194"/>
      <c r="K3" s="194"/>
      <c r="L3" s="194"/>
      <c r="M3" s="194"/>
      <c r="N3" s="6"/>
      <c r="O3" s="195"/>
      <c r="P3" s="195"/>
      <c r="Q3" s="195"/>
      <c r="R3" s="195"/>
      <c r="S3" s="7"/>
      <c r="T3" s="147"/>
      <c r="U3" s="148"/>
      <c r="V3" s="177"/>
      <c r="W3" s="148"/>
    </row>
    <row r="4">
      <c r="A4" s="15" t="s">
        <v>5</v>
      </c>
      <c r="B4" s="16" t="s">
        <v>80</v>
      </c>
      <c r="C4" s="17"/>
      <c r="D4" s="18"/>
      <c r="E4" s="19" t="s">
        <v>6</v>
      </c>
      <c r="F4" s="16" t="s">
        <v>85</v>
      </c>
      <c r="G4" s="20"/>
      <c r="H4" s="162"/>
      <c r="I4" s="21"/>
      <c r="J4" s="153" t="s">
        <v>7</v>
      </c>
      <c r="K4" s="136" t="s">
        <v>8</v>
      </c>
      <c r="L4" s="136" t="s">
        <v>9</v>
      </c>
      <c r="M4" s="137" t="s">
        <v>10</v>
      </c>
      <c r="N4" s="22"/>
      <c r="O4" s="135" t="s">
        <v>7</v>
      </c>
      <c r="P4" s="132" t="s">
        <v>8</v>
      </c>
      <c r="Q4" s="132" t="s">
        <v>9</v>
      </c>
      <c r="R4" s="141" t="s">
        <v>10</v>
      </c>
      <c r="S4" s="160"/>
      <c r="T4" s="179" t="s">
        <v>11</v>
      </c>
      <c r="U4" s="145"/>
      <c r="V4" s="178"/>
      <c r="W4" s="146"/>
      <c r="X4" s="73"/>
    </row>
    <row r="5">
      <c r="A5" s="23" t="s">
        <v>12</v>
      </c>
      <c r="B5" s="16" t="s">
        <v>81</v>
      </c>
      <c r="C5" s="17"/>
      <c r="D5" s="24" t="s">
        <v>13</v>
      </c>
      <c r="E5" s="16" t="s">
        <v>83</v>
      </c>
      <c r="F5" s="24" t="s">
        <v>14</v>
      </c>
      <c r="G5" s="16" t="s">
        <v>90</v>
      </c>
      <c r="H5" s="162"/>
      <c r="I5" s="25"/>
      <c r="J5" s="150" t="s">
        <v>100</v>
      </c>
      <c r="K5" s="151" t="s">
        <v>101</v>
      </c>
      <c r="L5" s="151" t="s">
        <v>102</v>
      </c>
      <c r="M5" s="152" t="s">
        <v>103</v>
      </c>
      <c r="N5" s="26"/>
      <c r="O5" s="150" t="s">
        <v>140</v>
      </c>
      <c r="P5" s="151" t="s">
        <v>141</v>
      </c>
      <c r="Q5" s="151" t="s">
        <v>142</v>
      </c>
      <c r="R5" s="152" t="s">
        <v>143</v>
      </c>
      <c r="S5" s="160"/>
      <c r="T5" s="187" t="s">
        <v>116</v>
      </c>
      <c r="U5" s="156" t="s">
        <v>117</v>
      </c>
      <c r="V5" s="159" t="s">
        <v>118</v>
      </c>
      <c r="W5" s="186" t="s">
        <v>119</v>
      </c>
      <c r="X5" s="5"/>
    </row>
    <row r="6">
      <c r="A6" s="23" t="s">
        <v>15</v>
      </c>
      <c r="B6" s="16" t="s">
        <v>82</v>
      </c>
      <c r="C6" s="17"/>
      <c r="D6" s="24" t="s">
        <v>16</v>
      </c>
      <c r="E6" s="27" t="s">
        <v>84</v>
      </c>
      <c r="F6" s="24" t="s">
        <v>17</v>
      </c>
      <c r="G6" s="16" t="s">
        <v>91</v>
      </c>
      <c r="H6" s="163"/>
      <c r="I6" s="25"/>
      <c r="J6" s="28"/>
      <c r="K6" s="29"/>
      <c r="L6" s="30"/>
      <c r="M6" s="31"/>
      <c r="N6" s="32"/>
      <c r="O6" s="28"/>
      <c r="P6" s="29"/>
      <c r="Q6" s="30"/>
      <c r="R6" s="31"/>
      <c r="S6" s="160"/>
      <c r="V6" s="159"/>
      <c r="W6" s="181" t="str">
        <f>IF( V6="","","per MH")</f>
        <v/>
      </c>
      <c r="X6" s="5"/>
    </row>
    <row r="7">
      <c r="A7" s="135" t="s">
        <v>18</v>
      </c>
      <c r="B7" s="133" t="s">
        <v>19</v>
      </c>
      <c r="C7" s="134" t="s">
        <v>20</v>
      </c>
      <c r="D7" s="133" t="s">
        <v>21</v>
      </c>
      <c r="E7" s="133" t="s">
        <v>22</v>
      </c>
      <c r="F7" s="133" t="s">
        <v>23</v>
      </c>
      <c r="G7" s="196" t="s">
        <v>24</v>
      </c>
      <c r="H7" s="197"/>
      <c r="I7" s="25"/>
      <c r="J7" s="33"/>
      <c r="K7" s="34" t="s">
        <v>25</v>
      </c>
      <c r="L7" s="35">
        <f>SUM(L4:L6)</f>
        <v>0</v>
      </c>
      <c r="M7" s="138">
        <f>SUM(M4:M6)</f>
        <v>0</v>
      </c>
      <c r="N7" s="36"/>
      <c r="O7" s="33"/>
      <c r="P7" s="34" t="s">
        <v>26</v>
      </c>
      <c r="Q7" s="143">
        <f>SUM(Q4:Q6)</f>
        <v>0</v>
      </c>
      <c r="R7" s="138">
        <f>SUM(R4:R6)</f>
        <v>0</v>
      </c>
      <c r="S7" s="160"/>
      <c r="T7" s="52"/>
      <c r="U7" s="52"/>
      <c r="V7" s="53"/>
      <c r="W7" s="54" t="s">
        <v>30</v>
      </c>
      <c r="X7" s="73"/>
    </row>
    <row r="8">
      <c r="A8" s="37" t="s">
        <v>93</v>
      </c>
      <c r="B8" s="38" t="s">
        <v>94</v>
      </c>
      <c r="C8" s="39" t="s">
        <v>95</v>
      </c>
      <c r="D8" s="38" t="s">
        <v>96</v>
      </c>
      <c r="E8" s="38" t="s">
        <v>97</v>
      </c>
      <c r="F8" s="38" t="s">
        <v>98</v>
      </c>
      <c r="G8" s="40">
        <f>IFERROR($F8/$F$10, 0)</f>
        <v>0</v>
      </c>
      <c r="H8" s="164" t="s">
        <v>27</v>
      </c>
      <c r="I8" s="5"/>
      <c r="J8" s="41"/>
      <c r="K8" s="42"/>
      <c r="L8" s="42"/>
      <c r="M8" s="43"/>
      <c r="N8" s="44"/>
      <c r="O8" s="41"/>
      <c r="P8" s="42"/>
      <c r="Q8" s="45"/>
      <c r="R8" s="43"/>
      <c r="S8" s="160"/>
      <c r="T8" s="97"/>
      <c r="U8" s="156"/>
      <c r="V8" s="159"/>
      <c r="W8" s="181" t="str">
        <f>IF( V8="","","per MH")</f>
        <v/>
      </c>
      <c r="X8" s="73"/>
    </row>
    <row r="9">
      <c r="A9" s="37"/>
      <c r="B9" s="38"/>
      <c r="C9" s="39"/>
      <c r="D9" s="38"/>
      <c r="E9" s="38"/>
      <c r="F9" s="38"/>
      <c r="G9" s="46"/>
      <c r="H9" s="165" t="s">
        <v>27</v>
      </c>
      <c r="I9" s="5"/>
      <c r="J9" s="153" t="s">
        <v>7</v>
      </c>
      <c r="K9" s="136" t="s">
        <v>8</v>
      </c>
      <c r="L9" s="136" t="s">
        <v>9</v>
      </c>
      <c r="M9" s="137" t="s">
        <v>10</v>
      </c>
      <c r="N9" s="44"/>
      <c r="O9" s="139" t="s">
        <v>7</v>
      </c>
      <c r="P9" s="140" t="s">
        <v>8</v>
      </c>
      <c r="Q9" s="140" t="s">
        <v>9</v>
      </c>
      <c r="R9" s="142" t="s">
        <v>10</v>
      </c>
      <c r="S9" s="160"/>
      <c r="T9" s="180" t="s">
        <v>37</v>
      </c>
      <c r="U9" s="145"/>
      <c r="V9" s="178"/>
      <c r="W9" s="146"/>
      <c r="X9" s="73"/>
    </row>
    <row r="10">
      <c r="A10" s="55" t="s">
        <v>31</v>
      </c>
      <c r="B10" s="56">
        <f>SUM(B8:B9)</f>
        <v>0</v>
      </c>
      <c r="C10" s="57"/>
      <c r="D10" s="56">
        <f>SUM(D8:D9)</f>
        <v>0</v>
      </c>
      <c r="E10" s="56">
        <f>SUM(E8:E9)</f>
        <v>0</v>
      </c>
      <c r="F10" s="56">
        <f>SUM(F8:F9)</f>
        <v>0</v>
      </c>
      <c r="G10" s="58">
        <f>IFERROR((D10+E10)/F10,0)</f>
        <v>0</v>
      </c>
      <c r="H10" s="166" t="s">
        <v>27</v>
      </c>
      <c r="I10" s="21"/>
      <c r="J10" s="150" t="s">
        <v>105</v>
      </c>
      <c r="K10" s="151" t="s">
        <v>106</v>
      </c>
      <c r="L10" s="151" t="s">
        <v>107</v>
      </c>
      <c r="M10" s="152" t="s">
        <v>108</v>
      </c>
      <c r="N10" s="44"/>
      <c r="O10" s="150" t="s">
        <v>136</v>
      </c>
      <c r="P10" s="151" t="s">
        <v>137</v>
      </c>
      <c r="Q10" s="151" t="s">
        <v>138</v>
      </c>
      <c r="R10" s="182" t="s">
        <v>139</v>
      </c>
      <c r="S10" s="160"/>
      <c r="T10" s="187"/>
      <c r="U10" s="154" t="s">
        <v>38</v>
      </c>
      <c r="V10" s="183">
        <f>IF(B10=0,0,D10/B10)</f>
        <v>0</v>
      </c>
      <c r="W10" s="181">
        <f>IF( V10=0,0,"per MH")</f>
        <v>0</v>
      </c>
      <c r="X10" s="73"/>
    </row>
    <row r="11">
      <c r="A11" s="59"/>
      <c r="B11" s="60" t="s">
        <v>32</v>
      </c>
      <c r="C11" s="61"/>
      <c r="D11" s="60" t="s">
        <v>33</v>
      </c>
      <c r="E11" s="60" t="s">
        <v>34</v>
      </c>
      <c r="F11" s="60" t="s">
        <v>35</v>
      </c>
      <c r="G11" s="62"/>
      <c r="H11" s="167"/>
      <c r="I11" s="25"/>
      <c r="J11" s="28"/>
      <c r="K11" s="29"/>
      <c r="L11" s="30"/>
      <c r="M11" s="31"/>
      <c r="N11" s="22"/>
      <c r="O11" s="28"/>
      <c r="P11" s="29"/>
      <c r="Q11" s="30"/>
      <c r="R11" s="31"/>
      <c r="S11" s="160"/>
      <c r="T11" s="190" t="s">
        <v>120</v>
      </c>
      <c r="U11" s="189" t="s">
        <v>121</v>
      </c>
      <c r="V11" s="155" t="s">
        <v>122</v>
      </c>
      <c r="W11" s="181" t="s">
        <v>123</v>
      </c>
      <c r="X11" s="73"/>
    </row>
    <row r="12">
      <c r="A12" s="59"/>
      <c r="B12" s="45"/>
      <c r="C12" s="64"/>
      <c r="D12" s="45"/>
      <c r="E12" s="65"/>
      <c r="F12" s="65"/>
      <c r="G12" s="62"/>
      <c r="H12" s="167"/>
      <c r="I12" s="25"/>
      <c r="J12" s="33"/>
      <c r="K12" s="34" t="s">
        <v>28</v>
      </c>
      <c r="L12" s="35">
        <f>SUM(L9:L11)</f>
        <v>0</v>
      </c>
      <c r="M12" s="138">
        <f>SUM(M9:M11)</f>
        <v>0</v>
      </c>
      <c r="N12" s="6"/>
      <c r="O12" s="47"/>
      <c r="P12" s="48" t="s">
        <v>29</v>
      </c>
      <c r="Q12" s="143">
        <f>SUM(Q9:Q11)</f>
        <v>0</v>
      </c>
      <c r="R12" s="138">
        <f>SUM(R9:R11)</f>
        <v>0</v>
      </c>
      <c r="S12" s="160"/>
      <c r="T12" s="190"/>
      <c r="U12" s="157"/>
      <c r="V12" s="155"/>
      <c r="W12" s="191">
        <f>IF( V12=0,0,"per MH")</f>
        <v>0</v>
      </c>
      <c r="X12" s="73"/>
    </row>
    <row r="13">
      <c r="A13" s="55" t="s">
        <v>39</v>
      </c>
      <c r="B13" s="56">
        <f>L7+L12</f>
        <v>0</v>
      </c>
      <c r="C13" s="66"/>
      <c r="D13" s="67"/>
      <c r="E13" s="67"/>
      <c r="F13" s="56">
        <f>M7+M12</f>
        <v>0</v>
      </c>
      <c r="G13" s="68">
        <f>IFERROR(F13/D10,0)</f>
        <v>0</v>
      </c>
      <c r="H13" s="168">
        <f>IF(G13=0,0,"of TDL")</f>
        <v>0</v>
      </c>
      <c r="I13" s="25"/>
      <c r="J13" s="32"/>
      <c r="K13" s="32"/>
      <c r="L13" s="32"/>
      <c r="M13" s="32"/>
      <c r="N13" s="49"/>
      <c r="O13" s="41"/>
      <c r="P13" s="50"/>
      <c r="Q13" s="42"/>
      <c r="R13" s="43"/>
      <c r="S13" s="160"/>
      <c r="T13" s="190"/>
      <c r="U13" s="157" t="s">
        <v>42</v>
      </c>
      <c r="V13" s="183">
        <f>IF(OR(M7=0,B10=0),0,M7/B10)</f>
        <v>0</v>
      </c>
      <c r="W13" s="191">
        <f>IF( V13=0,0,"per MH")</f>
        <v>0</v>
      </c>
      <c r="X13" s="73"/>
    </row>
    <row r="14">
      <c r="A14" s="59"/>
      <c r="B14" s="60" t="s">
        <v>40</v>
      </c>
      <c r="C14" s="61"/>
      <c r="D14" s="45"/>
      <c r="E14" s="65"/>
      <c r="F14" s="60" t="s">
        <v>41</v>
      </c>
      <c r="G14" s="69"/>
      <c r="H14" s="169"/>
      <c r="I14" s="25"/>
      <c r="J14" s="32"/>
      <c r="K14" s="32"/>
      <c r="L14" s="32"/>
      <c r="M14" s="32"/>
      <c r="N14" s="44"/>
      <c r="O14" s="139" t="s">
        <v>7</v>
      </c>
      <c r="P14" s="140" t="s">
        <v>8</v>
      </c>
      <c r="Q14" s="140" t="s">
        <v>9</v>
      </c>
      <c r="R14" s="142" t="s">
        <v>10</v>
      </c>
      <c r="S14" s="160"/>
      <c r="T14" s="190"/>
      <c r="U14" s="158" t="s">
        <v>44</v>
      </c>
      <c r="V14" s="184">
        <f>SUM(V10:V13)</f>
        <v>0</v>
      </c>
      <c r="W14" s="191">
        <f>IF( V14=0,0,"per MH")</f>
        <v>0</v>
      </c>
      <c r="X14" s="73"/>
    </row>
    <row r="15">
      <c r="A15" s="71"/>
      <c r="B15" s="45"/>
      <c r="C15" s="64"/>
      <c r="D15" s="45"/>
      <c r="E15" s="65"/>
      <c r="F15" s="65"/>
      <c r="G15" s="69"/>
      <c r="H15" s="169"/>
      <c r="I15" s="25"/>
      <c r="J15" s="32"/>
      <c r="K15" s="25"/>
      <c r="L15" s="32"/>
      <c r="M15" s="32"/>
      <c r="N15" s="44"/>
      <c r="O15" s="150" t="s">
        <v>132</v>
      </c>
      <c r="P15" s="151" t="s">
        <v>133</v>
      </c>
      <c r="Q15" s="151" t="s">
        <v>134</v>
      </c>
      <c r="R15" s="152" t="s">
        <v>135</v>
      </c>
      <c r="S15" s="160"/>
      <c r="T15" s="51"/>
      <c r="U15" s="52"/>
      <c r="V15" s="53"/>
      <c r="W15" s="54" t="s">
        <v>47</v>
      </c>
      <c r="X15" s="73"/>
    </row>
    <row r="16">
      <c r="A16" s="73"/>
      <c r="B16" s="74"/>
      <c r="C16" s="75"/>
      <c r="D16" s="74"/>
      <c r="E16" s="76"/>
      <c r="F16" s="76"/>
      <c r="G16" s="77"/>
      <c r="H16" s="170"/>
      <c r="I16" s="25"/>
      <c r="J16" s="32"/>
      <c r="K16" s="32"/>
      <c r="L16" s="32"/>
      <c r="M16" s="32"/>
      <c r="N16" s="44"/>
      <c r="O16" s="28"/>
      <c r="P16" s="29"/>
      <c r="Q16" s="30"/>
      <c r="R16" s="31"/>
      <c r="S16" s="59"/>
      <c r="T16" s="97"/>
      <c r="U16" s="97"/>
      <c r="V16" s="155"/>
      <c r="W16" s="97"/>
      <c r="X16" s="5"/>
    </row>
    <row r="17">
      <c r="A17" s="55" t="s">
        <v>45</v>
      </c>
      <c r="B17" s="56">
        <f>B13+B10</f>
        <v>0</v>
      </c>
      <c r="C17" s="78"/>
      <c r="D17" s="79"/>
      <c r="E17" s="80"/>
      <c r="F17" s="56">
        <f>F13+F10</f>
        <v>0</v>
      </c>
      <c r="G17" s="68">
        <f>IFERROR(F17/F29,0)</f>
        <v>0</v>
      </c>
      <c r="H17" s="168" t="s">
        <v>46</v>
      </c>
      <c r="I17" s="25"/>
      <c r="J17" s="32"/>
      <c r="K17" s="32"/>
      <c r="L17" s="32"/>
      <c r="M17" s="32"/>
      <c r="N17" s="44"/>
      <c r="O17" s="63"/>
      <c r="P17" s="34" t="s">
        <v>36</v>
      </c>
      <c r="Q17" s="143">
        <f>SUM(Q14:Q16)</f>
        <v>0</v>
      </c>
      <c r="R17" s="138">
        <f>SUM(R14:R16)</f>
        <v>0</v>
      </c>
      <c r="S17" s="7"/>
      <c r="T17" s="97"/>
      <c r="U17" s="97"/>
      <c r="V17" s="155"/>
      <c r="W17" s="97"/>
    </row>
    <row r="18">
      <c r="A18" s="59"/>
      <c r="B18" s="60" t="s">
        <v>48</v>
      </c>
      <c r="C18" s="61"/>
      <c r="D18" s="45"/>
      <c r="E18" s="65"/>
      <c r="F18" s="60" t="s">
        <v>49</v>
      </c>
      <c r="G18" s="69"/>
      <c r="H18" s="169"/>
      <c r="I18" s="25"/>
      <c r="J18" s="32"/>
      <c r="K18" s="32"/>
      <c r="L18" s="32"/>
      <c r="M18" s="32"/>
      <c r="N18" s="44"/>
      <c r="O18" s="41"/>
      <c r="P18" s="50"/>
      <c r="Q18" s="42"/>
      <c r="R18" s="43"/>
      <c r="S18" s="59"/>
      <c r="T18" s="97"/>
      <c r="W18" s="97"/>
      <c r="X18" s="5"/>
    </row>
    <row r="19">
      <c r="A19" s="59"/>
      <c r="B19" s="45"/>
      <c r="C19" s="64"/>
      <c r="D19" s="45"/>
      <c r="E19" s="65"/>
      <c r="F19" s="65"/>
      <c r="G19" s="69"/>
      <c r="H19" s="169"/>
      <c r="I19" s="25"/>
      <c r="J19" s="32"/>
      <c r="K19" s="32"/>
      <c r="L19" s="32"/>
      <c r="M19" s="32"/>
      <c r="N19" s="44"/>
      <c r="O19" s="139" t="s">
        <v>7</v>
      </c>
      <c r="P19" s="140" t="s">
        <v>8</v>
      </c>
      <c r="Q19" s="140" t="s">
        <v>9</v>
      </c>
      <c r="R19" s="142" t="s">
        <v>10</v>
      </c>
      <c r="S19" s="59"/>
      <c r="T19" s="97"/>
      <c r="W19" s="97"/>
      <c r="X19" s="5"/>
    </row>
    <row r="20">
      <c r="A20" s="59"/>
      <c r="B20" s="45"/>
      <c r="C20" s="64"/>
      <c r="D20" s="45"/>
      <c r="E20" s="65"/>
      <c r="F20" s="65"/>
      <c r="G20" s="69"/>
      <c r="H20" s="169"/>
      <c r="I20" s="25"/>
      <c r="J20" s="7"/>
      <c r="K20" s="7"/>
      <c r="L20" s="7"/>
      <c r="M20" s="7"/>
      <c r="N20" s="70"/>
      <c r="O20" s="150" t="s">
        <v>128</v>
      </c>
      <c r="P20" s="151" t="s">
        <v>129</v>
      </c>
      <c r="Q20" s="151" t="s">
        <v>130</v>
      </c>
      <c r="R20" s="152" t="s">
        <v>131</v>
      </c>
      <c r="S20" s="160"/>
      <c r="W20" s="97"/>
      <c r="X20" s="5"/>
    </row>
    <row r="21">
      <c r="A21" s="83" t="s">
        <v>50</v>
      </c>
      <c r="B21" s="84"/>
      <c r="C21" s="85"/>
      <c r="D21" s="86"/>
      <c r="E21" s="87"/>
      <c r="F21" s="84">
        <f>R7</f>
        <v>0</v>
      </c>
      <c r="G21" s="88">
        <f>IF(F21=0,0,F21/E10)</f>
        <v>0</v>
      </c>
      <c r="H21" s="171">
        <f>IF(G21=0,0,"of TDM")</f>
        <v>0</v>
      </c>
      <c r="I21" s="25"/>
      <c r="N21" s="72"/>
      <c r="O21" s="28"/>
      <c r="P21" s="29"/>
      <c r="Q21" s="30"/>
      <c r="R21" s="31"/>
      <c r="S21" s="59"/>
      <c r="T21" s="97"/>
      <c r="W21" s="97"/>
      <c r="X21" s="5"/>
    </row>
    <row r="22">
      <c r="A22" s="90" t="s">
        <v>52</v>
      </c>
      <c r="B22" s="91"/>
      <c r="C22" s="92"/>
      <c r="D22" s="93"/>
      <c r="E22" s="94"/>
      <c r="F22" s="91">
        <f>R12</f>
        <v>0</v>
      </c>
      <c r="G22" s="95">
        <f>IF(F22=0,0,F22/F10)</f>
        <v>0</v>
      </c>
      <c r="H22" s="172">
        <f>IF(G22=0,0,"of TDC")</f>
        <v>0</v>
      </c>
      <c r="I22" s="25"/>
      <c r="N22" s="70"/>
      <c r="O22" s="33"/>
      <c r="P22" s="34" t="s">
        <v>43</v>
      </c>
      <c r="Q22" s="143">
        <f>SUM(Q19:Q21)</f>
        <v>0</v>
      </c>
      <c r="R22" s="138">
        <f>SUM(R19:R21)</f>
        <v>0</v>
      </c>
      <c r="S22" s="59"/>
      <c r="T22" s="97"/>
      <c r="W22" s="97"/>
      <c r="X22" s="5"/>
    </row>
    <row r="23">
      <c r="A23" s="90" t="s">
        <v>53</v>
      </c>
      <c r="B23" s="91">
        <f>Q17</f>
        <v>0</v>
      </c>
      <c r="C23" s="92"/>
      <c r="D23" s="93"/>
      <c r="E23" s="94"/>
      <c r="F23" s="91">
        <f>R17</f>
        <v>0</v>
      </c>
      <c r="G23" s="95">
        <f>IF(F23=0,0,F23/F29)</f>
        <v>0</v>
      </c>
      <c r="H23" s="172">
        <f>IF(G23=0,0,"of TIC")</f>
        <v>0</v>
      </c>
      <c r="I23" s="25"/>
      <c r="N23" s="44"/>
      <c r="O23" s="41"/>
      <c r="P23" s="50"/>
      <c r="Q23" s="42"/>
      <c r="R23" s="43"/>
      <c r="S23" s="7"/>
      <c r="T23" s="97"/>
    </row>
    <row r="24">
      <c r="A24" s="90" t="s">
        <v>54</v>
      </c>
      <c r="B24" s="91"/>
      <c r="C24" s="92"/>
      <c r="D24" s="93"/>
      <c r="E24" s="94"/>
      <c r="F24" s="91">
        <f>R22</f>
        <v>0</v>
      </c>
      <c r="G24" s="95">
        <f>IF(F24=0,0,F24/F29)</f>
        <v>0</v>
      </c>
      <c r="H24" s="172">
        <f>IF(G24=0,0,"of TIC")</f>
        <v>0</v>
      </c>
      <c r="I24" s="25"/>
      <c r="N24" s="44"/>
      <c r="O24" s="139" t="s">
        <v>7</v>
      </c>
      <c r="P24" s="140" t="s">
        <v>8</v>
      </c>
      <c r="Q24" s="140" t="s">
        <v>9</v>
      </c>
      <c r="R24" s="142" t="s">
        <v>10</v>
      </c>
      <c r="S24" s="7"/>
    </row>
    <row r="25">
      <c r="A25" s="100" t="s">
        <v>55</v>
      </c>
      <c r="B25" s="101"/>
      <c r="C25" s="102"/>
      <c r="D25" s="103"/>
      <c r="E25" s="104"/>
      <c r="F25" s="101">
        <f>R27</f>
        <v>0</v>
      </c>
      <c r="G25" s="105">
        <f>IF(F25=0,0,F25/F29)</f>
        <v>0</v>
      </c>
      <c r="H25" s="172">
        <f>IF(G25=0,0,"of TIC")</f>
        <v>0</v>
      </c>
      <c r="I25" s="25"/>
      <c r="N25" s="44"/>
      <c r="O25" s="150" t="s">
        <v>124</v>
      </c>
      <c r="P25" s="151" t="s">
        <v>125</v>
      </c>
      <c r="Q25" s="151" t="s">
        <v>126</v>
      </c>
      <c r="R25" s="152" t="s">
        <v>127</v>
      </c>
      <c r="S25" s="7"/>
    </row>
    <row r="26">
      <c r="A26" s="55" t="s">
        <v>56</v>
      </c>
      <c r="B26" s="56">
        <f>B23</f>
        <v>0</v>
      </c>
      <c r="C26" s="78"/>
      <c r="D26" s="67"/>
      <c r="E26" s="106"/>
      <c r="F26" s="56">
        <f>F25+F24+F23+F22+F21</f>
        <v>0</v>
      </c>
      <c r="G26" s="68">
        <f>IFERROR(F26/F29,0)</f>
        <v>0</v>
      </c>
      <c r="H26" s="168">
        <f>IF(G26=0,0,"of TIC")</f>
        <v>0</v>
      </c>
      <c r="I26" s="25"/>
      <c r="N26" s="44"/>
      <c r="O26" s="28"/>
      <c r="P26" s="29"/>
      <c r="Q26" s="30"/>
      <c r="R26" s="31"/>
      <c r="S26" s="7"/>
    </row>
    <row r="27">
      <c r="A27" s="108"/>
      <c r="B27" s="109" t="s">
        <v>57</v>
      </c>
      <c r="C27" s="110"/>
      <c r="D27" s="111"/>
      <c r="E27" s="111"/>
      <c r="F27" s="111"/>
      <c r="G27" s="112"/>
      <c r="H27" s="173"/>
      <c r="I27" s="5"/>
      <c r="N27" s="44"/>
      <c r="O27" s="89"/>
      <c r="P27" s="34" t="s">
        <v>51</v>
      </c>
      <c r="Q27" s="144">
        <f>SUM(Q24:Q26)</f>
        <v>0</v>
      </c>
      <c r="R27" s="138">
        <f>SUM(R24:R26)</f>
        <v>0</v>
      </c>
      <c r="S27" s="7"/>
    </row>
    <row r="28">
      <c r="A28" s="113"/>
      <c r="B28" s="114"/>
      <c r="C28" s="115"/>
      <c r="D28" s="116"/>
      <c r="E28" s="116"/>
      <c r="F28" s="116"/>
      <c r="G28" s="117"/>
      <c r="H28" s="174"/>
      <c r="I28" s="5"/>
      <c r="N28" s="44"/>
      <c r="S28" s="7"/>
    </row>
    <row r="29">
      <c r="A29" s="55" t="s">
        <v>58</v>
      </c>
      <c r="B29" s="118"/>
      <c r="C29" s="119"/>
      <c r="D29" s="67"/>
      <c r="E29" s="67"/>
      <c r="F29" s="56">
        <f>F17+F26</f>
        <v>0</v>
      </c>
      <c r="G29" s="68">
        <f>IFERROR(F29/F10,0)</f>
        <v>0</v>
      </c>
      <c r="H29" s="168" t="s">
        <v>27</v>
      </c>
      <c r="I29" s="21"/>
      <c r="N29" s="44"/>
      <c r="S29" s="7"/>
      <c r="T29" s="97"/>
    </row>
    <row r="30">
      <c r="A30" s="113"/>
      <c r="B30" s="114"/>
      <c r="C30" s="115"/>
      <c r="D30" s="114"/>
      <c r="E30" s="116"/>
      <c r="F30" s="120" t="s">
        <v>59</v>
      </c>
      <c r="G30" s="121"/>
      <c r="H30" s="175"/>
      <c r="I30" s="98"/>
      <c r="N30" s="99"/>
      <c r="S30" s="7"/>
      <c r="T30" s="97"/>
    </row>
    <row r="31">
      <c r="I31" s="98"/>
      <c r="N31" s="6"/>
      <c r="S31" s="7"/>
    </row>
    <row r="32">
      <c r="I32" s="107"/>
      <c r="N32" s="49"/>
      <c r="S32" s="7"/>
    </row>
    <row r="33">
      <c r="I33" s="98"/>
      <c r="N33" s="44"/>
      <c r="S33" s="7"/>
      <c r="X33" s="5"/>
    </row>
    <row r="34">
      <c r="A34" s="3"/>
      <c r="I34" s="98"/>
      <c r="N34" s="44"/>
      <c r="S34" s="7"/>
      <c r="X34" s="5"/>
    </row>
    <row r="35">
      <c r="I35" s="98"/>
      <c r="N35" s="44"/>
      <c r="S35" s="7"/>
      <c r="X35" s="5"/>
    </row>
    <row r="36">
      <c r="N36" s="44"/>
      <c r="S36" s="7"/>
    </row>
    <row r="37">
      <c r="N37" s="72"/>
      <c r="S37" s="7"/>
    </row>
    <row r="38">
      <c r="I38" s="5"/>
      <c r="N38" s="72"/>
      <c r="S38" s="7"/>
    </row>
    <row r="39">
      <c r="N39" s="6"/>
      <c r="S39" s="7"/>
    </row>
    <row r="40">
      <c r="N40" s="26"/>
      <c r="S40" s="7"/>
    </row>
    <row r="41">
      <c r="N41" s="6"/>
      <c r="S41" s="7"/>
    </row>
  </sheetData>
  <mergeCells>
    <mergeCell ref="J3:M3"/>
    <mergeCell ref="O3:R3"/>
    <mergeCell ref="G7:H7"/>
    <mergeCell ref="T2:W2"/>
    <mergeCell ref="A1:H1"/>
    <mergeCell ref="J1:M1"/>
    <mergeCell ref="O1:R1"/>
    <mergeCell ref="A2:H2"/>
    <mergeCell ref="J2:M2"/>
    <mergeCell ref="O2:R2"/>
    <mergeCell ref="T1:W1"/>
  </mergeCells>
  <printOptions horizontalCentered="1"/>
  <pageMargins left="0.18" right="0.2" top="0.83" bottom="0.75" header="0.5" footer="0.5"/>
  <pageSetup scale="85" orientation="portrait" horizontalDpi="300" verticalDpi="300" r:id="flId1"/>
  <headerFooter alignWithMargins="0">
    <oddFooter>&amp;L&amp;8Page &amp;P of &amp;N&amp;R&amp;8Report Printed At
&amp;T &amp;D</oddFooter>
  </headerFooter>
  <colBreaks count="5" manualBreakCount="5">
    <brk man="1" id="9" max="1048575"/>
    <brk man="1" id="14" max="1048575"/>
    <brk man="1" id="19" max="1048575"/>
    <brk man="1" id="24" max="1048575"/>
    <brk man="1" id="34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21"/>
  <sheetViews>
    <sheetView topLeftCell="A4" workbookViewId="0">
      <selection activeCell="C10" sqref="C10:C12"/>
    </sheetView>
  </sheetViews>
  <sheetFormatPr defaultColWidth="9.140625" defaultRowHeight="15"/>
  <cols>
    <col min="1" max="1" width="38.7109375" style="126" customWidth="1"/>
    <col min="2" max="2" width="39.140625" style="126" customWidth="1"/>
    <col min="3" max="3" width="23.7109375" style="126" customWidth="1"/>
    <col min="4" max="4" width="35.5703125" style="126" bestFit="1" customWidth="1"/>
    <col min="5" max="7" width="2.7109375" style="126" customWidth="1"/>
    <col min="8" max="8" width="40" style="126" bestFit="1" customWidth="1"/>
    <col min="9" max="9" width="10.85546875" style="126" bestFit="1" customWidth="1"/>
    <col min="10" max="12" width="2.7109375" style="126" customWidth="1"/>
    <col min="13" max="13" width="13.85546875" style="126" customWidth="1"/>
    <col min="14" max="14" width="10.5703125" style="126" bestFit="1" customWidth="1"/>
    <col min="15" max="16384" width="9.140625" style="126"/>
  </cols>
  <sheetData>
    <row r="3">
      <c r="A3" s="125" t="s">
        <v>60</v>
      </c>
    </row>
    <row r="4">
      <c r="A4" s="125" t="s">
        <v>61</v>
      </c>
    </row>
    <row r="5">
      <c r="A5" s="125" t="s">
        <v>62</v>
      </c>
    </row>
    <row r="8">
      <c r="A8" s="127" t="s">
        <v>63</v>
      </c>
      <c r="B8" s="127"/>
      <c r="C8" s="127"/>
      <c r="D8" s="127"/>
      <c r="H8" s="127" t="s">
        <v>64</v>
      </c>
      <c r="I8" s="127"/>
      <c r="M8" s="127" t="s">
        <v>65</v>
      </c>
      <c r="N8" s="127"/>
    </row>
    <row r="9">
      <c r="A9" s="128" t="s">
        <v>66</v>
      </c>
      <c r="B9" s="128" t="s">
        <v>67</v>
      </c>
      <c r="C9" s="128" t="s">
        <v>68</v>
      </c>
      <c r="D9" s="128" t="s">
        <v>69</v>
      </c>
      <c r="H9" s="128" t="s">
        <v>70</v>
      </c>
      <c r="I9" s="128" t="s">
        <v>71</v>
      </c>
      <c r="M9" s="128" t="s">
        <v>72</v>
      </c>
      <c r="N9" s="128" t="s">
        <v>73</v>
      </c>
    </row>
    <row r="10">
      <c r="A10" t="s">
        <v>99</v>
      </c>
      <c r="B10" t="s">
        <v>145</v>
      </c>
      <c r="C10"/>
      <c r="D10" t="s">
        <v>86</v>
      </c>
      <c r="H10" s="129" t="s">
        <v>74</v>
      </c>
      <c r="I10" s="130">
        <v>1234.56</v>
      </c>
    </row>
    <row r="11">
      <c r="A11" t="s">
        <v>99</v>
      </c>
      <c r="B11" t="s">
        <v>145</v>
      </c>
      <c r="C11"/>
      <c r="D11" t="s">
        <v>86</v>
      </c>
      <c r="H11" s="129" t="s">
        <v>75</v>
      </c>
      <c r="I11" s="131" t="s">
        <v>76</v>
      </c>
    </row>
    <row r="12">
      <c r="A12" t="s">
        <v>99</v>
      </c>
      <c r="B12" t="s">
        <v>145</v>
      </c>
      <c r="C12"/>
      <c r="D12" t="s">
        <v>86</v>
      </c>
      <c r="H12" s="129" t="s">
        <v>77</v>
      </c>
      <c r="I12" s="131" t="s">
        <v>76</v>
      </c>
    </row>
    <row r="13">
      <c r="A13" s="149" t="s">
        <v>104</v>
      </c>
      <c r="B13" s="193" t="s">
        <v>146</v>
      </c>
      <c r="D13" s="149" t="s">
        <v>87</v>
      </c>
      <c r="H13" s="129" t="s">
        <v>78</v>
      </c>
      <c r="I13" s="130">
        <v>1234.56</v>
      </c>
    </row>
    <row r="14">
      <c r="A14" s="192" t="s">
        <v>109</v>
      </c>
      <c r="B14" s="193" t="s">
        <v>147</v>
      </c>
      <c r="D14" s="149" t="s">
        <v>87</v>
      </c>
      <c r="H14" s="149" t="s">
        <v>88</v>
      </c>
      <c r="I14" s="185"/>
    </row>
    <row r="15">
      <c r="A15" s="192" t="s">
        <v>110</v>
      </c>
      <c r="B15" s="193" t="s">
        <v>148</v>
      </c>
      <c r="D15" s="149" t="s">
        <v>87</v>
      </c>
      <c r="G15" s="149"/>
      <c r="H15" s="149" t="s">
        <v>89</v>
      </c>
      <c r="I15" s="188"/>
    </row>
    <row r="16">
      <c r="A16" s="192" t="s">
        <v>111</v>
      </c>
      <c r="B16" s="193" t="s">
        <v>149</v>
      </c>
      <c r="D16" s="149" t="s">
        <v>87</v>
      </c>
    </row>
    <row r="17">
      <c r="A17" s="192" t="s">
        <v>112</v>
      </c>
      <c r="B17" s="193" t="s">
        <v>150</v>
      </c>
      <c r="D17" s="149" t="s">
        <v>87</v>
      </c>
    </row>
    <row r="18">
      <c r="A18" s="192" t="s">
        <v>113</v>
      </c>
      <c r="B18" s="193" t="s">
        <v>151</v>
      </c>
      <c r="D18" s="149" t="s">
        <v>87</v>
      </c>
    </row>
    <row r="19">
      <c r="A19" s="192" t="s">
        <v>114</v>
      </c>
      <c r="B19" s="193" t="s">
        <v>152</v>
      </c>
    </row>
    <row r="20">
      <c r="A20" s="192" t="s">
        <v>115</v>
      </c>
      <c r="B20" s="193" t="s">
        <v>153</v>
      </c>
    </row>
    <row r="21">
      <c r="A21" s="193" t="s">
        <v>144</v>
      </c>
      <c r="B21" s="193" t="s">
        <v>154</v>
      </c>
      <c r="D21" s="193" t="s">
        <v>87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 Cost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2022-10-20T20:30:26Z</dcterms:created>
  <dcterms:modified xsi:type="dcterms:W3CDTF">2022-10-20T20:30:26Z</dcterms:modified>
</cp:coreProperties>
</file>