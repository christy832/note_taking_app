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 defaultThemeVersion="166925"/>
  <bookViews>
    <workbookView xWindow="0" yWindow="0" windowWidth="23040" windowHeight="8970"/>
  </bookViews>
  <sheets>
    <sheet name="Project Metrics" sheetId="1" r:id="flId1"/>
    <sheet name="&lt;#Config&gt;" sheetId="2" r:id="flId2"/>
  </sheet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<sst xmlns="http://schemas.openxmlformats.org/spreadsheetml/2006/main" count="732" uniqueCount="683">
  <si>
    <t>Project Metrics</t>
  </si>
  <si>
    <t>Direct and Indirect Manhours, Costs and Quantities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</si>
  <si>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</si>
  <si>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</si>
  <si>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</si>
  <si>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</si>
  <si>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</si>
  <si>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</si>
  <si>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</si>
  <si>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</si>
  <si>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</si>
  <si>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Key Quantities</t>
  </si>
  <si>
    <t>Direct Acct Cost / Summary Costs</t>
  </si>
  <si>
    <t>Project Summary Metrics</t>
  </si>
  <si>
    <t>Direct MH / Summary MH</t>
  </si>
  <si>
    <t>General Quantity Data</t>
  </si>
  <si>
    <t>Equipment</t>
  </si>
  <si>
    <t>Equip Cost / TIC</t>
  </si>
  <si>
    <t>TDL / TIC</t>
  </si>
  <si>
    <t>Major Equip MH / TDMH</t>
  </si>
  <si>
    <t>Total Piping Qty / ICEquipItem</t>
  </si>
  <si>
    <t>UG Pipe</t>
  </si>
  <si>
    <t>Piping Acct Cost/ TIC</t>
  </si>
  <si>
    <t>TDL / IFC</t>
  </si>
  <si>
    <t>Piping MH / TDMH</t>
  </si>
  <si>
    <t>Concrete Qty / ICEquipItem</t>
  </si>
  <si>
    <t>AG Pipe</t>
  </si>
  <si>
    <t>Civil Acct Cost / TIC</t>
  </si>
  <si>
    <t>IFC / TIC</t>
  </si>
  <si>
    <t>Civil MH / TDMH</t>
  </si>
  <si>
    <t>Struct Steel Qty / ICEquipItem</t>
  </si>
  <si>
    <t>Pipelines</t>
  </si>
  <si>
    <t>Steel Acct Cost / TIC</t>
  </si>
  <si>
    <t>Const Equip / TDL</t>
  </si>
  <si>
    <t>Steel MH / TDMH</t>
  </si>
  <si>
    <t>Instrument Count / ICEquipItem</t>
  </si>
  <si>
    <t>Piling</t>
  </si>
  <si>
    <t>Instrumentation Acct Cost / TIC</t>
  </si>
  <si>
    <t>IFC / TDL</t>
  </si>
  <si>
    <t>Instrumentation MH / TDMH</t>
  </si>
  <si>
    <t>E&amp;I Wire Qty / ICEquipItem</t>
  </si>
  <si>
    <t>Concrete</t>
  </si>
  <si>
    <t>Electrical Acct Cost / TIC</t>
  </si>
  <si>
    <t>Engineering HO Cost / TIC</t>
  </si>
  <si>
    <t>Electrical MH / TDMH</t>
  </si>
  <si>
    <t>Elec Wire Qty / ICEquipItem</t>
  </si>
  <si>
    <t>Grout</t>
  </si>
  <si>
    <t>Insulation Acct Cost / TIC</t>
  </si>
  <si>
    <t>HOMH / ICEquipItem</t>
  </si>
  <si>
    <t>Insulation MH / TDMH</t>
  </si>
  <si>
    <t>Inst Wire Qty / ICEquipItem</t>
  </si>
  <si>
    <t>Steel</t>
  </si>
  <si>
    <t>Paint Acct Cost / TIC</t>
  </si>
  <si>
    <t>TIC Cost per ICEquipItem</t>
  </si>
  <si>
    <t>Paint MH / TDMH</t>
  </si>
  <si>
    <t>Instrumentation</t>
  </si>
  <si>
    <t>TDC / TIC</t>
  </si>
  <si>
    <t>UG Electrical</t>
  </si>
  <si>
    <t>AG Electrical</t>
  </si>
  <si>
    <t>Major Equip Cost / TDC</t>
  </si>
  <si>
    <t>Pipe Insulation</t>
  </si>
  <si>
    <t>Piping Acct Cost/ TDC</t>
  </si>
  <si>
    <t>Equip Insulation</t>
  </si>
  <si>
    <t>Civil Acct Cost / TDC</t>
  </si>
  <si>
    <t>Equip FPR</t>
  </si>
  <si>
    <t>Steel Acct Cost / TDC</t>
  </si>
  <si>
    <t>Steel FPR</t>
  </si>
  <si>
    <t>Instrumentation Acct Cost / TDC</t>
  </si>
  <si>
    <t>Paint</t>
  </si>
  <si>
    <t>Electrical Acct Cost / TDC</t>
  </si>
  <si>
    <t>Insulation Acct Cost / TDC</t>
  </si>
  <si>
    <t>Paint Acct Cost / TDC</t>
  </si>
  <si>
    <t>Concrete Quantity Data</t>
  </si>
  <si>
    <t>Piping Quantity Data</t>
  </si>
  <si>
    <t>Piping Avg Diameters</t>
  </si>
  <si>
    <t>Steel Quantity Data</t>
  </si>
  <si>
    <t>Other Quantity Data</t>
  </si>
  <si>
    <t>Rebar Qty / Concrete Qty</t>
  </si>
  <si>
    <t>UG Pipe Qty / Total Pipe Qty</t>
  </si>
  <si>
    <t>Avg Pipe Size - UG Pipe</t>
  </si>
  <si>
    <t>X-Lt &amp; Lt Steel Qty / Total Steel Qty</t>
  </si>
  <si>
    <t>Tot Elec Cable / Elec Raceway</t>
  </si>
  <si>
    <t>Exc-BF Qty / Concrete Qty</t>
  </si>
  <si>
    <t>AG Pipe Qty / Total Pipe Qty</t>
  </si>
  <si>
    <t>Avg Pipe Size - AG Pipe</t>
  </si>
  <si>
    <t>Med Steel Qty / Total Steel Qty</t>
  </si>
  <si>
    <t>Tot Elec Cable / Elec Terms</t>
  </si>
  <si>
    <t>Formwork Qty /Concrete Qty</t>
  </si>
  <si>
    <t>Avg Pipe Size - All Pipe</t>
  </si>
  <si>
    <t>Hvy &amp; Xhvy Steel Qty / Total Steel Qty</t>
  </si>
  <si>
    <t>Tot Elec Cable / Elec J-Boxes</t>
  </si>
  <si>
    <t>Embed Qty / Concrete Qty</t>
  </si>
  <si>
    <t>AG Lg Bore Pipe Qty / AG Pipe Tot Qty</t>
  </si>
  <si>
    <t>Avg Pipe Size - AG Lg Bore</t>
  </si>
  <si>
    <t>Ladder Qty / Total Steel Qty</t>
  </si>
  <si>
    <t>Grout Qty / Concrete Qty</t>
  </si>
  <si>
    <t>AG Sm Bore Pipe Qty / AG Pipe Tot Qty</t>
  </si>
  <si>
    <t>Avg Pipe Size - AG Sm Bore</t>
  </si>
  <si>
    <t>Platf,Stairs,HR, Grating / Total Steel Qty</t>
  </si>
  <si>
    <t>AG Elec Cable / Elec Raceway</t>
  </si>
  <si>
    <t>Misc Steel Qty / Total Steel Qty</t>
  </si>
  <si>
    <t>AG Elec Cable / Elec Terms</t>
  </si>
  <si>
    <t>AG Remote Shop Pipe Qty / AG Pipe Tot Qty</t>
  </si>
  <si>
    <t>AG Elec Cable / Elec J-Boxes</t>
  </si>
  <si>
    <t>AG Field Pipe Qty / AG Pipe Tot Qty</t>
  </si>
  <si>
    <t>AG Erect Spool Pipe Qty / AG Pipe Tot Qty</t>
  </si>
  <si>
    <t>Piperack Qty / Total Steel Qty</t>
  </si>
  <si>
    <t>AG Erect Straight Pipe Qty / AG Pipe Tot Qty</t>
  </si>
  <si>
    <t>Structures Qty / Total Steel Qty</t>
  </si>
  <si>
    <t>AG Erect Inst Pipe Qty / AG Pipe Tot Qty</t>
  </si>
  <si>
    <t>Floor &amp; Tread Qty / Total Steel Qty</t>
  </si>
  <si>
    <t>&lt;3 CY [&lt;2.3 M3]</t>
  </si>
  <si>
    <t>HR &amp; Toeplate Qty / Total Steel Qty</t>
  </si>
  <si>
    <t>3-10 CY [2.3-7.65 M3]</t>
  </si>
  <si>
    <t>AG CS Pipe Quantity / AG Pipe Tot Qty</t>
  </si>
  <si>
    <t>Avg Pipe Size - AG CS</t>
  </si>
  <si>
    <t>Platform Qty / Total Steel Qty</t>
  </si>
  <si>
    <t xml:space="preserve">Inst Wire /  Inst Raceway</t>
  </si>
  <si>
    <t>10-25 CY [7.65-19.1 M3]</t>
  </si>
  <si>
    <t>AG SS Pipe Quantity / AG Pipe Tot Qty</t>
  </si>
  <si>
    <t>Avg Pipe Size - AG SS</t>
  </si>
  <si>
    <t>Inst Wire / Inst Terms</t>
  </si>
  <si>
    <t>25 to 50 CY [19.1-38.2 M3]</t>
  </si>
  <si>
    <t>AG Misc Mtl Pipe Quantity / AG Pipe Tot Qty</t>
  </si>
  <si>
    <t>Avg Pipe Size - AG MiscMtl</t>
  </si>
  <si>
    <t>Pipe Support Qty / Total Steel Qty</t>
  </si>
  <si>
    <t>Inst Wire / Inst J-Boxes</t>
  </si>
  <si>
    <t>50 to 100 CY [38.2-76.5 M3]</t>
  </si>
  <si>
    <t>Tower &amp; Truss Qty / Total Steel Qty</t>
  </si>
  <si>
    <t>&gt;100 CY [76.5 M3]</t>
  </si>
  <si>
    <t>UG Pipeline Qty/Total Pipeline Qty</t>
  </si>
  <si>
    <t>Avg Pipe Size - UG Pipeline</t>
  </si>
  <si>
    <t>Other Qty / Total Steel Qty</t>
  </si>
  <si>
    <t>Qty Equip FPR / ICEquipItem</t>
  </si>
  <si>
    <t>AG Pipeline Qty/Total Pipeline Qty</t>
  </si>
  <si>
    <t>Avg Pipe Size - AG Pipeline</t>
  </si>
  <si>
    <t>Qty Equip Insul / ICEquipItem</t>
  </si>
  <si>
    <t>Conduit Encasement</t>
  </si>
  <si>
    <t>Qty Pipe Insul / AG Pipe Qty</t>
  </si>
  <si>
    <t>Elevated Slabs</t>
  </si>
  <si>
    <t>TIC</t>
  </si>
  <si>
    <t>Total Installed Cost (Total Direct Cost + Indirect Cost + Total Non-Field Costs)</t>
  </si>
  <si>
    <t>AG</t>
  </si>
  <si>
    <t>Aboveground</t>
  </si>
  <si>
    <t>TDC</t>
  </si>
  <si>
    <t>Total Direct Cost (Direct Labor Cost + Direct Matl Cost)</t>
  </si>
  <si>
    <t>UG</t>
  </si>
  <si>
    <t>Underground</t>
  </si>
  <si>
    <t>TDL</t>
  </si>
  <si>
    <t>Total Direct Labor (Foreman &amp; Crafts - All Disciplines)</t>
  </si>
  <si>
    <t>CS</t>
  </si>
  <si>
    <t>Carbon Steel</t>
  </si>
  <si>
    <t>TDM</t>
  </si>
  <si>
    <t>Total Direct Material</t>
  </si>
  <si>
    <t>SS</t>
  </si>
  <si>
    <t>Stainless Steel</t>
  </si>
  <si>
    <t>TDMH</t>
  </si>
  <si>
    <t>Total Direct Manhours</t>
  </si>
  <si>
    <t>CY / M3</t>
  </si>
  <si>
    <t>Cubic Yards / Cubic Meters</t>
  </si>
  <si>
    <t>IFC</t>
  </si>
  <si>
    <t>Indirect Field Cost (Const Supervision, Const Equip, Const Indirect Costs)</t>
  </si>
  <si>
    <t>Raceway</t>
  </si>
  <si>
    <t>Includes Conduit and Tray</t>
  </si>
  <si>
    <t>HOMH</t>
  </si>
  <si>
    <t>Home Office MH</t>
  </si>
  <si>
    <t>J-Boxes</t>
  </si>
  <si>
    <t>Junction Boxes</t>
  </si>
  <si>
    <t>ICEquipItem</t>
  </si>
  <si>
    <t>ICARUS Equipment Component Count (May not be consistent with contractor's or owner's "equipment piece count".</t>
  </si>
  <si>
    <t>Fireproofing</t>
  </si>
  <si>
    <t>* AG/UG Piping does not include cross-country pipelines.</t>
  </si>
  <si>
    <t>* Does not include Demolition.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</si>
  <si>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</si>
  <si>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</si>
  <si>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</si>
  <si>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</si>
  <si>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</si>
  <si>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</si>
  <si>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</si>
  <si>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</si>
  <si>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</si>
  <si>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</si>
  <si>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</si>
  <si>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</si>
  <si>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</si>
  <si>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</si>
  <si>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</si>
  <si>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</si>
  <si>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</si>
  <si>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</si>
  <si>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</si>
  <si>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</si>
  <si>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</si>
  <si>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&lt;#ProjectLocation&gt;</t>
  </si>
  <si>
    <t>&lt;#EstimateDate&gt;</t>
  </si>
  <si>
    <t>&lt;#ScenarioName&gt;</t>
  </si>
  <si>
    <t>&lt;#EstimateClass&gt;</t>
  </si>
  <si>
    <t>&lt;#JobNumber&gt;</t>
  </si>
  <si>
    <t>&lt;#PreparedBy&gt;</t>
  </si>
  <si>
    <t>&lt;#Currency&gt;</t>
  </si>
  <si>
    <t>0_SLQ_MetricsDIR</t>
  </si>
  <si>
    <t>&lt;#Aggregate(sum;Equipment.Key Qty)&gt;</t>
  </si>
  <si>
    <t>QSUMCOA = 2000</t>
  </si>
  <si>
    <t>&lt;#Aggregate(sum;UG Pipe.Key Qty)&gt;</t>
  </si>
  <si>
    <t>EquipmentQty</t>
  </si>
  <si>
    <t>&lt;#EquipmentQty&gt;</t>
  </si>
  <si>
    <t>&lt;#dbvalue(Equipment;0;"Key Units";)&gt;</t>
  </si>
  <si>
    <t>EquipmentUnit</t>
  </si>
  <si>
    <t>UGPipeQty</t>
  </si>
  <si>
    <t>&lt;#dbvalue(UG Pipe;0;"Key Units";)&gt;</t>
  </si>
  <si>
    <t>QSUMCOA = 3000</t>
  </si>
  <si>
    <t>&lt;#EquipmentUnit&gt;</t>
  </si>
  <si>
    <t>&lt;#UGPipeQty&gt;</t>
  </si>
  <si>
    <t>&lt;#UGPipeUnit&gt;</t>
  </si>
  <si>
    <t>UGPipeUnit</t>
  </si>
  <si>
    <t>QSUMCOA = 3100</t>
  </si>
  <si>
    <t>QSUMCOA = 3200</t>
  </si>
  <si>
    <t>QSUMCOA = 4300</t>
  </si>
  <si>
    <t>QSUMCOA = 4500</t>
  </si>
  <si>
    <t>QSUMCOA = 4600</t>
  </si>
  <si>
    <t>QSUMCOA = 5000</t>
  </si>
  <si>
    <t>QSUMCOA = 6000</t>
  </si>
  <si>
    <t>QSUMCOA = 7000</t>
  </si>
  <si>
    <t>QSUMCOA = 7100</t>
  </si>
  <si>
    <t>QSUMCOA = 8000</t>
  </si>
  <si>
    <t>QSUMCOA = 8100</t>
  </si>
  <si>
    <t>QSUMCOA = 8300</t>
  </si>
  <si>
    <t>QSUMCOA = 8400</t>
  </si>
  <si>
    <t>QSUMCOA = 9000</t>
  </si>
  <si>
    <t>AGPipeQty</t>
  </si>
  <si>
    <t>&lt;#Aggregate(sum;AG Pipe.Key Qty)&gt;</t>
  </si>
  <si>
    <t>&lt;#dbvalue(AG Pipe;0;"Key Units";)&gt;</t>
  </si>
  <si>
    <t>AGPipeUnit</t>
  </si>
  <si>
    <t>PipelinesQty</t>
  </si>
  <si>
    <t>PipelinesUnit</t>
  </si>
  <si>
    <t>&lt;#Aggregate(sum;Pipelines.Key Qty)&gt;</t>
  </si>
  <si>
    <t>&lt;#dbvalue(Pipelines;0;"Key Units";)&gt;</t>
  </si>
  <si>
    <t>ConcreteQty</t>
  </si>
  <si>
    <t>ConcreteUnit</t>
  </si>
  <si>
    <t>&lt;#Aggregate(sum;Concrete.Key Qty)&gt;</t>
  </si>
  <si>
    <t>&lt;#dbvalue(Concrete;0;"Key Units";)&gt;</t>
  </si>
  <si>
    <t>GroutQty</t>
  </si>
  <si>
    <t>GroutUnit</t>
  </si>
  <si>
    <t>&lt;#Aggregate(sum;Grout.Key Qty)&gt;</t>
  </si>
  <si>
    <t>&lt;#dbvalue(Grout;0;"Key Units";)&gt;</t>
  </si>
  <si>
    <t>SteelQty</t>
  </si>
  <si>
    <t>SteelUnit</t>
  </si>
  <si>
    <t>&lt;#Aggregate(sum;Steel.Key Qty)&gt;</t>
  </si>
  <si>
    <t>&lt;#dbvalue(Steel;0;"Key Units";)&gt;</t>
  </si>
  <si>
    <t>InstrumentationQty</t>
  </si>
  <si>
    <t>InstrumentationUnit</t>
  </si>
  <si>
    <t>&lt;#Aggregate(sum;Instrumentation.Key Qty)&gt;</t>
  </si>
  <si>
    <t>&lt;#dbvalue(Instrumentation;0;"Key Units";)&gt;</t>
  </si>
  <si>
    <t>UGElectricalQty</t>
  </si>
  <si>
    <t>UGElectricalUnit</t>
  </si>
  <si>
    <t>&lt;#Aggregate(sum;UG Electrical.Key Qty)&gt;</t>
  </si>
  <si>
    <t>&lt;#dbvalue(UG Electrical;0;"Key Units";)&gt;</t>
  </si>
  <si>
    <t>AGElectricalQty</t>
  </si>
  <si>
    <t>AGElectricalUnit</t>
  </si>
  <si>
    <t>&lt;#Aggregate(sum;AG Electrical.Key Qty)&gt;</t>
  </si>
  <si>
    <t>&lt;#dbvalue(AG Electrical;0;"Key Units";)&gt;</t>
  </si>
  <si>
    <t>PipeInsulationQty</t>
  </si>
  <si>
    <t>PipeInsulationUnit</t>
  </si>
  <si>
    <t>&lt;#Aggregate(sum;Pipe Insulation.Key Qty)&gt;</t>
  </si>
  <si>
    <t>&lt;#dbvalue(Pipe Insulation;0;"Key Units";)&gt;</t>
  </si>
  <si>
    <t>EquipInsulationQty</t>
  </si>
  <si>
    <t>EquipInsulationUnit</t>
  </si>
  <si>
    <t>&lt;#Aggregate(sum;Equip Insulation.Key Qty)&gt;</t>
  </si>
  <si>
    <t>&lt;#dbvalue(Equip Insulation;0;"Key Units";)&gt;</t>
  </si>
  <si>
    <t>&lt;#Aggregate(sum;Equip FPR.Key Qty)&gt;</t>
  </si>
  <si>
    <t>&lt;#dbvalue(Equip FPR;0;"Key Units";)&gt;</t>
  </si>
  <si>
    <t>EquipFPRQty</t>
  </si>
  <si>
    <t>EquipFPRUnit</t>
  </si>
  <si>
    <t>SteelFPRQty</t>
  </si>
  <si>
    <t>SteelFPRUnit</t>
  </si>
  <si>
    <t>&lt;#Aggregate(sum;Steel FPR.Key Qty)&gt;</t>
  </si>
  <si>
    <t>&lt;#dbvalue(Steel FPR;0;"Key Units";)&gt;</t>
  </si>
  <si>
    <t>PaintQty</t>
  </si>
  <si>
    <t>PaintUnit</t>
  </si>
  <si>
    <t>&lt;#Aggregate(sum;Paint.Key Qty)&gt;</t>
  </si>
  <si>
    <t>&lt;#dbvalue(Paint;0;"Key Units";)&gt;</t>
  </si>
  <si>
    <t>&lt;#AGPipeQty&gt;</t>
  </si>
  <si>
    <t>&lt;#AGPipeUnit&gt;</t>
  </si>
  <si>
    <t>&lt;#PipelinesQty&gt;</t>
  </si>
  <si>
    <t>&lt;#PipelinesUnit&gt;</t>
  </si>
  <si>
    <t>&lt;#PilingQty&gt;</t>
  </si>
  <si>
    <t>&lt;#PilingUnit&gt;</t>
  </si>
  <si>
    <t>&lt;#ConcreteQty&gt;</t>
  </si>
  <si>
    <t>&lt;#ConcreteUnit&gt;</t>
  </si>
  <si>
    <t>&lt;#GroutQty&gt;</t>
  </si>
  <si>
    <t>&lt;#GroutUnit&gt;</t>
  </si>
  <si>
    <t>&lt;#SteelQty&gt;</t>
  </si>
  <si>
    <t>&lt;#SteelUnit&gt;</t>
  </si>
  <si>
    <t>&lt;#InstrumentationQty&gt;</t>
  </si>
  <si>
    <t>&lt;#InstrumentationUnit&gt;</t>
  </si>
  <si>
    <t>&lt;#UGElectricalQty&gt;</t>
  </si>
  <si>
    <t>&lt;#UGElectricalUnit&gt;</t>
  </si>
  <si>
    <t>&lt;#AGElectricalQty&gt;</t>
  </si>
  <si>
    <t>&lt;#AGElectricalUnit&gt;</t>
  </si>
  <si>
    <t>&lt;#PipeInsulationQty&gt;</t>
  </si>
  <si>
    <t>&lt;#PipeInsulationUnit&gt;</t>
  </si>
  <si>
    <t>&lt;#EquipInsulationQty&gt;</t>
  </si>
  <si>
    <t>&lt;#EquipInsulationUnit&gt;</t>
  </si>
  <si>
    <t>&lt;#EquipFPRQty&gt;</t>
  </si>
  <si>
    <t>&lt;#EquipFPRUnit&gt;</t>
  </si>
  <si>
    <t>&lt;#SteelFPRQty&gt;</t>
  </si>
  <si>
    <t>&lt;#SteelFPRUnit&gt;</t>
  </si>
  <si>
    <t>&lt;#PaintQty&gt;</t>
  </si>
  <si>
    <t>&lt;#PaintUnit&gt;</t>
  </si>
  <si>
    <t>PilingQty</t>
  </si>
  <si>
    <t>PilingUnit</t>
  </si>
  <si>
    <t>&lt;#Aggregate(sum;Piling.Key Qty)&gt;</t>
  </si>
  <si>
    <t>&lt;#dbvalue(Piling;0;"Key Units";)&gt;</t>
  </si>
  <si>
    <t>RebarQty</t>
  </si>
  <si>
    <t>&lt;#dbvalue(4_KQQ_ConcTot_Rebar;0;0;)&gt;</t>
  </si>
  <si>
    <t>&lt;#dbvalue(4_KQQ_ConcTot_Rebar;0;1;)&gt;</t>
  </si>
  <si>
    <t>RebarUnit</t>
  </si>
  <si>
    <t>Exc-BFQty</t>
  </si>
  <si>
    <t>Exc-BFUnit</t>
  </si>
  <si>
    <t>&lt;#dbvalue(4_KQQ_ConcTot_ExcBF;0;0;)&gt;</t>
  </si>
  <si>
    <t>&lt;#dbvalue(4_KQQ_ConcTot_ExcBF;0;1;)&gt;</t>
  </si>
  <si>
    <t>FormworkQty</t>
  </si>
  <si>
    <t>FormworkUnit</t>
  </si>
  <si>
    <t>&lt;#dbvalue(4_KQQ_ConcTot_Forms;0;0;)&gt;</t>
  </si>
  <si>
    <t>&lt;#dbvalue(4_KQQ_ConcTot_Forms;0;1;)&gt;</t>
  </si>
  <si>
    <t>EmbedQty</t>
  </si>
  <si>
    <t>EmbedUnit</t>
  </si>
  <si>
    <t>&lt;#dbvalue(4_KQQ_ConcTot_Embeds;0;0;)&gt;</t>
  </si>
  <si>
    <t>&lt;#dbvalue(4_KQQ_ConcTot_Embeds;0;1;)&gt;</t>
  </si>
  <si>
    <t>TotConc-BlkSmQty</t>
  </si>
  <si>
    <t>TotConc-BlkSmUnit</t>
  </si>
  <si>
    <t>&lt;#dbvalue(4_KQQ_Conc_Sub1_BlkSm;0;0;)&gt;</t>
  </si>
  <si>
    <t>&lt;#dbvalue(4_KQQ_Conc_Sub1_BlkSm;0;1;)&gt;</t>
  </si>
  <si>
    <t>TotConc-BlkMedQty</t>
  </si>
  <si>
    <t>TotConc-BlkMedUnit</t>
  </si>
  <si>
    <t>&lt;#dbvalue(4_KQQ_Conc_Sub1_BlkMed;0;0;)&gt;</t>
  </si>
  <si>
    <t>&lt;#dbvalue(4_KQQ_Conc_Sub1_BlkMed;0;1;)&gt;</t>
  </si>
  <si>
    <t>TotConc-BlkLgQty</t>
  </si>
  <si>
    <t>TotConc-BlkLgUnit</t>
  </si>
  <si>
    <t>&lt;#dbvalue(4_KQQ_Conc_Sub1_BlkLg;0;0;)&gt;</t>
  </si>
  <si>
    <t>&lt;#dbvalue(4_KQQ_Conc_Sub1_BlkLg;0;1;)&gt;</t>
  </si>
  <si>
    <t>TotConc-MassSmQty</t>
  </si>
  <si>
    <t>&lt;#dbvalue(4_KQQ_Conc_Sub1_MassSm;0;0;)&gt;</t>
  </si>
  <si>
    <t>&lt;#dbvalue(4_KQQ_Conc_Sub1_MassSm;0;1;)&gt;</t>
  </si>
  <si>
    <t>TotConc-MassMedQty</t>
  </si>
  <si>
    <t>&lt;#dbvalue(4_KQQ_Conc_Sub1_MassMed;0;0;)&gt;</t>
  </si>
  <si>
    <t>TotConc-MassMedUnit</t>
  </si>
  <si>
    <t>&lt;#dbvalue(4_KQQ_Conc_Sub1_MassMed;0;1;)&gt;</t>
  </si>
  <si>
    <t>TotConc-MassLgQty</t>
  </si>
  <si>
    <t>&lt;#dbvalue(4_KQQ_Conc_Sub1_MassLg;0;0;)&gt;</t>
  </si>
  <si>
    <t>TotConc-MassLgUnit</t>
  </si>
  <si>
    <t>&lt;#dbvalue(4_KQQ_Conc_Sub1_MassLg;0;1;)&gt;</t>
  </si>
  <si>
    <t>TotConc-MassSmUnit</t>
  </si>
  <si>
    <t>&lt;#if(OR(B44 = "",B44=0);;&lt;#TotConc-MassLgUnit&gt;/&lt;#ConcreteUnit&gt;)&gt;</t>
  </si>
  <si>
    <t>&lt;#if(OR(B43 = "",B43=0);;&lt;#TotConc-MassMedUnit&gt;/&lt;#ConcreteUnit&gt;)&gt;</t>
  </si>
  <si>
    <t>&lt;#if(OR(B42 = "",B42=0);;&lt;#TotConc-MassSmUnit&gt;/&lt;#ConcreteUnit&gt;)&gt;</t>
  </si>
  <si>
    <t>&lt;#if(OR(B41 = "", B41=0);;&lt;#TotConc-BlkLgUnit&gt;/&lt;#ConcreteUnit&gt;)&gt;</t>
  </si>
  <si>
    <t>&lt;#if(OR(B40 = "",B40=0);;&lt;#TotConc-BlkMedUnit&gt;/&lt;#ConcreteUnit&gt;)&gt;</t>
  </si>
  <si>
    <t>&lt;#if(OR(B39 = "",B39=0);;&lt;#TotConc-BlkSmUnit&gt;/&lt;#ConcreteUnit&gt;)&gt;</t>
  </si>
  <si>
    <t>ConduitQty</t>
  </si>
  <si>
    <t>ConduitUnit</t>
  </si>
  <si>
    <t>&lt;#dbvalue(4_KQQ_Conc_Sub1_DuctBank;0;0;)&gt;</t>
  </si>
  <si>
    <t>&lt;#dbvalue(4_KQQ_Conc_Sub1_DuctBank;0;1;)&gt;</t>
  </si>
  <si>
    <t>ElevSlabsQty</t>
  </si>
  <si>
    <t>ElevSlabsUnit</t>
  </si>
  <si>
    <t>&lt;#dbvalue(4_KQQ_Conc_Sub1_Elev;0;0;)&gt;</t>
  </si>
  <si>
    <t>&lt;#dbvalue(4_KQQ_Conc_Sub1_Elev;0;1;)&gt;</t>
  </si>
  <si>
    <t>EquipmentMatl</t>
  </si>
  <si>
    <t>&lt;#Aggregate(sum;Equipment.Matl)&gt;</t>
  </si>
  <si>
    <t>TIndC</t>
  </si>
  <si>
    <t>&lt;#Aggregate(sum;0_SLQ_MetricsDIR.Total)&gt;</t>
  </si>
  <si>
    <t>&lt;#Aggregate(sum;0_SLQ_MetricsIND.Total)&gt;</t>
  </si>
  <si>
    <t>&lt;#Evaluate(&lt;#TDC&gt; + &lt;#TIndC&gt;)&gt;</t>
  </si>
  <si>
    <t>&lt;#if(OR(&lt;#ConcreteQty&gt;="",&lt;#ConcreteQty&gt;=0,&lt;#TotConc-BlkSmQty&gt;="");;&lt;#Evaluate(&lt;#TotConc-BlkSmQty&gt;/&lt;#ConcreteQty&gt;)&gt;)&gt;</t>
  </si>
  <si>
    <t>&lt;#if(OR(&lt;#ConcreteQty&gt;="",&lt;#ConcreteQty&gt;=0,&lt;#TotConc-BlkMedQty&gt;="");;&lt;#Evaluate(&lt;#TotConc-BlkMedQty&gt;/&lt;#ConcreteQty&gt;)&gt;)&gt;</t>
  </si>
  <si>
    <t>&lt;#if(OR(&lt;#ConcreteQty&gt;="",&lt;#ConcreteQty&gt;=0,&lt;#TotConc-BlkLgQty&gt;="");;&lt;#Evaluate(&lt;#TotConc-BlkLgQty&gt;/&lt;#ConcreteQty&gt;)&gt;)&gt;</t>
  </si>
  <si>
    <t>&lt;#if(OR(&lt;#ConcreteQty&gt;="",&lt;#ConcreteQty&gt;=0,&lt;#TotConc-MassSmQty&gt;="");;&lt;#Evaluate(&lt;#TotConc-MassSmQty&gt;/&lt;#ConcreteQty&gt;)&gt;)&gt;</t>
  </si>
  <si>
    <t>&lt;#if(OR(&lt;#ConcreteQty&gt;="",&lt;#ConcreteQty&gt;=0,&lt;#TotConc-MassMedQty&gt;="");;&lt;#Evaluate(&lt;#TotConc-MassMedQty&gt;/&lt;#ConcreteQty&gt;)&gt;)&gt;</t>
  </si>
  <si>
    <t>&lt;#if(OR(&lt;#ConcreteQty&gt;="",&lt;#ConcreteQty&gt;=0,&lt;#TotConc-MassLgQty&gt;="");;&lt;#Evaluate(&lt;#TotConc-MassLgQty&gt;/&lt;#ConcreteQty&gt;)&gt;)&gt;</t>
  </si>
  <si>
    <t>&lt;#if(OR(&lt;#ConcreteQty&gt;="",&lt;#ConcreteQty&gt;=0,&lt;#ConduitQty&gt;="");;&lt;#Evaluate(&lt;#ConduitQty&gt;/&lt;#ConcreteQty&gt;)&gt;)&gt;</t>
  </si>
  <si>
    <t>&lt;#if(OR(&lt;#ConcreteQty&gt;="",&lt;#ConcreteQty&gt;=0,&lt;#ElevSlabsQty&gt;="");;&lt;#Evaluate(&lt;#ElevSlabsQty&gt;/&lt;#ConcreteQty&gt;)&gt;)&gt;</t>
  </si>
  <si>
    <t>&lt;#if(OR(&lt;#TIC&gt;="",&lt;#TIC&gt;=0,&lt;#EquipmentMatl&gt;="");;&lt;#Evaluate(&lt;#EquipmentMatl&gt;/&lt;#TIC&gt;)&gt;)&gt;</t>
  </si>
  <si>
    <t>Piping</t>
  </si>
  <si>
    <t xml:space="preserve">QSUMCOA &gt; 2999 AND QSUMCOA&lt;3999 </t>
  </si>
  <si>
    <t>Civil</t>
  </si>
  <si>
    <t xml:space="preserve">QSUMCOA &gt; 3999 AND QSUMCOA&lt;4999 </t>
  </si>
  <si>
    <t>PipingTot</t>
  </si>
  <si>
    <t>&lt;#Aggregate(sum;Piping.Total)&gt;</t>
  </si>
  <si>
    <t>CivilTot</t>
  </si>
  <si>
    <t>&lt;#Aggregate(sum;Civil.Total)&gt;</t>
  </si>
  <si>
    <t>&lt;#if(OR(&lt;#TIC&gt;="",&lt;#TIC&gt;=0,&lt;#PipingTot&gt;="");;&lt;#Evaluate(&lt;#PipingTot&gt;/&lt;#TIC&gt;)&gt;)&gt;</t>
  </si>
  <si>
    <t>&lt;#if(OR(&lt;#TIC&gt;="",&lt;#TIC&gt;=0,&lt;#CivilTot&gt;="");;&lt;#Evaluate(&lt;#CivilTot&gt;/&lt;#TIC&gt;)&gt;)&gt;</t>
  </si>
  <si>
    <t>SteelTot</t>
  </si>
  <si>
    <t>&lt;#Aggregate(sum;Steel.Total)&gt;</t>
  </si>
  <si>
    <t>&lt;#if(OR(&lt;#TIC&gt;="",&lt;#TIC&gt;=0,&lt;#SteelTot&gt;="");;&lt;#Evaluate(&lt;#SteelTot&gt;/&lt;#TIC&gt;)&gt;)&gt;</t>
  </si>
  <si>
    <t>InstrumentationTot</t>
  </si>
  <si>
    <t>&lt;#Aggregate(sum;Instrumentation.Total)&gt;</t>
  </si>
  <si>
    <t>&lt;#if(OR(&lt;#TIC&gt;="",&lt;#TIC&gt;=0,&lt;#InstrumentationTot&gt;="");;&lt;#Evaluate(&lt;#InstrumentationTot&gt;/&lt;#TIC&gt;)&gt;)&gt;</t>
  </si>
  <si>
    <t>Electrical</t>
  </si>
  <si>
    <t xml:space="preserve">QSUMCOA &gt; 6999 AND QSUMCOA&lt;7999 </t>
  </si>
  <si>
    <t>ElectricalTot</t>
  </si>
  <si>
    <t>&lt;#Aggregate(sum;Electrical.Total)&gt;</t>
  </si>
  <si>
    <t>&lt;#if(OR(&lt;#TIC&gt;="",&lt;#TIC&gt;=0,&lt;#ElectricalTot&gt;="");;&lt;#Evaluate(&lt;#ElectricalTot&gt;/&lt;#TIC&gt;)&gt;)&gt;</t>
  </si>
  <si>
    <t>Insulation</t>
  </si>
  <si>
    <t xml:space="preserve">QSUMCOA &gt; 7999 AND QSUMCOA&lt;8999 </t>
  </si>
  <si>
    <t>InsulationTot</t>
  </si>
  <si>
    <t>&lt;#Aggregate(sum;Insulation.Total)&gt;</t>
  </si>
  <si>
    <t>&lt;#if(OR(&lt;#TIC&gt;="",&lt;#TIC&gt;=0,&lt;#InsulationTot&gt;="");;&lt;#Evaluate(&lt;#InsulationTot&gt;/&lt;#TIC&gt;)&gt;)&gt;</t>
  </si>
  <si>
    <t>PaintTot</t>
  </si>
  <si>
    <t>&lt;#Aggregate(sum;Paint.Total)&gt;</t>
  </si>
  <si>
    <t>&lt;#if(OR(&lt;#TIC&gt;="",&lt;#TIC&gt;=0,&lt;#PaintTot&gt;="");;&lt;#Evaluate(&lt;#PaintTot&gt;/&lt;#TIC&gt;)&gt;)&gt;</t>
  </si>
  <si>
    <t>&lt;#if(OR(&lt;#TIC&gt;="",&lt;#TIC&gt;=0,&lt;#TDC&gt;="");;&lt;#Evaluate(&lt;#TDC&gt;/&lt;#TIC&gt;)&gt;)&gt;</t>
  </si>
  <si>
    <t>&lt;#if(OR(&lt;#TDC&gt;="",&lt;#TDC&gt;=0,&lt;#PipingTot&gt;="");;&lt;#Evaluate(&lt;#PipingTot&gt;/&lt;#TDC&gt;)&gt;)&gt;</t>
  </si>
  <si>
    <t>&lt;#if(OR(&lt;#TDC&gt;="",&lt;#TDC&gt;=0,&lt;#CivilTot&gt;="");;&lt;#Evaluate(&lt;#CivilTot&gt;/&lt;#TDC&gt;)&gt;)&gt;</t>
  </si>
  <si>
    <t>&lt;#if(OR(&lt;#TDC&gt;="",&lt;#TDC&gt;=0,&lt;#SteelTot&gt;="");;&lt;#Evaluate(&lt;#SteelTot&gt;/&lt;#TDC&gt;)&gt;)&gt;</t>
  </si>
  <si>
    <t>&lt;#if(OR(&lt;#TDC&gt;="",&lt;#TDC&gt;=0,&lt;#InstrumentationTot&gt;="");;&lt;#Evaluate(&lt;#InstrumentationTot&gt;/&lt;#TDC&gt;)&gt;)&gt;</t>
  </si>
  <si>
    <t>&lt;#if(OR(&lt;#TDC&gt;="",&lt;#TDC&gt;=0,&lt;#ElectricalTot&gt;="");;&lt;#Evaluate(&lt;#ElectricalTot&gt;/&lt;#TDC&gt;)&gt;)&gt;</t>
  </si>
  <si>
    <t>&lt;#if(OR(&lt;#TDC&gt;="",&lt;#TDC&gt;=0,&lt;#InsulationTot&gt;="");;&lt;#Evaluate(&lt;#InsulationTot&gt;/&lt;#TDC&gt;)&gt;)&gt;</t>
  </si>
  <si>
    <t>&lt;#if(OR(&lt;#TDC&gt;="",&lt;#TDC&gt;=0,&lt;#PaintTot&gt;="");;&lt;#Evaluate(&lt;#PaintTot&gt;/&lt;#TDC&gt;)&gt;)&gt;</t>
  </si>
  <si>
    <t>EquipmentTot</t>
  </si>
  <si>
    <t>&lt;#Aggregate(sum;Equipment.Total)&gt;</t>
  </si>
  <si>
    <t>&lt;#if(OR(&lt;#TDC&gt;="",&lt;#TDC&gt;=0,&lt;#EquipmentTot&gt;="");;&lt;#Evaluate(&lt;#EquipmentTot&gt;/&lt;#TDC&gt;)&gt;)&gt;</t>
  </si>
  <si>
    <t>&lt;#Evaluate(&lt;#UGPipeQty&gt; + &lt;#AGPipeQty&gt;)&gt;</t>
  </si>
  <si>
    <t>PipeTotalQty</t>
  </si>
  <si>
    <t>AGLgBorePipeQty</t>
  </si>
  <si>
    <t>&lt;#dbvalue(3_KQQ_AGPipe_Sub1_BoreLg;0;0;)&gt;</t>
  </si>
  <si>
    <t>&lt;#if(OR(&lt;#AGPipeQty&gt;="",&lt;#AGPipeQty&gt;=0,&lt;#AGLgBorePipeQty&gt;="");;&lt;#Evaluate(&lt;#AGLgBorePipeQty&gt;/&lt;#AGPipeQty&gt;)&gt;)&gt;</t>
  </si>
  <si>
    <t>&lt;#if(OR(&lt;#PipeTotalQty&gt;="",&lt;#PipeTotalQty&gt;=0,&lt;#AGPipeQty&gt;="");;&lt;#Evaluate(&lt;#AGPipeQty&gt;/&lt;#PipeTotalQty&gt;)&gt;)&gt;</t>
  </si>
  <si>
    <t>AGSmBorePipeQty</t>
  </si>
  <si>
    <t>&lt;#dbvalue(3_KQQ_AGPipe_Sub3_FieldRunFab;0;0;)&gt;</t>
  </si>
  <si>
    <t>&lt;#dbvalue(3_KQQ_AGPipe_Sub1_BoreSm;0;0;)&gt;</t>
  </si>
  <si>
    <t>&lt;#if(OR(&lt;#AGPipeQty&gt;="",&lt;#AGPipeQty&gt;=0,&lt;#AGSmBorePipeQty&gt;="");;&lt;#Evaluate(&lt;#AGSmBorePipeQty&gt;/&lt;#AGPipeQty&gt;)&gt;)&gt;</t>
  </si>
  <si>
    <t>&lt;#if(OR(&lt;#PipeTotalQty&gt;="",&lt;#PipeTotalQty&gt;=0,&lt;#UGPipeQty&gt;="");;&lt;#Evaluate(&lt;#UGPipeQty&gt;/&lt;#PipeTotalQty&gt;)&gt;)&gt;</t>
  </si>
  <si>
    <t>AGRmteShopPipeQty</t>
  </si>
  <si>
    <t>&lt;#dbvalue(3_KQQ_AGPipe_Sub3_RemoteFab;0;0;)&gt;</t>
  </si>
  <si>
    <t>AGFieldPipeQty</t>
  </si>
  <si>
    <t>AGErectSpoolPipeQty</t>
  </si>
  <si>
    <t>&lt;#dbvalue(3_KQQ_AGPipe_Sub2_Spool;0;0;)&gt;</t>
  </si>
  <si>
    <t>AGStRunPipeQty</t>
  </si>
  <si>
    <t>&lt;#dbvalue(3_KQQ_AGPipe_Sub2_StRun;0;0;)&gt;</t>
  </si>
  <si>
    <t>AGInstPipeQty</t>
  </si>
  <si>
    <t>&lt;#dbvalue(3_KQQ_AGPipe_Sub2_InstPipe;0;0;)&gt;</t>
  </si>
  <si>
    <t>AGCSPipeQty</t>
  </si>
  <si>
    <t>&lt;#dbvalue(3_KQQ_AGPipeLength_MatCS;0;0;)&gt;</t>
  </si>
  <si>
    <t>AGSSPipeQty</t>
  </si>
  <si>
    <t>&lt;#dbvalue(3_KQQ_AGPipeLength_MatSS;0;0;)&gt;</t>
  </si>
  <si>
    <t>AGMiscMtlPipeQty</t>
  </si>
  <si>
    <t>&lt;#dbvalue(3_KQQ_AGPipeLength_MatMisc;0;0;)&gt;</t>
  </si>
  <si>
    <t>&lt;#if(OR(&lt;#AGPipeQty&gt;="",&lt;#AGPipeQty&gt;=0,&lt;#AGRmteShopPipeQty&gt;="");;&lt;#Evaluate(&lt;#AGRmteShopPipeQty&gt;/&lt;#AGPipeQty&gt;)&gt;)&gt;</t>
  </si>
  <si>
    <t>&lt;#if(OR(&lt;#AGPipeQty&gt;="",&lt;#AGPipeQty&gt;=0,&lt;#AGFieldPipeQty&gt;="");;&lt;#Evaluate(&lt;#AGFieldPipeQty&gt;/&lt;#AGPipeQty&gt;)&gt;)&gt;</t>
  </si>
  <si>
    <t>&lt;#if(OR(&lt;#AGPipeQty&gt;="",&lt;#AGPipeQty&gt;=0,&lt;#AGErectSpoolPipeQty&gt;="");;&lt;#Evaluate(&lt;#AGErectSpoolPipeQty&gt;/&lt;#AGPipeQty&gt;)&gt;)&gt;</t>
  </si>
  <si>
    <t>&lt;#if(OR(&lt;#AGPipeQty&gt;="",&lt;#AGPipeQty&gt;=0,&lt;#AGStRunPipeQty&gt;="");;&lt;#Evaluate(&lt;#AGStRunPipeQty&gt;/&lt;#AGPipeQty&gt;)&gt;)&gt;</t>
  </si>
  <si>
    <t>&lt;#if(OR(&lt;#AGPipeQty&gt;="",&lt;#AGPipeQty&gt;=0,&lt;#AGInstPipeQty&gt;="");;&lt;#Evaluate(&lt;#AGInstPipeQty&gt;/&lt;#AGPipeQty&gt;)&gt;)&gt;</t>
  </si>
  <si>
    <t>&lt;#if(OR(&lt;#AGPipeQty&gt;="",&lt;#AGPipeQty&gt;=0,&lt;#AGCSPipeQty&gt;="");;&lt;#Evaluate(&lt;#AGCSPipeQty&gt;/&lt;#AGPipeQty&gt;)&gt;)&gt;</t>
  </si>
  <si>
    <t>&lt;#if(OR(&lt;#AGPipeQty&gt;="",&lt;#AGPipeQty&gt;=0,&lt;#AGSSPipeQty&gt;="");;&lt;#Evaluate(&lt;#AGSSPipeQty&gt;/&lt;#AGPipeQty&gt;)&gt;)&gt;</t>
  </si>
  <si>
    <t>&lt;#if(OR(&lt;#AGPipeQty&gt;="",&lt;#AGPipeQty&gt;=0,&lt;#AGMiscMtlPipeQty&gt;="");;&lt;#Evaluate(&lt;#AGMiscMtlPipeQty&gt;/&lt;#AGPipeQty&gt;)&gt;)&gt;</t>
  </si>
  <si>
    <t>UGPipelineQty</t>
  </si>
  <si>
    <t>&lt;#dbvalue(3_KQQ_AGPipelineQty;0;0;)&gt;</t>
  </si>
  <si>
    <t>AGPipelineQty</t>
  </si>
  <si>
    <t>&lt;#dbvalue(3_KQQ_BuriedPipelineQty;0;0;)&gt;</t>
  </si>
  <si>
    <t>&lt;#if(OR(&lt;#PipelinesQty&gt;="",&lt;#PipelinesQty&gt;=0,&lt;#UGPipelineQty&gt;="");;&lt;#Evaluate(&lt;#UGPipelineQty&gt;/&lt;#PipelinesQty&gt;)&gt;)&gt;</t>
  </si>
  <si>
    <t>&lt;#if(OR(&lt;#PipelinesQty&gt;="",&lt;#PipelinesQty&gt;=0,&lt;#AGPipelineQty&gt;="");;&lt;#Evaluate(&lt;#AGPipelineQty&gt;/&lt;#PipelinesQty&gt;)&gt;)&gt;</t>
  </si>
  <si>
    <t>&lt;#Aggregate(sum;0_SLQ_MetricsDIR.Labor)&gt;</t>
  </si>
  <si>
    <t>0_SLQ_MetricsIND</t>
  </si>
  <si>
    <t>Det_Ind_Group = 1 OR Det_Ind_Group = 7</t>
  </si>
  <si>
    <t>&lt;#Aggregate(sum;IFC.Total)&gt;</t>
  </si>
  <si>
    <t>&lt;#if(OR(&lt;#IFC&gt;="",&lt;#IFC&gt;=0,&lt;#TDL&gt;="");;&lt;#Evaluate(&lt;#TDL&gt;/&lt;#IFC&gt;)&gt;)&gt;</t>
  </si>
  <si>
    <t>&lt;#if(OR(&lt;#TIC&gt;="",&lt;#TIC&gt;=0,&lt;#TDL&gt;="");;&lt;#Evaluate(&lt;#TDL&gt;/&lt;#TIC&gt;)&gt;)&gt;</t>
  </si>
  <si>
    <t>&lt;#if(OR(&lt;#TIC&gt;="",&lt;#TIC&gt;=0,&lt;#IFC&gt;="");;&lt;#Evaluate(&lt;#IFC&gt;/&lt;#TIC&gt;)&gt;)&gt;</t>
  </si>
  <si>
    <t>EquipmentRental</t>
  </si>
  <si>
    <t>EquipmentRentalTot</t>
  </si>
  <si>
    <t>&lt;#Aggregate(sum;EquipmentRental.Total)&gt;</t>
  </si>
  <si>
    <t>&lt;#if(OR(&lt;#TDL&gt;="",&lt;#TDL&gt;=0,&lt;#EquipmentRentalTot&gt;="");;&lt;#Evaluate(&lt;#EquipmentRentalTot&gt;/&lt;#TDL&gt;)&gt;)&gt;</t>
  </si>
  <si>
    <t>&lt;#if(OR(&lt;#TDL&gt;="",&lt;#TDL&gt;=0,&lt;#IFC&gt;="");;&lt;#Evaluate(&lt;#IFC&gt;/&lt;#TDL&gt;)&gt;)&gt;</t>
  </si>
  <si>
    <t>Engineering HO</t>
  </si>
  <si>
    <t>EngineeringHOTot</t>
  </si>
  <si>
    <t>&lt;#Aggregate(sum;Engineering HO.Total)&gt;</t>
  </si>
  <si>
    <t>&lt;#if(OR(&lt;#TIC&gt;="",&lt;#TIC&gt;=0,&lt;#EngineeringHOTot&gt;="");;&lt;#Evaluate(&lt;#EngineeringHOTot&gt;/&lt;#TIC&gt;)&gt;)&gt;</t>
  </si>
  <si>
    <t>EngineeringHOMH</t>
  </si>
  <si>
    <t>&lt;#Aggregate(sum;Engineering HO.Hours)&gt;</t>
  </si>
  <si>
    <t>&lt;#if(OR(&lt;#EquipmentQty&gt;="",&lt;#EquipmentQty&gt;=0,&lt;#TIC&gt;="");;&lt;#Evaluate(&lt;#TIC&gt;/&lt;#EquipmentQty&gt;)&gt;)&gt;</t>
  </si>
  <si>
    <t>[Group Description]='Engineering'</t>
  </si>
  <si>
    <t>Description='Equipment Rental'</t>
  </si>
  <si>
    <t>&lt;#dbvalue(3_AQ_UGPipe_AvgDiam;0;0;)&gt;</t>
  </si>
  <si>
    <t>&lt;#dbvalue(3_AQ_AGPipe_AvgDiam;0;0;)&gt;</t>
  </si>
  <si>
    <t>&lt;#dbvalue(3_AQ_Acct3Pipe_AvgDiam;0;0;)&gt;</t>
  </si>
  <si>
    <t>&lt;#dbvalue(3_AQ_AGPipe_AvgDiam_BoreLg;0;0;)&gt;</t>
  </si>
  <si>
    <t>&lt;#dbvalue(3_AQ_AGPipe_AvgDiam_BoreSm;0;0;)&gt;</t>
  </si>
  <si>
    <t>&lt;#dbvalue(3_AQ_AGPipe_AvgDiam_MatCS;0;0;)&gt;</t>
  </si>
  <si>
    <t>&lt;#dbvalue(3_AQ_AGPipe_AvgDiam_MatSS;0;0;)&gt;</t>
  </si>
  <si>
    <t>&lt;#dbvalue(3_AQ_AGPipe_AvgDiam_MatMisc;0;0;)&gt;</t>
  </si>
  <si>
    <t>&lt;#dbvalue(3_AQ_BuriedPLPipe_AvgDiam;0;0;)&gt;</t>
  </si>
  <si>
    <t>&lt;#dbvalue(3_AQ_AGPLPipe_AvgDiam;0;0;)&gt;</t>
  </si>
  <si>
    <t>&lt;#Aggregate(sum;Equipment.MH)&gt;</t>
  </si>
  <si>
    <t>&lt;#Aggregate(sum;0_SLQ_MetricsDIR.MH)&gt;</t>
  </si>
  <si>
    <t>EquipmentMH</t>
  </si>
  <si>
    <t>&lt;#if(OR(&lt;#TDMH&gt;="",&lt;#TDMH&gt;=0,&lt;#EquipmentMH&gt;="");;&lt;#Evaluate(&lt;#EquipmentMH&gt;/&lt;#TDMH&gt;)&gt;)&gt;</t>
  </si>
  <si>
    <t>PipingMH</t>
  </si>
  <si>
    <t>&lt;#Aggregate(sum;Piping.MH)&gt;</t>
  </si>
  <si>
    <t>CivilMH</t>
  </si>
  <si>
    <t>&lt;#Aggregate(sum;Civil.MH)&gt;</t>
  </si>
  <si>
    <t>&lt;#Aggregate(sum;Steel.MH)&gt;</t>
  </si>
  <si>
    <t>InstrumentationMH</t>
  </si>
  <si>
    <t>&lt;#Aggregate(sum;Instrumentation.MH)&gt;</t>
  </si>
  <si>
    <t>ElectricalMH</t>
  </si>
  <si>
    <t>&lt;#Aggregate(sum;Electrical.MH)&gt;</t>
  </si>
  <si>
    <t>&lt;#Aggregate(sum;Insulation.MH)&gt;</t>
  </si>
  <si>
    <t>InsulationMH</t>
  </si>
  <si>
    <t>PaintMH</t>
  </si>
  <si>
    <t>&lt;#Aggregate(sum;Paint.MH)&gt;</t>
  </si>
  <si>
    <t>&lt;#if(OR(&lt;#TDMH&gt;="",&lt;#TDMH&gt;=0,&lt;#PipingMH&gt;="");;&lt;#Evaluate(&lt;#PipingMH&gt;/&lt;#TDMH&gt;)&gt;)&gt;</t>
  </si>
  <si>
    <t>&lt;#if(OR(&lt;#TDMH&gt;="",&lt;#TDMH&gt;=0,&lt;#CivilMH&gt;="");;&lt;#Evaluate(&lt;#CivilMH&gt;/&lt;#TDMH&gt;)&gt;)&gt;</t>
  </si>
  <si>
    <t>&lt;#if(OR(&lt;#TDMH&gt;="",&lt;#TDMH&gt;=0,&lt;#SteelMH&gt;="");;&lt;#Evaluate(&lt;#SteelMH&gt;/&lt;#TDMH&gt;)&gt;)&gt;</t>
  </si>
  <si>
    <t>&lt;#if(OR(&lt;#TDMH&gt;="",&lt;#TDMH&gt;=0,&lt;#InstrumentationMH&gt;="");;&lt;#Evaluate(&lt;#InstrumentationMH&gt;/&lt;#TDMH&gt;)&gt;)&gt;</t>
  </si>
  <si>
    <t>&lt;#if(OR(&lt;#TDMH&gt;="",&lt;#TDMH&gt;=0,&lt;#ElectricalMH&gt;="");;&lt;#Evaluate(&lt;#ElectricalMH&gt;/&lt;#TDMH&gt;)&gt;)&gt;</t>
  </si>
  <si>
    <t>&lt;#if(OR(&lt;#TDMH&gt;="",&lt;#TDMH&gt;=0,&lt;#InsulationMH&gt;="");;&lt;#Evaluate(&lt;#InsulationMH&gt;/&lt;#TDMH&gt;)&gt;)&gt;</t>
  </si>
  <si>
    <t>&lt;#if(OR(&lt;#TDMH&gt;="",&lt;#TDMH&gt;=0,&lt;#PaintMH&gt;="");;&lt;#Evaluate(&lt;#PaintMH&gt;/&lt;#TDMH&gt;)&gt;)&gt;</t>
  </si>
  <si>
    <t>SteelMH</t>
  </si>
  <si>
    <t>TotWgt-XLTandLTQty</t>
  </si>
  <si>
    <t>&lt;#dbvalue(5_KQQ_TotQty_Sub1_ExLtLt;0;0;)&gt;</t>
  </si>
  <si>
    <t>TotWgt-MEDQty</t>
  </si>
  <si>
    <t>&lt;#dbvalue(5_KQQ_TotQty_Sub1_Med;0;0;)&gt;</t>
  </si>
  <si>
    <t>&lt;#dbvalue(5_KQQ_TotQty_Sub1_HvyXHvy;0;0;)&gt;</t>
  </si>
  <si>
    <t>TotWgt-HVYandXHVYQty</t>
  </si>
  <si>
    <t>TotWgt-LaddersQty</t>
  </si>
  <si>
    <t>&lt;#dbvalue(5_KQQ_TotQty_Sub1_Ldr;0;0;)&gt;</t>
  </si>
  <si>
    <t>TotWgt-PlatfStrGratingQty</t>
  </si>
  <si>
    <t>&lt;#dbvalue(5_KQQ_TotQty_Sub1_PlatStrGrt;0;0;)&gt;</t>
  </si>
  <si>
    <t>TotWgt-MiscSidingPlate</t>
  </si>
  <si>
    <t>&lt;#dbvalue(5_KQQ_TotQty_Sub1_Misc;0;0;)&gt;</t>
  </si>
  <si>
    <t>&lt;#if(OR(&lt;#SteelQty&gt;="",&lt;#SteelQty&gt;=0,&lt;#TotWgt-XLTandLTQty&gt;="");;&lt;#Evaluate(&lt;#TotWgt-XLTandLTQty&gt;/&lt;#SteelQty&gt;)&gt;)&gt;</t>
  </si>
  <si>
    <t>&lt;#if(OR(&lt;#SteelQty&gt;="",&lt;#SteelQty&gt;=0,&lt;#TotWgt-MEDQty&gt;="");;&lt;#Evaluate(&lt;#TotWgt-MEDQty&gt;/&lt;#SteelQty&gt;)&gt;)&gt;</t>
  </si>
  <si>
    <t>&lt;#if(OR(&lt;#SteelQty&gt;="",&lt;#SteelQty&gt;=0,&lt;#TotWgt-HVYandXHVYQty&gt;="");;&lt;#Evaluate(&lt;#TotWgt-HVYandXHVYQty&gt;/&lt;#SteelQty&gt;)&gt;)&gt;</t>
  </si>
  <si>
    <t>&lt;#if(OR(&lt;#SteelQty&gt;="",&lt;#SteelQty&gt;=0,&lt;#TotWgt-LaddersQty&gt;="");;&lt;#Evaluate(&lt;#TotWgt-LaddersQty&gt;/&lt;#SteelQty&gt;)&gt;)&gt;</t>
  </si>
  <si>
    <t>&lt;#if(OR(&lt;#SteelQty&gt;="",&lt;#SteelQty&gt;=0,&lt;#TotWgt-PlatfStrGratingQty&gt;="");;&lt;#Evaluate(&lt;#TotWgt-PlatfStrGratingQty&gt;/&lt;#SteelQty&gt;)&gt;)&gt;</t>
  </si>
  <si>
    <t>&lt;#if(OR(&lt;#SteelQty&gt;="",&lt;#SteelQty&gt;=0,&lt;#TotWgt-MiscSidingPlate&gt;="");;&lt;#Evaluate(&lt;#TotWgt-MiscSidingPlate&gt;/&lt;#SteelQty&gt;)&gt;)&gt;</t>
  </si>
  <si>
    <t>PiperackQty</t>
  </si>
  <si>
    <t>&lt;#dbvalue(5_KQQ_TotQty_Sub2_Piperack;0;0;)&gt;</t>
  </si>
  <si>
    <t>StructuresQty</t>
  </si>
  <si>
    <t>&lt;#dbvalue(5_KQQ_TotQty_Sub2_Structure;0;0;)&gt;</t>
  </si>
  <si>
    <t>FloorTreadQty</t>
  </si>
  <si>
    <t>&lt;#dbvalue(5_KQQ_TotQty_Sub2_FloorTread;0;0;)&gt;</t>
  </si>
  <si>
    <t>HRToeplateQty</t>
  </si>
  <si>
    <t>&lt;#dbvalue(5_KQQ_TotQty_Sub2_HR;0;0;)&gt;</t>
  </si>
  <si>
    <t>PlatformQty</t>
  </si>
  <si>
    <t>&lt;#dbvalue(5_KQQ_TotQty_Sub2_Platform;0;0;)&gt;</t>
  </si>
  <si>
    <t>PipeSupportQty</t>
  </si>
  <si>
    <t>&lt;#dbvalue(5_KQQ_TotQty_Sub2_Suppts;0;0;)&gt;</t>
  </si>
  <si>
    <t>TowerTrussQty</t>
  </si>
  <si>
    <t>&lt;#dbvalue(5_KQQ_TotQty_Sub2_TowersTrusses;0;0;)&gt;</t>
  </si>
  <si>
    <t>OtherQty</t>
  </si>
  <si>
    <t>&lt;#dbvalue(5_KQQ_TotQty_Sub2_Other;0;0;)&gt;</t>
  </si>
  <si>
    <t>&lt;#if(OR(&lt;#SteelQty&gt;="",&lt;#SteelQty&gt;=0,&lt;#PiperackQty&gt;="");;&lt;#Evaluate(&lt;#PiperackQty&gt;/&lt;#SteelQty&gt;)&gt;)&gt;</t>
  </si>
  <si>
    <t>&lt;#if(OR(&lt;#SteelQty&gt;="",&lt;#SteelQty&gt;=0,&lt;#StructuresQty&gt;="");;&lt;#Evaluate(&lt;#StructuresQty&gt;/&lt;#SteelQty&gt;)&gt;)&gt;</t>
  </si>
  <si>
    <t>&lt;#if(OR(&lt;#SteelQty&gt;="",&lt;#SteelQty&gt;=0,&lt;#FloorTreadQty&gt;="");;&lt;#Evaluate(&lt;#FloorTreadQty&gt;/&lt;#SteelQty&gt;)&gt;)&gt;</t>
  </si>
  <si>
    <t>&lt;#if(OR(&lt;#SteelQty&gt;="",&lt;#SteelQty&gt;=0,&lt;#HRToeplateQty&gt;="");;&lt;#Evaluate(&lt;#HRToeplateQty&gt;/&lt;#SteelQty&gt;)&gt;)&gt;</t>
  </si>
  <si>
    <t>&lt;#if(OR(&lt;#SteelQty&gt;="",&lt;#SteelQty&gt;=0,&lt;#PlatformQty&gt;="");;&lt;#Evaluate(&lt;#PlatformQty&gt;/&lt;#SteelQty&gt;)&gt;)&gt;</t>
  </si>
  <si>
    <t>&lt;#if(OR(&lt;#SteelQty&gt;="",&lt;#SteelQty&gt;=0,&lt;#PipeSupportQty&gt;="");;&lt;#Evaluate(&lt;#PipeSupportQty&gt;/&lt;#SteelQty&gt;)&gt;)&gt;</t>
  </si>
  <si>
    <t>&lt;#if(OR(&lt;#SteelQty&gt;="",&lt;#SteelQty&gt;=0,&lt;#TowerTrussQty&gt;="");;&lt;#Evaluate(&lt;#TowerTrussQty&gt;/&lt;#SteelQty&gt;)&gt;)&gt;</t>
  </si>
  <si>
    <t>&lt;#if(OR(&lt;#SteelQty&gt;="",&lt;#SteelQty&gt;=0,&lt;#OtherQty&gt;="");;&lt;#Evaluate(&lt;#OtherQty&gt;/&lt;#SteelQty&gt;)&gt;)&gt;</t>
  </si>
  <si>
    <t>PipingQty</t>
  </si>
  <si>
    <t>&lt;#Aggregate(sum;Piping.Key Qty)&gt;</t>
  </si>
  <si>
    <t>&lt;#if(OR(&lt;#ConcreteQty&gt;="",&lt;#ConcreteQty&gt;=0,&lt;#RebarQty&gt;="");;&lt;#Evaluate(&lt;#RebarQty&gt;/&lt;#ConcreteQty&gt;)&gt;)&gt;</t>
  </si>
  <si>
    <t>&lt;#if(OR(B27 = "",B27=0);;&lt;#RebarUnit&gt;/&lt;#ConcreteUnit&gt;)&gt;</t>
  </si>
  <si>
    <t>&lt;#if(OR(&lt;#ConcreteQty&gt;="",&lt;#ConcreteQty&gt;=0,&lt;#Exc-BFQty&gt;="");;&lt;#Evaluate(&lt;#Exc-BFQty&gt;/&lt;#ConcreteQty&gt;)&gt;)&gt;</t>
  </si>
  <si>
    <t>&lt;#if(OR(B28 = "",B28=0);;&lt;#Exc-BFUnit&gt;/&lt;#ConcreteUnit&gt;)&gt;</t>
  </si>
  <si>
    <t>&lt;#if(OR(&lt;#ConcreteQty&gt;="",&lt;#ConcreteQty&gt;=0,&lt;#FormworkQty&gt;="");;&lt;#Evaluate(&lt;#FormworkQty&gt;/&lt;#ConcreteQty&gt;)&gt;)&gt;</t>
  </si>
  <si>
    <t>&lt;#if(OR(&lt;#ConcreteQty&gt;="",&lt;#ConcreteQty&gt;=0,&lt;#EmbedQty&gt;="");;&lt;#Evaluate(&lt;#EmbedQty&gt;/&lt;#ConcreteQty&gt;)&gt;)&gt;</t>
  </si>
  <si>
    <t>&lt;#if(OR(B30 = "",B31=0);;&lt;#EmbedUnit&gt;/&lt;#ConcreteUnit&gt;)&gt;</t>
  </si>
  <si>
    <t>&lt;#if(OR(&lt;#ConcreteQty&gt;="",&lt;#ConcreteQty&gt;=0,&lt;#GroutQty&gt;="");;&lt;#Evaluate(&lt;#GroutQty&gt;/&lt;#ConcreteQty&gt;)&gt;)&gt;</t>
  </si>
  <si>
    <t>&lt;#if(OR(B31 = "",B31=0);;&lt;#GroutUnit&gt;/&lt;#ConcreteUnit&gt;)&gt;</t>
  </si>
  <si>
    <t>&lt;#if(OR(&lt;#EquipmentQty&gt;="",&lt;#EquipmentQty&gt;=0,&lt;#PipingQty&gt;="");;&lt;#Evaluate(&lt;#PipingQty&gt;/&lt;#EquipmentQty&gt;)&gt;)&gt;</t>
  </si>
  <si>
    <t>&lt;#if(OR(&lt;#EquipmentQty&gt;="",&lt;#EquipmentQty&gt;=0,&lt;#ConcreteQty&gt;="");;&lt;#Evaluate(&lt;#ConcreteQty&gt;/&lt;#EquipmentQty&gt;)&gt;)&gt;</t>
  </si>
  <si>
    <t>&lt;#if(OR(&lt;#EquipmentQty&gt;="",&lt;#EquipmentQty&gt;=0,&lt;#SteelQty&gt;="");;&lt;#Evaluate(&lt;#SteelQty&gt;/&lt;#EquipmentQty&gt;)&gt;)&gt;</t>
  </si>
  <si>
    <t>E&amp;IWireQty</t>
  </si>
  <si>
    <t>ElectricalQty</t>
  </si>
  <si>
    <t>&lt;#Aggregate(sum;Electrical.Key Qty)&gt;</t>
  </si>
  <si>
    <t>TotInstWireQty</t>
  </si>
  <si>
    <t>&lt;#dbvalue(6_KQQ_InstWire;0;0;)&gt;</t>
  </si>
  <si>
    <t>&lt;#Evaluate(&lt;#ElectricalQty&gt; + &lt;#TotInstWireQty&gt;)&gt;</t>
  </si>
  <si>
    <t>&lt;#if(OR(&lt;#EquipmentQty&gt;="",&lt;#EquipmentQty&gt;=0,&lt;#E&amp;IWireQty&gt;="");;&lt;#Evaluate(&lt;#E&amp;IWireQty&gt;/&lt;#EquipmentQty&gt;)&gt;)&gt;</t>
  </si>
  <si>
    <t>&lt;#if(OR(&lt;#EquipmentQty&gt;="",&lt;#EquipmentQty&gt;=0,&lt;#InstrumentationQty&gt;="");;&lt;#Evaluate(&lt;#InstrumentationQty&gt;/&lt;#EquipmentQty&gt;)&gt;)&gt;</t>
  </si>
  <si>
    <t>&lt;#if(OR(&lt;#EquipmentQty&gt;="",&lt;#EquipmentQty&gt;=0,&lt;#ElectricalQty&gt;="");;&lt;#Evaluate(&lt;#ElectricalQty&gt;/&lt;#EquipmentQty&gt;)&gt;)&gt;</t>
  </si>
  <si>
    <t>&lt;#if(OR(&lt;#EquipmentQty&gt;="",&lt;#EquipmentQty&gt;=0,&lt;#TotInstWireQty&gt;="");;&lt;#Evaluate(&lt;#TotInstWireQty&gt;/&lt;#EquipmentQty&gt;)&gt;)&gt;</t>
  </si>
  <si>
    <t>PipingUnit</t>
  </si>
  <si>
    <t>&lt;#dbvalue(Piping;0;"Key Units";)&gt;</t>
  </si>
  <si>
    <t>ElectricalUnit</t>
  </si>
  <si>
    <t>&lt;#dbvalue(Electrical;0;"Key Units";)&gt;</t>
  </si>
  <si>
    <t>TotInstWireUnit</t>
  </si>
  <si>
    <t>&lt;#dbvalue(6_KQQ_InstWire;0;1;)&gt;</t>
  </si>
  <si>
    <t>&lt;#if(OR(B29 = "",B29=0);;&lt;#FormworkUnit&gt;/&lt;#ConcreteUnit&gt;)&gt;</t>
  </si>
  <si>
    <t>ElecRacewayQty</t>
  </si>
  <si>
    <t>&lt;#if(OR(&lt;#ElecRacewayQty&gt;="",&lt;#ElecRacewayQty&gt;=0,&lt;#ElectricalQty&gt;="");;&lt;#Evaluate(&lt;#ElectricalQty&gt;/&lt;#ElecRacewayQty&gt;)&gt;)&gt;</t>
  </si>
  <si>
    <t>&lt;#if(OR(O8 = "",O8=0);;&lt;#ConcreteUnit&gt;/&lt;#EquipmentUnit&gt;)&gt;</t>
  </si>
  <si>
    <t>&lt;#if(OR(O9 = "",O9=0);;&lt;#SteelUnit&gt;/&lt;#EquipmentUnit&gt;)&gt;</t>
  </si>
  <si>
    <t>&lt;#if(OR(O10 = "",O10=0);;&lt;#InstrumentationUnit&gt;/&lt;#EquipmentUnit&gt;)&gt;</t>
  </si>
  <si>
    <t>&lt;#if(OR(O11 = "",O11=0);;&lt;#ElectricalUnit&gt;/&lt;#EquipmentUnit&gt;)&gt;</t>
  </si>
  <si>
    <t>&lt;#if(OR(O12 = "",O12=0);;&lt;#ElectricalUnit&gt;/&lt;#EquipmentUnit&gt;)&gt;</t>
  </si>
  <si>
    <t>&lt;#if(OR(O13 = "",O13=0);;&lt;#TotInstWireUnit&gt;/&lt;#EquipmentUnit&gt;)&gt;</t>
  </si>
  <si>
    <t>&lt;#if(OR(O27 = "",O27=0);;&lt;#ElectricalUnit&gt;/&lt;#ElecRacewayUnit&gt;)&gt;</t>
  </si>
  <si>
    <t>ElecRacewayUnit</t>
  </si>
  <si>
    <t>AG-UGElecTermsQty</t>
  </si>
  <si>
    <t>&lt;#dbvalue(7_KQQ_AGUGElecTerms;0;0;)&gt;</t>
  </si>
  <si>
    <t>AG-UGElecTermsUnit</t>
  </si>
  <si>
    <t>&lt;#dbvalue(7_KQQ_AGUGElecTerms;0;1;)&gt;</t>
  </si>
  <si>
    <t>&lt;#if(OR(&lt;#AG-UGElecTermsQty&gt;="",&lt;#AG-UGElecTermsQty&gt;=0,&lt;#ElectricalQty&gt;="");;&lt;#Evaluate(&lt;#ElectricalQty&gt;/&lt;#AG-UGElecTermsQty&gt;)&gt;)&gt;</t>
  </si>
  <si>
    <t>&lt;#if(OR(O28 = "",O28=0);;&lt;#ElectricalUnit&gt;/&lt;#AG-UGElecTermsUnit&gt;)&gt;</t>
  </si>
  <si>
    <t>AGUGElecJ-BoxQty</t>
  </si>
  <si>
    <t>&lt;#dbvalue(7_KQQ_AGUGJBox;0;0;)&gt;</t>
  </si>
  <si>
    <t>AGUGElecJ-BoxUnit</t>
  </si>
  <si>
    <t>&lt;#dbvalue(7_KQQ_AGUGJBox;0;1;)&gt;</t>
  </si>
  <si>
    <t>&lt;#if(OR(&lt;#AGUGElecJ-BoxQty&gt;="",&lt;#AGUGElecJ-BoxQty&gt;=0,&lt;#ElectricalQty&gt;="");;&lt;#Evaluate(&lt;#ElectricalQty&gt;/&lt;#AGUGElecJ-BoxQty&gt;)&gt;)&gt;</t>
  </si>
  <si>
    <t>&lt;#if(OR(O29 = "",O29=0);;&lt;#ElectricalUnit&gt;/&lt;#AGUGElecJ-BoxUnit&gt;)&gt;</t>
  </si>
  <si>
    <t>AGElecRacewayQty</t>
  </si>
  <si>
    <t>AGElecRacewayUnit</t>
  </si>
  <si>
    <t>AGElecTermsQty</t>
  </si>
  <si>
    <t>AGElecTermsUnit</t>
  </si>
  <si>
    <t>AGElecJ-BoxQty</t>
  </si>
  <si>
    <t>AGElecJ-BoxUnit</t>
  </si>
  <si>
    <t>&lt;#dbvalue(7_KQQ_AGRacewayTot;0;0;)&gt;</t>
  </si>
  <si>
    <t>&lt;#dbvalue(7_KQQ_AGRacewayTot;0;1;)&gt;</t>
  </si>
  <si>
    <t>&lt;#dbvalue(7_KQQ_AGElecTerms;0;0;)&gt;</t>
  </si>
  <si>
    <t>&lt;#dbvalue(7_KQQ_AGElecTerms;0;1;)&gt;</t>
  </si>
  <si>
    <t>&lt;#dbvalue(7_KQQ_AGJBox;0;0;)&gt;</t>
  </si>
  <si>
    <t>&lt;#dbvalue(7_KQQ_AGJBox;0;1;)&gt;</t>
  </si>
  <si>
    <t>&lt;#if(OR(O31 = "",O31=0);;&lt;#AGElectricalUnit&gt;/&lt;#AGElecRacewayUnit&gt;)&gt;</t>
  </si>
  <si>
    <t>&lt;#if(OR(&lt;#AGElecTermsQty&gt;="",&lt;#AGElecTermsQty&gt;=0,&lt;#AGElectricalQty&gt;="");;&lt;#Evaluate(&lt;#AGElectricalQty&gt;/&lt;#AGElecTermsQty&gt;)&gt;)&gt;</t>
  </si>
  <si>
    <t>&lt;#if(OR(&lt;#AGElecRacewayQty&gt;="",&lt;#AGElecRacewayQty&gt;=0,&lt;#AGElectricalQty&gt;="");;&lt;#Evaluate(&lt;#AGElectricalQty&gt;/&lt;#AGElecRacewayQty&gt;)&gt;)&gt;</t>
  </si>
  <si>
    <t>&lt;#if(OR(O32 = "",O32=0);;&lt;#AGElectricalUnit&gt;/&lt;#AGElecTermsUnit&gt;)&gt;</t>
  </si>
  <si>
    <t>&lt;#if(OR(&lt;#AGElecJ-BoxQty&gt;="",&lt;#AGElecJ-BoxQty&gt;=0,&lt;#AGElectricalQty&gt;="");;&lt;#Evaluate(&lt;#AGElectricalQty&gt;/&lt;#AGElecJ-BoxQty&gt;)&gt;)&gt;</t>
  </si>
  <si>
    <t>&lt;#if(OR(O33 = "",O33=0);;&lt;#AGElectricalUnit&gt;/&lt;#AGElecJ-BoxUnit&gt;)&gt;</t>
  </si>
  <si>
    <t>&lt;#dbvalue(6_KQQ_InstTerms;0;0;)&gt;</t>
  </si>
  <si>
    <t>&lt;#dbvalue(6_KQQ_InstTerms;0;1;)&gt;</t>
  </si>
  <si>
    <t>InstTermsQty</t>
  </si>
  <si>
    <t>InstTermsUnit</t>
  </si>
  <si>
    <t>&lt;#if(OR(&lt;#InstTermsQty&gt;="",&lt;#InstTermsQty&gt;=0,&lt;#TotInstWireQty&gt;="");;&lt;#Evaluate(&lt;#TotInstWireQty&gt;/&lt;#InstTermsQty&gt;)&gt;)&gt;</t>
  </si>
  <si>
    <t>&lt;#if(OR(O41 = "",O41=0);;&lt;#TotInstWireUnit&gt;/&lt;#InstTermsUnit&gt;)&gt;</t>
  </si>
  <si>
    <t>TotInstJ-BoxQty</t>
  </si>
  <si>
    <t>TotInstJ-BoxUnit</t>
  </si>
  <si>
    <t>&lt;#dbvalue(6_KQQ_TotCount_InstJBox;0;0;)&gt;</t>
  </si>
  <si>
    <t>&lt;#dbvalue(6_KQQ_TotCount_InstJBox;0;1;)&gt;</t>
  </si>
  <si>
    <t>&lt;#if(OR(&lt;#TotInstJ-BoxQty&gt;="",&lt;#TotInstJ-BoxQty&gt;=0,&lt;#TotInstWireQty&gt;="");;&lt;#Evaluate(&lt;#TotInstWireQty&gt;/&lt;#TotInstJ-BoxQty&gt;)&gt;)&gt;</t>
  </si>
  <si>
    <t>&lt;#if(OR(O42 = "",O42=0);;&lt;#TotInstWireUnit&gt;/&lt;#TotInstJ-BoxUnit&gt;)&gt;</t>
  </si>
  <si>
    <t>&lt;#if(OR(&lt;#EquipmentQty&gt;="",&lt;#EquipmentQty&gt;=0,&lt;#EquipFPRQty&gt;="");;&lt;#Evaluate(&lt;#EquipFPRQty&gt;/&lt;#EquipmentQty&gt;)&gt;)&gt;</t>
  </si>
  <si>
    <t>&lt;#if(OR(O44 = "",O44=0);;&lt;#EquipFPRUnit&gt;/&lt;#EquipmentUnit&gt;)&gt;</t>
  </si>
  <si>
    <t>&lt;#if(OR(&lt;#EquipmentQty&gt;="",&lt;#EquipmentQty&gt;=0,&lt;#EquipInsulationQty&gt;="");;&lt;#Evaluate(&lt;#EquipInsulationQty&gt;/&lt;#EquipmentQty&gt;)&gt;)&gt;</t>
  </si>
  <si>
    <t>&lt;#if(OR(O45 = "",O45=0);;&lt;#EquipInsulationUnit&gt;/&lt;#EquipmentUnit&gt;)&gt;</t>
  </si>
  <si>
    <t>&lt;#if(OR(&lt;#AGPipeQty&gt;="",&lt;#AGPipeQty&gt;=0,&lt;#PipeInsulationQty&gt;="");;&lt;#Evaluate(&lt;#PipeInsulationQty&gt;/&lt;#AGPipeQty&gt;)&gt;)&gt;</t>
  </si>
  <si>
    <t>&lt;#if(OR(O46 = "",O46=0);;&lt;#PipeInsulationUnit&gt;/&lt;#AGPipeUnit&gt;)&gt;</t>
  </si>
  <si>
    <t>HomeOffice</t>
  </si>
  <si>
    <t>HomeOfficeCost</t>
  </si>
  <si>
    <t>HomeOfficeMH</t>
  </si>
  <si>
    <t>&lt;#Aggregate(sum;HomeOffice.Total)&gt;</t>
  </si>
  <si>
    <t>&lt;#if(OR(&lt;#EquipmentQty&gt;="",&lt;#EquipmentQty&gt;=0,&lt;#HomeOfficeMH&gt;="");;&lt;#Evaluate(&lt;#HomeOfficeMH&gt;/&lt;#EquipmentQty&gt;)&gt;)&gt;</t>
  </si>
  <si>
    <t>ConstManag</t>
  </si>
  <si>
    <t>CMMH</t>
  </si>
  <si>
    <t>&lt;#Aggregate(sum;HomeOffice.Hours)&gt;</t>
  </si>
  <si>
    <t>&lt;#Aggregate(sum;ConstManag.Hours)&gt;</t>
  </si>
  <si>
    <t>CMMH / ICEquipItem</t>
  </si>
  <si>
    <t>&lt;#if(OR(&lt;#EquipmentQty&gt;="",&lt;#EquipmentQty&gt;=0,&lt;#CMMH&gt;="");;&lt;#Evaluate(&lt;#CMMH&gt;/&lt;#EquipmentQty&gt;)&gt;)&gt;</t>
  </si>
  <si>
    <t>Construction Managment MH</t>
  </si>
  <si>
    <t>PFR</t>
  </si>
  <si>
    <t>[Description]='Home Office Const Suppt'</t>
  </si>
  <si>
    <t>[Description]='Construction Management'</t>
  </si>
  <si>
    <t>&lt;#dbvalue(7_KQQ_AGUGRacewayTot;0;0;)&gt;</t>
  </si>
  <si>
    <t>&lt;#dbvalue(7_KQQ_AGUGRacewayTot;0;1;)&gt;</t>
  </si>
  <si>
    <t>&lt;#if(OR(B46 = "", B46=0);;&lt;#ConduitUnit&gt;/&lt;#ConcreteUnit&gt;)&gt;</t>
  </si>
  <si>
    <t>&lt;#if(OR(B47 = "", B47=0);;&lt;#ElevSlabsUnit&gt;/&lt;#ConcreteUnit&gt;)&gt;</t>
  </si>
  <si>
    <t>TotInstRacewayQty</t>
  </si>
  <si>
    <t>TotInstRacewayUnit</t>
  </si>
  <si>
    <t>&lt;#dbvalue(6_KQQ_RacewayTot;0;0;)&gt;</t>
  </si>
  <si>
    <t>&lt;#dbvalue(6_KQQ_RacewayTot;0;1;)&gt;</t>
  </si>
  <si>
    <t>&lt;#if(OR(&lt;#TotInstRacewayQty&gt;="",&lt;#TotInstRacewayQty&gt;=0,&lt;#TotInstWireQty&gt;="");;&lt;#Evaluate(&lt;#TotInstWireQty&gt;/&lt;#TotInstRacewayQty&gt;)&gt;)&gt;</t>
  </si>
  <si>
    <t>&lt;#if(OR(O40 = "",O40=0);;&lt;#TotInstWireUnit&gt;/&lt;#TotInstRacewayUnit&gt;)&gt;</t>
  </si>
  <si>
    <t>TotConcPilingQty</t>
  </si>
  <si>
    <t>TotConcPilingUnit</t>
  </si>
  <si>
    <t>&lt;#dbvalue(4_KQQ_Conc_Sub1_Piling;0;0;)&gt;</t>
  </si>
  <si>
    <t>&lt;#dbvalue(4_KQQ_Conc_Sub1_Piling;0;1;)&gt;</t>
  </si>
  <si>
    <t>&lt;#if(OR(&lt;#ConcreteQty&gt;="",&lt;#ConcreteQty&gt;=0,&lt;#PilingQty&gt;="");;&lt;#Evaluate(&lt;#PilingQty&gt;/&lt;#ConcreteQty&gt;)&gt;)&gt;</t>
  </si>
  <si>
    <t>&lt;#if(OR(B32 = "",B32=0);;&lt;#PilingUnit&gt;/&lt;#ConcreteUnit&gt;)&gt;</t>
  </si>
  <si>
    <t>Piling Qty / Concrete Qty</t>
  </si>
  <si>
    <t>&lt;#if(OR(O7 = "",O7=0);;&lt;#AGPipeUnit&gt;/&lt;#EquipmentUnit&gt;)&gt;</t>
  </si>
</sst>
</file>

<file path=xl/styles.xml><?xml version="1.0" encoding="utf-8"?>
<styleSheet xmlns="http://schemas.openxmlformats.org/spreadsheetml/2006/main">
  <numFmts count="5">
    <numFmt numFmtId="43" formatCode="_(* #,##0.00_);_(* \(#,##0.00\);_(* &quot;-&quot;??_);_(@_)"/>
    <numFmt numFmtId="164" formatCode="0.0%"/>
    <numFmt numFmtId="165" formatCode="#,##0.0"/>
    <numFmt numFmtId="166" formatCode="0.0"/>
    <numFmt numFmtId="167" formatCode="0.000"/>
  </numFmts>
  <fonts count="21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b/>
      <i/>
      <sz val="8"/>
      <color indexed="62"/>
      <name val="Arial"/>
      <family val="2"/>
    </font>
    <font>
      <sz val="9"/>
      <color indexed="62"/>
      <name val="Arial"/>
      <family val="2"/>
    </font>
    <font>
      <b/>
      <sz val="8"/>
      <color auto="1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sz val="7"/>
      <color auto="1"/>
      <name val="Arial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sz val="7"/>
      <color indexed="12"/>
      <name val="Arial"/>
      <family val="2"/>
    </font>
    <font>
      <b/>
      <sz val="9"/>
      <color auto="1"/>
      <name val="Arial"/>
      <family val="2"/>
    </font>
    <font>
      <sz val="11"/>
      <color auto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  <fill>
      <patternFill patternType="solid">
        <fgColor indexed="43"/>
        <bgColor indexed="8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fontId="0" numFmtId="0" fillId="0" borderId="0"/>
    <xf applyFont="0" applyFill="0" applyBorder="0" applyAlignment="0" applyProtection="0" fontId="5" numFmtId="9" fillId="0" borderId="0"/>
    <xf applyNumberFormat="0" applyBorder="0" applyAlignment="0" applyProtection="0" fontId="4" numFmtId="0" fillId="3" borderId="0"/>
    <xf fontId="13" numFmtId="0" fillId="0" borderId="0"/>
    <xf fontId="13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  <xf applyFont="0" applyFill="0" applyBorder="0" applyAlignment="0" applyProtection="0" fontId="5" numFmtId="43" fillId="0" borderId="0"/>
  </cellStyleXfs>
  <cellXfs count="177">
    <xf fontId="0" numFmtId="0" fillId="0" borderId="0" xfId="0"/>
    <xf applyNumberFormat="1" applyFont="1" fontId="7" numFmtId="3" fillId="0" borderId="0" xfId="0"/>
    <xf applyNumberFormat="1" applyFont="1" applyFill="1" fontId="7" numFmtId="3" fillId="0" borderId="0" xfId="0"/>
    <xf applyFont="1" applyBorder="1" applyAlignment="1" fontId="9" numFmtId="0" fillId="0" borderId="1" xfId="0">
      <alignment horizontal="right"/>
    </xf>
    <xf applyFont="1" applyBorder="1" applyAlignment="1" fontId="7" numFmtId="0" fillId="0" borderId="2" xfId="0">
      <alignment horizontal="left"/>
    </xf>
    <xf applyNumberFormat="1" applyFont="1" applyFill="1" applyBorder="1" applyAlignment="1" fontId="10" numFmtId="3" fillId="0" borderId="2" xfId="0">
      <alignment horizontal="left"/>
    </xf>
    <xf applyNumberFormat="1" applyFont="1" applyFill="1" applyBorder="1" applyAlignment="1" fontId="9" numFmtId="3" fillId="0" borderId="2" xfId="0">
      <alignment horizontal="right"/>
    </xf>
    <xf applyNumberFormat="1" applyFont="1" applyFill="1" applyBorder="1" fontId="11" numFmtId="3" fillId="0" borderId="2" xfId="0"/>
    <xf applyNumberFormat="1" applyFont="1" applyFill="1" applyBorder="1" fontId="11" numFmtId="4" fillId="0" borderId="2" xfId="0"/>
    <xf applyNumberFormat="1" applyFont="1" applyFill="1" applyBorder="1" fontId="7" numFmtId="3" fillId="0" borderId="2" xfId="0"/>
    <xf applyNumberFormat="1" applyFont="1" applyBorder="1" applyAlignment="1" fontId="9" numFmtId="4" fillId="0" borderId="2" xfId="0">
      <alignment horizontal="right"/>
    </xf>
    <xf applyNumberFormat="1" applyFont="1" applyFill="1" applyBorder="1" fontId="11" numFmtId="3" fillId="0" borderId="3" xfId="0"/>
    <xf applyFont="1" applyBorder="1" applyAlignment="1" fontId="9" numFmtId="0" fillId="0" borderId="4" xfId="0">
      <alignment horizontal="right"/>
    </xf>
    <xf applyFont="1" applyBorder="1" applyAlignment="1" fontId="7" numFmtId="0" fillId="0" borderId="0" xfId="0">
      <alignment horizontal="left"/>
    </xf>
    <xf applyNumberFormat="1" applyFont="1" applyFill="1" applyBorder="1" applyAlignment="1" fontId="10" numFmtId="3" fillId="0" borderId="0" xfId="0">
      <alignment horizontal="left"/>
    </xf>
    <xf applyNumberFormat="1" applyFont="1" applyFill="1" applyBorder="1" applyAlignment="1" fontId="9" numFmtId="3" fillId="0" borderId="0" xfId="0">
      <alignment horizontal="right"/>
    </xf>
    <xf applyNumberFormat="1" applyFont="1" applyFill="1" applyBorder="1" fontId="11" numFmtId="3" fillId="0" borderId="0" xfId="0"/>
    <xf applyNumberFormat="1" applyFont="1" applyFill="1" applyBorder="1" fontId="11" numFmtId="4" fillId="0" borderId="0" xfId="0"/>
    <xf applyFont="1" applyBorder="1" applyAlignment="1" fontId="9" numFmtId="0" fillId="0" borderId="0" xfId="0">
      <alignment horizontal="right"/>
    </xf>
    <xf applyNumberFormat="1" applyFont="1" applyFill="1" applyBorder="1" fontId="7" numFmtId="3" fillId="0" borderId="0" xfId="0"/>
    <xf applyNumberFormat="1" applyFont="1" applyBorder="1" fontId="7" numFmtId="3" fillId="0" borderId="0" xfId="0"/>
    <xf applyNumberFormat="1" applyFont="1" applyFill="1" applyBorder="1" fontId="11" numFmtId="3" fillId="0" borderId="5" xfId="0"/>
    <xf applyNumberFormat="1" applyFont="1" applyFill="1" applyBorder="1" applyAlignment="1" fontId="9" numFmtId="3" fillId="0" borderId="7" xfId="0">
      <alignment horizontal="right"/>
    </xf>
    <xf applyNumberFormat="1" applyFont="1" applyFill="1" applyBorder="1" fontId="11" numFmtId="3" fillId="0" borderId="7" xfId="0"/>
    <xf applyNumberFormat="1" applyFont="1" applyFill="1" applyBorder="1" fontId="11" numFmtId="4" fillId="0" borderId="7" xfId="0"/>
    <xf applyFont="1" applyBorder="1" applyAlignment="1" fontId="9" numFmtId="0" fillId="0" borderId="7" xfId="0">
      <alignment horizontal="right"/>
    </xf>
    <xf applyNumberFormat="1" applyFont="1" applyFill="1" applyBorder="1" fontId="7" numFmtId="3" fillId="0" borderId="7" xfId="0"/>
    <xf applyNumberFormat="1" applyFont="1" applyFill="1" applyBorder="1" applyAlignment="1" fontId="12" numFmtId="3" fillId="5" borderId="9" xfId="0">
      <alignment horizontal="center"/>
    </xf>
    <xf applyNumberFormat="1" applyFont="1" applyFill="1" applyBorder="1" applyAlignment="1" fontId="12" numFmtId="3" fillId="5" borderId="9" xfId="3">
      <alignment horizontal="center"/>
    </xf>
    <xf applyNumberFormat="1" applyFont="1" applyFill="1" applyBorder="1" applyAlignment="1" fontId="14" numFmtId="4" fillId="5" borderId="9" xfId="3">
      <alignment horizontal="left"/>
    </xf>
    <xf applyNumberFormat="1" applyFont="1" fontId="14" numFmtId="3" fillId="0" borderId="0" xfId="0"/>
    <xf applyNumberFormat="1" applyFont="1" applyAlignment="1" fontId="14" numFmtId="3" fillId="0" borderId="0" xfId="0"/>
    <xf applyFont="1" applyFill="1" applyBorder="1" applyAlignment="1" fontId="7" numFmtId="0" fillId="0" borderId="1" xfId="4">
      <alignment horizontal="left"/>
    </xf>
    <xf applyNumberFormat="1" applyFont="1" applyFill="1" applyBorder="1" applyAlignment="1" fontId="14" numFmtId="3" fillId="0" borderId="2" xfId="4">
      <alignment horizontal="right"/>
    </xf>
    <xf applyFont="1" applyFill="1" applyBorder="1" applyAlignment="1" fontId="15" numFmtId="0" fillId="0" borderId="3" xfId="4">
      <alignment horizontal="left"/>
    </xf>
    <xf applyFont="1" applyFill="1" applyBorder="1" applyAlignment="1" fontId="16" numFmtId="0" fillId="6" borderId="9" xfId="4">
      <alignment horizontal="left"/>
    </xf>
    <xf applyNumberFormat="1" applyFont="1" applyBorder="1" applyAlignment="1" fontId="14" numFmtId="164" fillId="0" borderId="0" xfId="0"/>
    <xf applyNumberFormat="1" applyFont="1" applyFill="1" applyBorder="1" applyAlignment="1" fontId="14" numFmtId="164" fillId="5" borderId="9" xfId="0"/>
    <xf applyFont="1" applyFill="1" applyBorder="1" applyAlignment="1" applyProtection="1" fontId="7" numFmtId="0" fillId="0" borderId="0" xfId="0"/>
    <xf applyNumberFormat="1" applyFont="1" applyFill="1" applyBorder="1" applyAlignment="1" applyProtection="1" fontId="14" numFmtId="164" fillId="0" borderId="0" xfId="0"/>
    <xf applyNumberFormat="1" applyFont="1" applyFill="1" applyBorder="1" applyAlignment="1" applyProtection="1" fontId="14" numFmtId="164" fillId="5" borderId="9" xfId="0"/>
    <xf applyFont="1" applyBorder="1" applyAlignment="1" fontId="7" numFmtId="0" fillId="0" borderId="0" xfId="0"/>
    <xf applyNumberFormat="1" applyFont="1" applyFill="1" applyBorder="1" applyAlignment="1" fontId="14" numFmtId="4" fillId="5" borderId="9" xfId="0"/>
    <xf applyFont="1" applyBorder="1" applyAlignment="1" fontId="7" numFmtId="0" fillId="0" borderId="1" xfId="0"/>
    <xf applyNumberFormat="1" applyFont="1" applyBorder="1" applyAlignment="1" fontId="14" numFmtId="165" fillId="0" borderId="2" xfId="0"/>
    <xf applyFont="1" applyBorder="1" applyAlignment="1" fontId="15" numFmtId="0" fillId="0" borderId="3" xfId="0"/>
    <xf applyFont="1" applyFill="1" applyBorder="1" applyAlignment="1" fontId="7" numFmtId="0" fillId="0" borderId="4" xfId="4">
      <alignment horizontal="left"/>
    </xf>
    <xf applyNumberFormat="1" applyFont="1" applyFill="1" applyBorder="1" applyAlignment="1" fontId="14" numFmtId="3" fillId="0" borderId="0" xfId="4">
      <alignment horizontal="right"/>
    </xf>
    <xf applyFont="1" applyFill="1" applyBorder="1" applyAlignment="1" fontId="15" numFmtId="0" fillId="0" borderId="5" xfId="4">
      <alignment horizontal="left"/>
    </xf>
    <xf applyFont="1" applyBorder="1" applyAlignment="1" fontId="7" numFmtId="0" fillId="0" borderId="4" xfId="0"/>
    <xf applyNumberFormat="1" applyFont="1" applyBorder="1" applyAlignment="1" fontId="14" numFmtId="165" fillId="0" borderId="0" xfId="0"/>
    <xf applyFont="1" applyBorder="1" applyAlignment="1" fontId="15" numFmtId="0" fillId="0" borderId="5" xfId="0"/>
    <xf applyNumberFormat="1" applyFont="1" applyFill="1" applyBorder="1" applyAlignment="1" applyProtection="1" fontId="7" numFmtId="0" fillId="0" borderId="0" xfId="0"/>
    <xf applyNumberFormat="1" applyFont="1" applyFill="1" applyBorder="1" applyAlignment="1" applyProtection="1" fontId="14" numFmtId="3" fillId="0" borderId="0" xfId="0"/>
    <xf applyNumberFormat="1" applyFont="1" applyFill="1" applyBorder="1" applyAlignment="1" applyProtection="1" fontId="14" numFmtId="3" fillId="5" borderId="9" xfId="0"/>
    <xf applyFont="1" applyFill="1" applyBorder="1" applyAlignment="1" applyProtection="1" fontId="7" numFmtId="0" fillId="0" borderId="4" xfId="0"/>
    <xf applyNumberFormat="1" applyFont="1" applyFill="1" applyBorder="1" applyAlignment="1" applyProtection="1" fontId="14" numFmtId="3" fillId="0" borderId="5" xfId="0"/>
    <xf applyNumberFormat="1" applyFont="1" applyBorder="1" applyAlignment="1" fontId="14" numFmtId="164" fillId="0" borderId="8" xfId="0"/>
    <xf applyFont="1" applyBorder="1" applyAlignment="1" fontId="14" numFmtId="0" fillId="0" borderId="0" xfId="0"/>
    <xf applyNumberFormat="1" applyFont="1" applyBorder="1" applyAlignment="1" fontId="14" numFmtId="3" fillId="0" borderId="0" xfId="0"/>
    <xf applyNumberFormat="1" applyFont="1" applyBorder="1" applyAlignment="1" fontId="14" numFmtId="4" fillId="0" borderId="0" xfId="0"/>
    <xf applyNumberFormat="1" applyFont="1" applyBorder="1" applyAlignment="1" fontId="14" numFmtId="3" fillId="0" borderId="4" xfId="0"/>
    <xf applyFont="1" applyBorder="1" applyAlignment="1" fontId="14" numFmtId="9" fillId="0" borderId="5" xfId="1"/>
    <xf applyFont="1" applyBorder="1" applyAlignment="1" fontId="14" numFmtId="0" fillId="0" borderId="4" xfId="0"/>
    <xf applyNumberFormat="1" applyFont="1" applyBorder="1" applyAlignment="1" fontId="14" numFmtId="2" fillId="0" borderId="0" xfId="0"/>
    <xf applyNumberFormat="1" applyFont="1" applyBorder="1" applyAlignment="1" fontId="17" numFmtId="4" fillId="0" borderId="5" xfId="0"/>
    <xf applyFont="1" applyBorder="1" applyAlignment="1" fontId="7" numFmtId="0" fillId="0" borderId="1" xfId="0">
      <alignment horizontal="left"/>
    </xf>
    <xf applyNumberFormat="1" applyFont="1" applyBorder="1" applyAlignment="1" fontId="14" numFmtId="164" fillId="0" borderId="3" xfId="0"/>
    <xf applyFont="1" applyFill="1" applyBorder="1" applyAlignment="1" applyProtection="1" fontId="14" numFmtId="0" fillId="0" borderId="0" xfId="0"/>
    <xf applyNumberFormat="1" applyFont="1" applyFill="1" applyBorder="1" applyAlignment="1" fontId="14" numFmtId="3" fillId="5" borderId="9" xfId="0"/>
    <xf applyNumberFormat="1" applyFont="1" applyBorder="1" applyAlignment="1" fontId="15" numFmtId="3" fillId="0" borderId="5" xfId="0"/>
    <xf applyNumberFormat="1" applyFont="1" applyBorder="1" applyAlignment="1" fontId="17" numFmtId="3" fillId="0" borderId="0" xfId="0"/>
    <xf applyNumberFormat="1" applyFont="1" applyBorder="1" applyAlignment="1" fontId="18" numFmtId="3" fillId="0" borderId="5" xfId="0"/>
    <xf applyNumberFormat="1" applyFont="1" applyFill="1" applyBorder="1" applyAlignment="1" applyProtection="1" fontId="14" numFmtId="0" fillId="0" borderId="0" xfId="0"/>
    <xf applyFont="1" applyBorder="1" applyAlignment="1" fontId="14" numFmtId="9" fillId="0" borderId="0" xfId="1"/>
    <xf applyFont="1" applyFill="1" applyBorder="1" applyAlignment="1" fontId="12" numFmtId="9" fillId="5" borderId="9" xfId="1"/>
    <xf applyNumberFormat="1" applyFont="1" applyBorder="1" applyAlignment="1" fontId="14" numFmtId="166" fillId="0" borderId="2" xfId="0"/>
    <xf applyFont="1" applyBorder="1" applyAlignment="1" fontId="7" numFmtId="0" fillId="0" borderId="2" xfId="0"/>
    <xf applyNumberFormat="1" applyFont="1" applyBorder="1" applyAlignment="1" fontId="14" numFmtId="164" fillId="0" borderId="2" xfId="1"/>
    <xf applyNumberFormat="1" applyFont="1" applyBorder="1" applyAlignment="1" fontId="14" numFmtId="2" fillId="0" borderId="3" xfId="0"/>
    <xf applyNumberFormat="1" applyFont="1" applyFill="1" applyBorder="1" applyAlignment="1" applyProtection="1" fontId="14" numFmtId="165" fillId="0" borderId="2" xfId="0"/>
    <xf applyNumberFormat="1" applyFont="1" applyBorder="1" applyAlignment="1" fontId="7" numFmtId="3" fillId="0" borderId="4" xfId="0"/>
    <xf applyNumberFormat="1" applyFont="1" applyBorder="1" applyAlignment="1" fontId="14" numFmtId="166" fillId="0" borderId="0" xfId="0"/>
    <xf applyNumberFormat="1" applyFont="1" applyBorder="1" applyAlignment="1" fontId="14" numFmtId="164" fillId="0" borderId="5" xfId="1"/>
    <xf applyNumberFormat="1" applyFont="1" applyBorder="1" applyAlignment="1" fontId="14" numFmtId="2" fillId="0" borderId="5" xfId="0"/>
    <xf applyNumberFormat="1" applyFont="1" applyBorder="1" applyAlignment="1" fontId="14" numFmtId="164" fillId="0" borderId="0" xfId="1"/>
    <xf applyNumberFormat="1" applyFont="1" applyFill="1" applyBorder="1" applyAlignment="1" applyProtection="1" fontId="14" numFmtId="165" fillId="0" borderId="0" xfId="0"/>
    <xf applyNumberFormat="1" applyFont="1" applyBorder="1" applyAlignment="1" fontId="7" numFmtId="3" fillId="0" borderId="0" xfId="0"/>
    <xf applyFont="1" applyBorder="1" applyAlignment="1" fontId="7" numFmtId="0" fillId="0" borderId="6" xfId="0"/>
    <xf applyNumberFormat="1" applyFont="1" applyBorder="1" applyAlignment="1" fontId="14" numFmtId="2" fillId="0" borderId="8" xfId="0"/>
    <xf applyNumberFormat="1" applyFont="1" applyBorder="1" applyAlignment="1" fontId="7" numFmtId="3" fillId="0" borderId="6" xfId="0"/>
    <xf applyNumberFormat="1" applyFont="1" applyBorder="1" applyAlignment="1" fontId="14" numFmtId="3" fillId="0" borderId="8" xfId="0"/>
    <xf applyNumberFormat="1" applyFont="1" applyBorder="1" applyAlignment="1" fontId="14" numFmtId="164" fillId="0" borderId="8" xfId="1"/>
    <xf applyNumberFormat="1" applyFont="1" applyBorder="1" applyAlignment="1" fontId="14" numFmtId="2" fillId="0" borderId="5" xfId="1"/>
    <xf applyNumberFormat="1" applyFont="1" applyBorder="1" applyAlignment="1" fontId="14" numFmtId="164" fillId="0" borderId="5" xfId="0"/>
    <xf applyNumberFormat="1" applyFont="1" applyBorder="1" applyAlignment="1" fontId="14" numFmtId="3" fillId="0" borderId="5" xfId="0"/>
    <xf applyNumberFormat="1" applyFont="1" applyBorder="1" applyAlignment="1" fontId="14" numFmtId="164" fillId="0" borderId="2" xfId="0"/>
    <xf applyNumberFormat="1" applyFont="1" applyBorder="1" applyAlignment="1" fontId="14" numFmtId="4" fillId="0" borderId="8" xfId="0"/>
    <xf applyNumberFormat="1" applyFont="1" applyFill="1" applyBorder="1" applyAlignment="1" fontId="14" numFmtId="4" fillId="5" borderId="9" xfId="0">
      <alignment horizontal="left"/>
    </xf>
    <xf applyNumberFormat="1" applyFont="1" applyBorder="1" applyAlignment="1" fontId="15" numFmtId="164" fillId="0" borderId="5" xfId="0"/>
    <xf applyNumberFormat="1" applyFont="1" applyBorder="1" applyAlignment="1" fontId="7" numFmtId="3" fillId="0" borderId="0" xfId="0">
      <alignment horizontal="left"/>
    </xf>
    <xf applyNumberFormat="1" applyFont="1" applyBorder="1" applyAlignment="1" fontId="7" numFmtId="3" fillId="0" borderId="6" xfId="0">
      <alignment horizontal="left"/>
    </xf>
    <xf applyNumberFormat="1" applyFont="1" applyBorder="1" applyAlignment="1" fontId="14" numFmtId="164" fillId="0" borderId="8" xfId="1">
      <alignment horizontal="right"/>
    </xf>
    <xf applyNumberFormat="1" applyFont="1" applyBorder="1" applyAlignment="1" fontId="14" numFmtId="4" fillId="0" borderId="5" xfId="0"/>
    <xf applyNumberFormat="1" applyFont="1" applyFill="1" applyBorder="1" applyAlignment="1" fontId="7" numFmtId="3" fillId="0" borderId="0" xfId="0">
      <alignment horizontal="left"/>
    </xf>
    <xf applyNumberFormat="1" applyFont="1" applyFill="1" applyBorder="1" applyAlignment="1" fontId="14" numFmtId="164" fillId="0" borderId="0" xfId="1">
      <alignment horizontal="right"/>
    </xf>
    <xf applyFont="1" applyFill="1" applyBorder="1" applyAlignment="1" fontId="7" numFmtId="0" fillId="0" borderId="4" xfId="0"/>
    <xf applyNumberFormat="1" applyFont="1" applyFill="1" applyBorder="1" applyAlignment="1" fontId="14" numFmtId="2" fillId="0" borderId="5" xfId="0"/>
    <xf applyNumberFormat="1" applyFont="1" applyFill="1" applyBorder="1" applyAlignment="1" fontId="14" numFmtId="4" fillId="5" borderId="5" xfId="0"/>
    <xf applyNumberFormat="1" applyFont="1" applyFill="1" applyBorder="1" applyAlignment="1" applyProtection="1" fontId="14" numFmtId="4" fillId="0" borderId="0" xfId="0"/>
    <xf applyFont="1" applyBorder="1" applyAlignment="1" fontId="15" numFmtId="0" fillId="0" borderId="5" xfId="0" quotePrefix="1"/>
    <xf applyFont="1" applyFill="1" applyBorder="1" applyAlignment="1" fontId="14" numFmtId="9" fillId="0" borderId="11" xfId="1"/>
    <xf applyNumberFormat="1" applyFont="1" applyBorder="1" applyAlignment="1" fontId="15" numFmtId="3" fillId="0" borderId="8" xfId="0"/>
    <xf applyNumberFormat="1" applyFont="1" applyFill="1" applyBorder="1" applyAlignment="1" fontId="14" numFmtId="3" fillId="5" borderId="13" xfId="0"/>
    <xf applyNumberFormat="1" applyFont="1" applyFill="1" applyBorder="1" applyAlignment="1" fontId="7" numFmtId="3" fillId="0" borderId="6" xfId="0">
      <alignment horizontal="left"/>
    </xf>
    <xf applyNumberFormat="1" applyFont="1" applyFill="1" applyBorder="1" applyAlignment="1" fontId="14" numFmtId="4" fillId="0" borderId="7" xfId="0"/>
    <xf applyNumberFormat="1" applyFont="1" applyFill="1" applyBorder="1" applyAlignment="1" fontId="14" numFmtId="4" fillId="5" borderId="13" xfId="0"/>
    <xf applyNumberFormat="1" applyFont="1" applyFill="1" applyBorder="1" applyAlignment="1" fontId="7" numFmtId="3" fillId="0" borderId="6" xfId="0"/>
    <xf applyNumberFormat="1" applyFont="1" applyFill="1" applyBorder="1" applyAlignment="1" fontId="14" numFmtId="2" fillId="0" borderId="8" xfId="1"/>
    <xf applyNumberFormat="1" applyFont="1" applyBorder="1" applyAlignment="1" fontId="7" numFmtId="3" fillId="0" borderId="7" xfId="0"/>
    <xf applyNumberFormat="1" applyFont="1" applyBorder="1" applyAlignment="1" fontId="14" numFmtId="4" fillId="0" borderId="7" xfId="0"/>
    <xf applyNumberFormat="1" applyFont="1" applyFill="1" applyBorder="1" fontId="14" numFmtId="3" fillId="0" borderId="0" xfId="0"/>
    <xf applyNumberFormat="1" applyFont="1" applyFill="1" applyBorder="1" fontId="14" numFmtId="4" fillId="0" borderId="0" xfId="0"/>
    <xf applyNumberFormat="1" applyFont="1" fontId="14" numFmtId="4" fillId="0" borderId="0" xfId="0"/>
    <xf applyNumberFormat="1" applyFont="1" applyFill="1" applyBorder="1" applyAlignment="1" fontId="19" numFmtId="3" fillId="0" borderId="1" xfId="0">
      <alignment horizontal="right"/>
    </xf>
    <xf applyNumberFormat="1" applyFont="1" applyFill="1" applyBorder="1" fontId="14" numFmtId="3" fillId="0" borderId="2" xfId="0"/>
    <xf applyNumberFormat="1" applyFont="1" applyBorder="1" fontId="14" numFmtId="3" fillId="0" borderId="2" xfId="0"/>
    <xf applyNumberFormat="1" applyFont="1" applyFill="1" applyBorder="1" fontId="14" numFmtId="4" fillId="0" borderId="2" xfId="0"/>
    <xf applyNumberFormat="1" applyFont="1" applyBorder="1" fontId="14" numFmtId="4" fillId="0" borderId="2" xfId="0"/>
    <xf applyNumberFormat="1" applyFont="1" applyFill="1" applyBorder="1" applyAlignment="1" fontId="19" numFmtId="3" fillId="0" borderId="2" xfId="0">
      <alignment horizontal="right"/>
    </xf>
    <xf applyNumberFormat="1" applyFont="1" applyFill="1" applyBorder="1" fontId="14" numFmtId="3" fillId="0" borderId="3" xfId="0"/>
    <xf applyNumberFormat="1" applyFont="1" applyFill="1" applyBorder="1" applyAlignment="1" fontId="19" numFmtId="3" fillId="0" borderId="4" xfId="0">
      <alignment horizontal="right"/>
    </xf>
    <xf applyNumberFormat="1" applyFont="1" applyBorder="1" fontId="14" numFmtId="3" fillId="0" borderId="0" xfId="0"/>
    <xf applyNumberFormat="1" applyFont="1" applyFill="1" applyBorder="1" fontId="12" numFmtId="4" fillId="0" borderId="0" xfId="0"/>
    <xf applyNumberFormat="1" applyFont="1" applyBorder="1" fontId="14" numFmtId="4" fillId="0" borderId="0" xfId="0"/>
    <xf applyNumberFormat="1" applyFont="1" applyFill="1" applyBorder="1" applyAlignment="1" fontId="19" numFmtId="3" fillId="0" borderId="0" xfId="0">
      <alignment horizontal="right"/>
    </xf>
    <xf applyNumberFormat="1" applyFont="1" applyBorder="1" fontId="14" numFmtId="3" fillId="0" borderId="5" xfId="0"/>
    <xf applyNumberFormat="1" applyFont="1" applyFill="1" applyBorder="1" applyAlignment="1" fontId="19" numFmtId="3" fillId="0" borderId="6" xfId="0">
      <alignment horizontal="right"/>
    </xf>
    <xf applyNumberFormat="1" applyFont="1" applyFill="1" applyBorder="1" fontId="14" numFmtId="3" fillId="0" borderId="7" xfId="0"/>
    <xf applyNumberFormat="1" applyFont="1" applyBorder="1" fontId="14" numFmtId="3" fillId="0" borderId="7" xfId="0"/>
    <xf applyNumberFormat="1" applyFont="1" applyFill="1" applyBorder="1" fontId="12" numFmtId="4" fillId="0" borderId="7" xfId="0"/>
    <xf applyNumberFormat="1" applyFont="1" applyBorder="1" fontId="14" numFmtId="4" fillId="0" borderId="7" xfId="0"/>
    <xf applyNumberFormat="1" applyFont="1" applyBorder="1" applyAlignment="1" fontId="19" numFmtId="3" fillId="0" borderId="7" xfId="0">
      <alignment horizontal="right"/>
    </xf>
    <xf applyNumberFormat="1" applyFont="1" applyBorder="1" fontId="14" numFmtId="3" fillId="0" borderId="8" xfId="0"/>
    <xf applyNumberFormat="1" applyFont="1" applyFill="1" applyBorder="1" fontId="12" numFmtId="3" fillId="0" borderId="0" xfId="0"/>
    <xf applyNumberFormat="1" applyFont="1" fontId="12" numFmtId="3" fillId="0" borderId="0" xfId="0"/>
    <xf fontId="3" numFmtId="0" fillId="2" borderId="0" xfId="5"/>
    <xf fontId="3" numFmtId="0" fillId="0" borderId="0" xfId="6"/>
    <xf fontId="3" numFmtId="0" fillId="4" borderId="0" xfId="7"/>
    <xf fontId="4" numFmtId="0" fillId="3" borderId="0" xfId="2"/>
    <xf applyFont="1" fontId="3" numFmtId="0" fillId="0" borderId="0" xfId="6"/>
    <xf applyNumberFormat="1" applyFont="1" applyAlignment="1" fontId="20" numFmtId="3" fillId="0" borderId="0" xfId="6">
      <alignment horizontal="right"/>
    </xf>
    <xf applyAlignment="1" fontId="3" numFmtId="0" fillId="0" borderId="0" xfId="6">
      <alignment horizontal="left"/>
    </xf>
    <xf applyNumberFormat="1" applyFont="1" applyBorder="1" applyAlignment="1" fontId="7" numFmtId="3" fillId="0" borderId="0" xfId="8">
      <alignment horizontal="left"/>
    </xf>
    <xf applyNumberFormat="1" applyFont="1" applyBorder="1" applyAlignment="1" fontId="7" numFmtId="3" fillId="0" borderId="7" xfId="8">
      <alignment horizontal="left"/>
    </xf>
    <xf applyNumberFormat="1" applyFont="1" applyBorder="1" applyAlignment="1" fontId="7" numFmtId="3" fillId="0" borderId="2" xfId="8">
      <alignment horizontal="left"/>
    </xf>
    <xf applyNumberFormat="1" applyFont="1" applyBorder="1" applyAlignment="1" fontId="9" numFmtId="4" fillId="0" borderId="0" xfId="0">
      <alignment horizontal="right"/>
    </xf>
    <xf applyNumberFormat="1" applyFont="1" applyFill="1" applyBorder="1" applyAlignment="1" fontId="14" numFmtId="165" fillId="0" borderId="0" xfId="4">
      <alignment horizontal="right"/>
    </xf>
    <xf applyNumberFormat="1" applyFont="1" applyBorder="1" applyAlignment="1" fontId="14" numFmtId="167" fillId="0" borderId="0" xfId="0"/>
    <xf applyFont="1" fontId="2" numFmtId="0" fillId="0" borderId="0" xfId="6"/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2" xfId="0">
      <alignment horizontal="center" vertical="center"/>
    </xf>
    <xf applyNumberFormat="1" applyFont="1" applyFill="1" applyBorder="1" applyAlignment="1" fontId="6" numFmtId="3" fillId="0" borderId="3" xfId="0">
      <alignment horizontal="center" vertical="center"/>
    </xf>
    <xf applyNumberFormat="1" applyFont="1" applyFill="1" applyBorder="1" applyAlignment="1" fontId="8" numFmtId="3" fillId="0" borderId="4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5" xfId="0">
      <alignment horizontal="center" vertical="top"/>
    </xf>
    <xf applyNumberFormat="1" applyFont="1" applyFill="1" applyBorder="1" applyAlignment="1" fontId="12" numFmtId="3" fillId="5" borderId="10" xfId="0">
      <alignment horizontal="center"/>
    </xf>
    <xf applyNumberFormat="1" applyFont="1" applyFill="1" applyBorder="1" applyAlignment="1" fontId="12" numFmtId="3" fillId="5" borderId="11" xfId="0">
      <alignment horizontal="center"/>
    </xf>
    <xf applyNumberFormat="1" applyFont="1" applyFill="1" applyBorder="1" applyAlignment="1" fontId="12" numFmtId="3" fillId="5" borderId="12" xfId="0">
      <alignment horizontal="center"/>
    </xf>
    <xf applyNumberFormat="1" applyFont="1" applyFill="1" applyBorder="1" applyAlignment="1" fontId="12" numFmtId="3" fillId="5" borderId="6" xfId="0">
      <alignment horizontal="center"/>
    </xf>
    <xf applyNumberFormat="1" applyFont="1" applyFill="1" applyBorder="1" applyAlignment="1" fontId="12" numFmtId="3" fillId="5" borderId="8" xfId="0">
      <alignment horizontal="center"/>
    </xf>
    <xf applyNumberFormat="1" applyFont="1" applyFill="1" applyBorder="1" applyAlignment="1" fontId="12" numFmtId="3" fillId="5" borderId="6" xfId="3">
      <alignment horizontal="center"/>
    </xf>
    <xf applyNumberFormat="1" applyFont="1" applyFill="1" applyBorder="1" applyAlignment="1" fontId="12" numFmtId="3" fillId="5" borderId="8" xfId="3">
      <alignment horizontal="center"/>
    </xf>
    <xf applyNumberFormat="1" applyFont="1" applyFill="1" applyBorder="1" applyAlignment="1" fontId="12" numFmtId="3" fillId="5" borderId="10" xfId="3">
      <alignment horizontal="center"/>
    </xf>
    <xf applyNumberFormat="1" applyFont="1" applyFill="1" applyBorder="1" applyAlignment="1" fontId="12" numFmtId="3" fillId="5" borderId="12" xfId="3">
      <alignment horizontal="center"/>
    </xf>
    <xf applyNumberFormat="1" applyFont="1" applyFill="1" applyBorder="1" applyAlignment="1" fontId="12" numFmtId="3" fillId="5" borderId="11" xfId="3">
      <alignment horizontal="center"/>
    </xf>
    <xf applyFont="1" fontId="1" numFmtId="0" fillId="0" borderId="0" xfId="6"/>
  </cellXfs>
  <cellStyles count="9">
    <cellStyle name="20% - Accent5 2" xfId="7"/>
    <cellStyle name="60% - Accent1 2" xfId="5"/>
    <cellStyle name="Accent5" xfId="2" builtinId="45"/>
    <cellStyle name="Comma" xfId="8" builtinId="3"/>
    <cellStyle name="Normal" xfId="0" builtinId="0"/>
    <cellStyle name="Normal 2" xfId="6"/>
    <cellStyle name="Normal_Sheet1" xfId="4"/>
    <cellStyle name="Normal_TDC Item Dets" xfId="3"/>
    <cellStyle name="Percent" xfId="1" builtinId="5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36EC6444-A12C-4C7F-9C9C-3D187EE0F2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/>
  <dimension ref="A1:P63"/>
  <sheetViews>
    <sheetView showZeros="0" tabSelected="1" topLeftCell="A1" workbookViewId="0">
      <selection activeCell="P7" sqref="P7"/>
    </sheetView>
  </sheetViews>
  <sheetFormatPr defaultColWidth="9.140625" defaultRowHeight="11.25"/>
  <cols>
    <col min="1" max="1" width="21" style="30" customWidth="1"/>
    <col min="2" max="2" width="7.7109375" style="30" customWidth="1"/>
    <col min="3" max="3" width="6.7109375" style="30" customWidth="1"/>
    <col min="4" max="4" width="0.5703125" style="30" customWidth="1"/>
    <col min="5" max="5" width="32.42578125" style="30" customWidth="1"/>
    <col min="6" max="6" width="7.28515625" style="123" customWidth="1"/>
    <col min="7" max="7" width="0.5703125" style="123" customWidth="1"/>
    <col min="8" max="8" width="20.85546875" style="30" customWidth="1"/>
    <col min="9" max="9" width="7.85546875" style="123" customWidth="1"/>
    <col min="10" max="10" width="0.5703125" style="123" customWidth="1"/>
    <col min="11" max="11" width="28.7109375" style="30" customWidth="1"/>
    <col min="12" max="12" width="6.140625" style="123" customWidth="1"/>
    <col min="13" max="13" width="0.5703125" style="123" customWidth="1"/>
    <col min="14" max="14" width="22.5703125" style="30" customWidth="1"/>
    <col min="15" max="15" width="6.7109375" style="123" customWidth="1"/>
    <col min="16" max="16" width="10.85546875" style="30" bestFit="1" customWidth="1"/>
    <col min="17" max="16384" width="9.140625" style="30"/>
  </cols>
  <sheetData>
    <row r="1" s="1" customFormat="1" ht="37.5" customHeight="1">
      <c r="A1" s="160" t="s">
        <v>0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2"/>
    </row>
    <row r="2" s="2" customFormat="1" ht="20.25" customHeight="1">
      <c r="A2" s="163" t="s">
        <v>1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5"/>
    </row>
    <row r="3" s="2" customFormat="1" ht="12">
      <c r="A3" s="3" t="s">
        <v>2</v>
      </c>
      <c r="B3" s="4" t="s">
        <v>192</v>
      </c>
      <c r="C3" s="5"/>
      <c r="D3" s="6"/>
      <c r="E3" s="7"/>
      <c r="F3" s="8"/>
      <c r="G3" s="8"/>
      <c r="H3" s="7"/>
      <c r="I3" s="8"/>
      <c r="J3" s="8"/>
      <c r="K3" s="7"/>
      <c r="L3" s="6"/>
      <c r="M3" s="9"/>
      <c r="N3" s="10" t="s">
        <v>3</v>
      </c>
      <c r="O3" s="155" t="s">
        <v>199</v>
      </c>
      <c r="P3" s="11"/>
    </row>
    <row r="4" s="2" customFormat="1" ht="12">
      <c r="A4" s="12" t="s">
        <v>4</v>
      </c>
      <c r="B4" s="153" t="s">
        <v>193</v>
      </c>
      <c r="C4" s="14"/>
      <c r="D4" s="15"/>
      <c r="E4" s="16"/>
      <c r="F4" s="17"/>
      <c r="G4" s="18" t="s">
        <v>5</v>
      </c>
      <c r="H4" s="153" t="s">
        <v>196</v>
      </c>
      <c r="I4" s="17"/>
      <c r="J4" s="17"/>
      <c r="K4" s="18" t="s">
        <v>6</v>
      </c>
      <c r="L4" s="153" t="s">
        <v>194</v>
      </c>
      <c r="M4" s="19"/>
      <c r="N4" s="20"/>
      <c r="O4" s="19"/>
      <c r="P4" s="21"/>
    </row>
    <row r="5" s="2" customFormat="1" ht="12">
      <c r="A5" s="12" t="s">
        <v>7</v>
      </c>
      <c r="B5" s="153" t="s">
        <v>195</v>
      </c>
      <c r="C5" s="14"/>
      <c r="D5" s="22"/>
      <c r="E5" s="23"/>
      <c r="F5" s="24"/>
      <c r="G5" s="25" t="s">
        <v>8</v>
      </c>
      <c r="H5" s="154" t="s">
        <v>197</v>
      </c>
      <c r="I5" s="24"/>
      <c r="J5" s="24"/>
      <c r="K5" s="18" t="s">
        <v>9</v>
      </c>
      <c r="L5" s="153" t="s">
        <v>198</v>
      </c>
      <c r="M5" s="26"/>
      <c r="N5" s="156" t="s">
        <v>10</v>
      </c>
      <c r="O5" s="153" t="s">
        <v>200</v>
      </c>
      <c r="P5" s="21"/>
    </row>
    <row r="6">
      <c r="A6" s="166" t="s">
        <v>11</v>
      </c>
      <c r="B6" s="167"/>
      <c r="C6" s="168"/>
      <c r="D6" s="27"/>
      <c r="E6" s="169" t="s">
        <v>12</v>
      </c>
      <c r="F6" s="170"/>
      <c r="G6" s="27"/>
      <c r="H6" s="171" t="s">
        <v>13</v>
      </c>
      <c r="I6" s="172"/>
      <c r="J6" s="28"/>
      <c r="K6" s="173" t="s">
        <v>14</v>
      </c>
      <c r="L6" s="174"/>
      <c r="M6" s="29"/>
      <c r="N6" s="173" t="s">
        <v>15</v>
      </c>
      <c r="O6" s="175"/>
      <c r="P6" s="174"/>
    </row>
    <row r="7" s="31" customFormat="1">
      <c r="A7" s="32" t="s">
        <v>16</v>
      </c>
      <c r="B7" s="33" t="s">
        <v>206</v>
      </c>
      <c r="C7" s="34" t="s">
        <v>212</v>
      </c>
      <c r="D7" s="35"/>
      <c r="E7" s="13" t="s">
        <v>17</v>
      </c>
      <c r="F7" s="36" t="s">
        <v>382</v>
      </c>
      <c r="G7" s="37"/>
      <c r="H7" s="38" t="s">
        <v>18</v>
      </c>
      <c r="I7" s="39" t="s">
        <v>468</v>
      </c>
      <c r="J7" s="40"/>
      <c r="K7" s="41" t="s">
        <v>19</v>
      </c>
      <c r="L7" s="36" t="s">
        <v>497</v>
      </c>
      <c r="M7" s="42"/>
      <c r="N7" s="43" t="s">
        <v>20</v>
      </c>
      <c r="O7" s="44" t="s">
        <v>572</v>
      </c>
      <c r="P7" s="45" t="s">
        <v>682</v>
      </c>
    </row>
    <row r="8" s="31" customFormat="1">
      <c r="A8" s="46" t="s">
        <v>21</v>
      </c>
      <c r="B8" s="47" t="s">
        <v>213</v>
      </c>
      <c r="C8" s="48" t="s">
        <v>214</v>
      </c>
      <c r="D8" s="35"/>
      <c r="E8" s="13" t="s">
        <v>22</v>
      </c>
      <c r="F8" s="36" t="s">
        <v>391</v>
      </c>
      <c r="G8" s="37"/>
      <c r="H8" s="38" t="s">
        <v>23</v>
      </c>
      <c r="I8" s="39" t="s">
        <v>467</v>
      </c>
      <c r="J8" s="40"/>
      <c r="K8" s="41" t="s">
        <v>24</v>
      </c>
      <c r="L8" s="36" t="s">
        <v>511</v>
      </c>
      <c r="M8" s="42"/>
      <c r="N8" s="49" t="s">
        <v>25</v>
      </c>
      <c r="O8" s="50" t="s">
        <v>573</v>
      </c>
      <c r="P8" s="51" t="s">
        <v>594</v>
      </c>
    </row>
    <row r="9" s="31" customFormat="1">
      <c r="A9" s="46" t="s">
        <v>26</v>
      </c>
      <c r="B9" s="47" t="s">
        <v>282</v>
      </c>
      <c r="C9" s="48" t="s">
        <v>283</v>
      </c>
      <c r="D9" s="35"/>
      <c r="E9" s="13" t="s">
        <v>27</v>
      </c>
      <c r="F9" s="36" t="s">
        <v>392</v>
      </c>
      <c r="G9" s="37"/>
      <c r="H9" s="38" t="s">
        <v>28</v>
      </c>
      <c r="I9" s="39" t="s">
        <v>469</v>
      </c>
      <c r="J9" s="40"/>
      <c r="K9" s="41" t="s">
        <v>29</v>
      </c>
      <c r="L9" s="36" t="s">
        <v>512</v>
      </c>
      <c r="M9" s="42"/>
      <c r="N9" s="49" t="s">
        <v>30</v>
      </c>
      <c r="O9" s="50" t="s">
        <v>574</v>
      </c>
      <c r="P9" s="51" t="s">
        <v>595</v>
      </c>
    </row>
    <row r="10" s="31" customFormat="1">
      <c r="A10" s="46" t="s">
        <v>31</v>
      </c>
      <c r="B10" s="47" t="s">
        <v>284</v>
      </c>
      <c r="C10" s="48" t="s">
        <v>285</v>
      </c>
      <c r="D10" s="35"/>
      <c r="E10" s="13" t="s">
        <v>32</v>
      </c>
      <c r="F10" s="36" t="s">
        <v>395</v>
      </c>
      <c r="G10" s="37"/>
      <c r="H10" s="38" t="s">
        <v>33</v>
      </c>
      <c r="I10" s="39" t="s">
        <v>473</v>
      </c>
      <c r="J10" s="40"/>
      <c r="K10" s="41" t="s">
        <v>34</v>
      </c>
      <c r="L10" s="36" t="s">
        <v>513</v>
      </c>
      <c r="M10" s="42"/>
      <c r="N10" s="49" t="s">
        <v>35</v>
      </c>
      <c r="O10" s="50" t="s">
        <v>582</v>
      </c>
      <c r="P10" s="51" t="s">
        <v>596</v>
      </c>
    </row>
    <row r="11" s="31" customFormat="1">
      <c r="A11" s="46" t="s">
        <v>36</v>
      </c>
      <c r="B11" s="47" t="s">
        <v>286</v>
      </c>
      <c r="C11" s="48" t="s">
        <v>287</v>
      </c>
      <c r="D11" s="35"/>
      <c r="E11" s="13" t="s">
        <v>37</v>
      </c>
      <c r="F11" s="36" t="s">
        <v>398</v>
      </c>
      <c r="G11" s="37"/>
      <c r="H11" s="38" t="s">
        <v>38</v>
      </c>
      <c r="I11" s="39" t="s">
        <v>474</v>
      </c>
      <c r="J11" s="40"/>
      <c r="K11" s="41" t="s">
        <v>39</v>
      </c>
      <c r="L11" s="36" t="s">
        <v>514</v>
      </c>
      <c r="M11" s="42"/>
      <c r="N11" s="49" t="s">
        <v>40</v>
      </c>
      <c r="O11" s="50" t="s">
        <v>581</v>
      </c>
      <c r="P11" s="51" t="s">
        <v>597</v>
      </c>
    </row>
    <row r="12" s="31" customFormat="1">
      <c r="A12" s="46" t="s">
        <v>41</v>
      </c>
      <c r="B12" s="47" t="s">
        <v>288</v>
      </c>
      <c r="C12" s="48" t="s">
        <v>289</v>
      </c>
      <c r="D12" s="35"/>
      <c r="E12" s="13" t="s">
        <v>42</v>
      </c>
      <c r="F12" s="36" t="s">
        <v>403</v>
      </c>
      <c r="G12" s="37"/>
      <c r="H12" s="38" t="s">
        <v>43</v>
      </c>
      <c r="I12" s="39" t="s">
        <v>478</v>
      </c>
      <c r="J12" s="40"/>
      <c r="K12" s="41" t="s">
        <v>44</v>
      </c>
      <c r="L12" s="36" t="s">
        <v>515</v>
      </c>
      <c r="M12" s="42"/>
      <c r="N12" s="49" t="s">
        <v>45</v>
      </c>
      <c r="O12" s="50" t="s">
        <v>583</v>
      </c>
      <c r="P12" s="51" t="s">
        <v>598</v>
      </c>
    </row>
    <row r="13" s="31" customFormat="1">
      <c r="A13" s="46" t="s">
        <v>46</v>
      </c>
      <c r="B13" s="157" t="s">
        <v>290</v>
      </c>
      <c r="C13" s="48" t="s">
        <v>291</v>
      </c>
      <c r="D13" s="35"/>
      <c r="E13" s="13" t="s">
        <v>47</v>
      </c>
      <c r="F13" s="36" t="s">
        <v>408</v>
      </c>
      <c r="G13" s="37"/>
      <c r="H13" s="52" t="s">
        <v>48</v>
      </c>
      <c r="I13" s="109" t="s">
        <v>654</v>
      </c>
      <c r="J13" s="54"/>
      <c r="K13" s="41" t="s">
        <v>49</v>
      </c>
      <c r="L13" s="36" t="s">
        <v>516</v>
      </c>
      <c r="M13" s="42"/>
      <c r="N13" s="49" t="s">
        <v>50</v>
      </c>
      <c r="O13" s="50" t="s">
        <v>584</v>
      </c>
      <c r="P13" s="51" t="s">
        <v>599</v>
      </c>
    </row>
    <row r="14" s="31" customFormat="1">
      <c r="A14" s="46" t="s">
        <v>51</v>
      </c>
      <c r="B14" s="47" t="s">
        <v>292</v>
      </c>
      <c r="C14" s="48" t="s">
        <v>293</v>
      </c>
      <c r="D14" s="35"/>
      <c r="E14" s="13" t="s">
        <v>52</v>
      </c>
      <c r="F14" s="36" t="s">
        <v>411</v>
      </c>
      <c r="G14" s="37"/>
      <c r="H14" s="55" t="s">
        <v>659</v>
      </c>
      <c r="I14" s="60" t="s">
        <v>660</v>
      </c>
      <c r="J14" s="54"/>
      <c r="K14" s="41" t="s">
        <v>54</v>
      </c>
      <c r="L14" s="57" t="s">
        <v>517</v>
      </c>
      <c r="M14" s="42"/>
      <c r="N14" s="58"/>
      <c r="O14" s="36"/>
      <c r="P14" s="51"/>
    </row>
    <row r="15" s="31" customFormat="1">
      <c r="A15" s="46" t="s">
        <v>55</v>
      </c>
      <c r="B15" s="47" t="s">
        <v>294</v>
      </c>
      <c r="C15" s="48" t="s">
        <v>295</v>
      </c>
      <c r="D15" s="35"/>
      <c r="E15" s="13" t="s">
        <v>56</v>
      </c>
      <c r="F15" s="36" t="s">
        <v>412</v>
      </c>
      <c r="G15" s="37"/>
      <c r="H15" s="55" t="s">
        <v>53</v>
      </c>
      <c r="I15" s="56" t="s">
        <v>481</v>
      </c>
      <c r="J15" s="42"/>
      <c r="K15" s="61"/>
      <c r="L15" s="62">
        <f>SUM(L7:L14)</f>
        <v>0</v>
      </c>
      <c r="M15" s="42"/>
      <c r="N15" s="63"/>
      <c r="O15" s="64"/>
      <c r="P15" s="51"/>
    </row>
    <row r="16" s="31" customFormat="1">
      <c r="A16" s="46" t="s">
        <v>57</v>
      </c>
      <c r="B16" s="47" t="s">
        <v>296</v>
      </c>
      <c r="C16" s="48" t="s">
        <v>297</v>
      </c>
      <c r="D16" s="35"/>
      <c r="E16" s="61"/>
      <c r="F16" s="65"/>
      <c r="G16" s="42"/>
      <c r="J16" s="42"/>
      <c r="K16" s="59"/>
      <c r="L16" s="60"/>
      <c r="M16" s="42"/>
      <c r="N16" s="63"/>
      <c r="O16" s="64"/>
      <c r="P16" s="51"/>
    </row>
    <row r="17" s="31" customFormat="1">
      <c r="A17" s="46" t="s">
        <v>58</v>
      </c>
      <c r="B17" s="47" t="s">
        <v>298</v>
      </c>
      <c r="C17" s="48" t="s">
        <v>299</v>
      </c>
      <c r="D17" s="35"/>
      <c r="E17" s="66" t="s">
        <v>59</v>
      </c>
      <c r="F17" s="67" t="s">
        <v>422</v>
      </c>
      <c r="G17" s="37"/>
      <c r="H17" s="59"/>
      <c r="I17" s="60"/>
      <c r="J17" s="42"/>
      <c r="K17" s="59"/>
      <c r="L17" s="60"/>
      <c r="M17" s="42"/>
      <c r="N17" s="63"/>
      <c r="O17" s="64"/>
      <c r="P17" s="51"/>
    </row>
    <row r="18" s="31" customFormat="1">
      <c r="A18" s="46" t="s">
        <v>60</v>
      </c>
      <c r="B18" s="47" t="s">
        <v>300</v>
      </c>
      <c r="C18" s="48" t="s">
        <v>301</v>
      </c>
      <c r="D18" s="35"/>
      <c r="E18" s="13" t="s">
        <v>61</v>
      </c>
      <c r="F18" s="36" t="s">
        <v>413</v>
      </c>
      <c r="G18" s="37"/>
      <c r="H18" s="68"/>
      <c r="I18" s="39"/>
      <c r="J18" s="40"/>
      <c r="K18" s="59"/>
      <c r="L18" s="60"/>
      <c r="M18" s="37"/>
      <c r="N18" s="63"/>
      <c r="O18" s="64"/>
      <c r="P18" s="51"/>
    </row>
    <row r="19" s="31" customFormat="1">
      <c r="A19" s="46" t="s">
        <v>62</v>
      </c>
      <c r="B19" s="47" t="s">
        <v>302</v>
      </c>
      <c r="C19" s="48" t="s">
        <v>303</v>
      </c>
      <c r="D19" s="35"/>
      <c r="E19" s="13" t="s">
        <v>63</v>
      </c>
      <c r="F19" s="36" t="s">
        <v>414</v>
      </c>
      <c r="G19" s="37"/>
      <c r="H19" s="68"/>
      <c r="I19" s="39"/>
      <c r="J19" s="40"/>
      <c r="K19" s="59"/>
      <c r="L19" s="60"/>
      <c r="M19" s="37"/>
      <c r="N19" s="63"/>
      <c r="O19" s="64"/>
      <c r="P19" s="51"/>
    </row>
    <row r="20" s="31" customFormat="1">
      <c r="A20" s="46" t="s">
        <v>64</v>
      </c>
      <c r="B20" s="47" t="s">
        <v>304</v>
      </c>
      <c r="C20" s="48" t="s">
        <v>305</v>
      </c>
      <c r="D20" s="35"/>
      <c r="E20" s="13" t="s">
        <v>65</v>
      </c>
      <c r="F20" s="36" t="s">
        <v>415</v>
      </c>
      <c r="G20" s="37"/>
      <c r="H20" s="68"/>
      <c r="I20" s="39"/>
      <c r="J20" s="40"/>
      <c r="K20" s="59"/>
      <c r="L20" s="60"/>
      <c r="M20" s="37"/>
      <c r="N20" s="63"/>
      <c r="O20" s="64"/>
      <c r="P20" s="51"/>
    </row>
    <row r="21" s="31" customFormat="1">
      <c r="A21" s="46" t="s">
        <v>66</v>
      </c>
      <c r="B21" s="47" t="s">
        <v>306</v>
      </c>
      <c r="C21" s="48" t="s">
        <v>307</v>
      </c>
      <c r="D21" s="69"/>
      <c r="E21" s="13" t="s">
        <v>67</v>
      </c>
      <c r="F21" s="36" t="s">
        <v>416</v>
      </c>
      <c r="G21" s="37"/>
      <c r="H21" s="68"/>
      <c r="I21" s="39"/>
      <c r="J21" s="40"/>
      <c r="K21" s="59"/>
      <c r="L21" s="60"/>
      <c r="M21" s="37"/>
      <c r="N21" s="59"/>
      <c r="O21" s="60"/>
      <c r="P21" s="70"/>
    </row>
    <row r="22" s="31" customFormat="1">
      <c r="A22" s="46" t="s">
        <v>68</v>
      </c>
      <c r="B22" s="47" t="s">
        <v>308</v>
      </c>
      <c r="C22" s="48" t="s">
        <v>309</v>
      </c>
      <c r="D22" s="69"/>
      <c r="E22" s="13" t="s">
        <v>69</v>
      </c>
      <c r="F22" s="36" t="s">
        <v>417</v>
      </c>
      <c r="G22" s="37"/>
      <c r="H22" s="68"/>
      <c r="I22" s="39"/>
      <c r="J22" s="40"/>
      <c r="K22" s="59"/>
      <c r="L22" s="60"/>
      <c r="M22" s="37"/>
      <c r="N22" s="59"/>
      <c r="O22" s="60"/>
      <c r="P22" s="70"/>
    </row>
    <row r="23" s="31" customFormat="1">
      <c r="A23" s="61"/>
      <c r="B23" s="71"/>
      <c r="C23" s="72"/>
      <c r="D23" s="69"/>
      <c r="E23" s="13" t="s">
        <v>70</v>
      </c>
      <c r="F23" s="36" t="s">
        <v>418</v>
      </c>
      <c r="G23" s="37"/>
      <c r="H23" s="68"/>
      <c r="I23" s="39"/>
      <c r="J23" s="40"/>
      <c r="K23" s="59"/>
      <c r="L23" s="60"/>
      <c r="M23" s="37"/>
      <c r="N23" s="59"/>
      <c r="O23" s="60"/>
      <c r="P23" s="70"/>
    </row>
    <row r="24" s="31" customFormat="1">
      <c r="A24" s="61"/>
      <c r="B24" s="71"/>
      <c r="C24" s="72"/>
      <c r="D24" s="69"/>
      <c r="E24" s="13" t="s">
        <v>71</v>
      </c>
      <c r="F24" s="57" t="s">
        <v>419</v>
      </c>
      <c r="G24" s="37"/>
      <c r="H24" s="73"/>
      <c r="I24" s="53"/>
      <c r="J24" s="54"/>
      <c r="K24" s="59"/>
      <c r="L24" s="60"/>
      <c r="M24" s="37"/>
      <c r="N24" s="59"/>
      <c r="O24" s="60"/>
      <c r="P24" s="70"/>
    </row>
    <row r="25" s="31" customFormat="1">
      <c r="A25" s="61"/>
      <c r="B25" s="71"/>
      <c r="C25" s="72"/>
      <c r="D25" s="69"/>
      <c r="E25" s="59"/>
      <c r="F25" s="74">
        <f>SUM(F17:F24)</f>
        <v>0</v>
      </c>
      <c r="G25" s="75"/>
      <c r="H25" s="68"/>
      <c r="I25" s="53"/>
      <c r="J25" s="54"/>
      <c r="K25" s="59"/>
      <c r="L25" s="60"/>
      <c r="M25" s="37"/>
      <c r="N25" s="59"/>
      <c r="O25" s="60"/>
      <c r="P25" s="70"/>
    </row>
    <row r="26" s="31" customFormat="1">
      <c r="A26" s="166" t="s">
        <v>72</v>
      </c>
      <c r="B26" s="167"/>
      <c r="C26" s="168"/>
      <c r="D26" s="69"/>
      <c r="E26" s="166" t="s">
        <v>73</v>
      </c>
      <c r="F26" s="168"/>
      <c r="G26" s="42"/>
      <c r="H26" s="166" t="s">
        <v>74</v>
      </c>
      <c r="I26" s="168"/>
      <c r="J26" s="42"/>
      <c r="K26" s="166" t="s">
        <v>75</v>
      </c>
      <c r="L26" s="168"/>
      <c r="M26" s="75"/>
      <c r="N26" s="166" t="s">
        <v>76</v>
      </c>
      <c r="O26" s="167"/>
      <c r="P26" s="168"/>
    </row>
    <row r="27" s="31" customFormat="1">
      <c r="A27" s="43" t="s">
        <v>77</v>
      </c>
      <c r="B27" s="76" t="s">
        <v>563</v>
      </c>
      <c r="C27" s="45" t="s">
        <v>564</v>
      </c>
      <c r="D27" s="69"/>
      <c r="E27" s="77" t="s">
        <v>78</v>
      </c>
      <c r="F27" s="78" t="s">
        <v>433</v>
      </c>
      <c r="G27" s="37">
        <v>1</v>
      </c>
      <c r="H27" s="43" t="s">
        <v>79</v>
      </c>
      <c r="I27" s="79" t="s">
        <v>484</v>
      </c>
      <c r="J27" s="42"/>
      <c r="K27" s="77" t="s">
        <v>80</v>
      </c>
      <c r="L27" s="78" t="s">
        <v>531</v>
      </c>
      <c r="M27" s="42"/>
      <c r="N27" s="43" t="s">
        <v>81</v>
      </c>
      <c r="O27" s="80" t="s">
        <v>593</v>
      </c>
      <c r="P27" s="45" t="s">
        <v>600</v>
      </c>
    </row>
    <row r="28" s="31" customFormat="1">
      <c r="A28" s="81" t="s">
        <v>82</v>
      </c>
      <c r="B28" s="82" t="s">
        <v>565</v>
      </c>
      <c r="C28" s="51" t="s">
        <v>566</v>
      </c>
      <c r="D28" s="69"/>
      <c r="E28" s="41" t="s">
        <v>83</v>
      </c>
      <c r="F28" s="83" t="s">
        <v>428</v>
      </c>
      <c r="G28" s="37">
        <v>0</v>
      </c>
      <c r="H28" s="49" t="s">
        <v>84</v>
      </c>
      <c r="I28" s="84" t="s">
        <v>485</v>
      </c>
      <c r="J28" s="42"/>
      <c r="K28" s="41" t="s">
        <v>85</v>
      </c>
      <c r="L28" s="85" t="s">
        <v>532</v>
      </c>
      <c r="M28" s="42"/>
      <c r="N28" s="49" t="s">
        <v>86</v>
      </c>
      <c r="O28" s="86" t="s">
        <v>606</v>
      </c>
      <c r="P28" s="51" t="s">
        <v>607</v>
      </c>
    </row>
    <row r="29" s="31" customFormat="1">
      <c r="A29" s="49" t="s">
        <v>87</v>
      </c>
      <c r="B29" s="82" t="s">
        <v>567</v>
      </c>
      <c r="C29" s="51" t="s">
        <v>591</v>
      </c>
      <c r="D29" s="69"/>
      <c r="E29" s="87"/>
      <c r="F29" s="60"/>
      <c r="G29" s="37">
        <v>0.64370917788476278</v>
      </c>
      <c r="H29" s="88" t="s">
        <v>88</v>
      </c>
      <c r="I29" s="89" t="s">
        <v>486</v>
      </c>
      <c r="J29" s="42"/>
      <c r="K29" s="41" t="s">
        <v>89</v>
      </c>
      <c r="L29" s="85" t="s">
        <v>533</v>
      </c>
      <c r="M29" s="42"/>
      <c r="N29" s="49" t="s">
        <v>90</v>
      </c>
      <c r="O29" s="86" t="s">
        <v>612</v>
      </c>
      <c r="P29" s="51" t="s">
        <v>613</v>
      </c>
    </row>
    <row r="30" s="31" customFormat="1">
      <c r="A30" s="49" t="s">
        <v>91</v>
      </c>
      <c r="B30" s="82" t="s">
        <v>568</v>
      </c>
      <c r="C30" s="51" t="s">
        <v>569</v>
      </c>
      <c r="D30" s="69"/>
      <c r="E30" s="43" t="s">
        <v>92</v>
      </c>
      <c r="F30" s="67" t="s">
        <v>427</v>
      </c>
      <c r="G30" s="37">
        <v>0.35629082211523722</v>
      </c>
      <c r="H30" s="49" t="s">
        <v>93</v>
      </c>
      <c r="I30" s="84" t="s">
        <v>487</v>
      </c>
      <c r="J30" s="42"/>
      <c r="K30" s="87" t="s">
        <v>94</v>
      </c>
      <c r="L30" s="85" t="s">
        <v>534</v>
      </c>
      <c r="M30" s="42"/>
      <c r="N30" s="49"/>
      <c r="O30" s="86"/>
      <c r="P30" s="51"/>
    </row>
    <row r="31" s="31" customFormat="1">
      <c r="A31" s="49" t="s">
        <v>95</v>
      </c>
      <c r="B31" s="158" t="s">
        <v>570</v>
      </c>
      <c r="C31" s="51" t="s">
        <v>571</v>
      </c>
      <c r="D31" s="69"/>
      <c r="E31" s="49" t="s">
        <v>96</v>
      </c>
      <c r="F31" s="36" t="s">
        <v>432</v>
      </c>
      <c r="G31" s="37">
        <v>0.85891263684032992</v>
      </c>
      <c r="H31" s="49" t="s">
        <v>97</v>
      </c>
      <c r="I31" s="84" t="s">
        <v>488</v>
      </c>
      <c r="J31" s="42"/>
      <c r="K31" s="41" t="s">
        <v>98</v>
      </c>
      <c r="L31" s="85" t="s">
        <v>535</v>
      </c>
      <c r="M31" s="42"/>
      <c r="N31" s="87" t="s">
        <v>99</v>
      </c>
      <c r="O31" s="50" t="s">
        <v>628</v>
      </c>
      <c r="P31" s="70" t="s">
        <v>626</v>
      </c>
    </row>
    <row r="32" s="31" customFormat="1">
      <c r="A32" s="49" t="s">
        <v>681</v>
      </c>
      <c r="B32" s="158" t="s">
        <v>679</v>
      </c>
      <c r="C32" s="51" t="s">
        <v>680</v>
      </c>
      <c r="D32" s="69"/>
      <c r="E32" s="87"/>
      <c r="F32" s="60"/>
      <c r="G32" s="37">
        <v>0.12918953727269938</v>
      </c>
      <c r="H32" s="90"/>
      <c r="I32" s="91"/>
      <c r="J32" s="42"/>
      <c r="K32" s="41" t="s">
        <v>100</v>
      </c>
      <c r="L32" s="92" t="s">
        <v>536</v>
      </c>
      <c r="M32" s="42"/>
      <c r="N32" s="87" t="s">
        <v>101</v>
      </c>
      <c r="O32" s="50" t="s">
        <v>627</v>
      </c>
      <c r="P32" s="70" t="s">
        <v>629</v>
      </c>
    </row>
    <row r="33" s="31" customFormat="1">
      <c r="A33" s="81"/>
      <c r="B33" s="59"/>
      <c r="C33" s="51"/>
      <c r="D33" s="69"/>
      <c r="E33" s="43" t="s">
        <v>102</v>
      </c>
      <c r="F33" s="67" t="s">
        <v>449</v>
      </c>
      <c r="G33" s="37">
        <v>0.011897825886970654</v>
      </c>
      <c r="H33" s="81"/>
      <c r="I33" s="93"/>
      <c r="J33" s="42"/>
      <c r="K33" s="41"/>
      <c r="L33" s="74">
        <f>SUM(L27:L32)</f>
        <v>0</v>
      </c>
      <c r="M33" s="42"/>
      <c r="N33" s="87" t="s">
        <v>103</v>
      </c>
      <c r="O33" s="59" t="s">
        <v>630</v>
      </c>
      <c r="P33" s="70" t="s">
        <v>631</v>
      </c>
    </row>
    <row r="34" s="31" customFormat="1">
      <c r="A34" s="81"/>
      <c r="B34" s="82"/>
      <c r="C34" s="51"/>
      <c r="D34" s="69"/>
      <c r="E34" s="41" t="s">
        <v>104</v>
      </c>
      <c r="F34" s="36" t="s">
        <v>450</v>
      </c>
      <c r="G34" s="37">
        <v>0</v>
      </c>
      <c r="H34" s="87"/>
      <c r="I34" s="59"/>
      <c r="J34" s="42"/>
      <c r="K34" s="41"/>
      <c r="M34" s="42"/>
      <c r="N34" s="87"/>
      <c r="O34" s="59"/>
      <c r="P34" s="70"/>
    </row>
    <row r="35" s="31" customFormat="1">
      <c r="A35" s="81"/>
      <c r="B35" s="59"/>
      <c r="C35" s="51"/>
      <c r="D35" s="69"/>
      <c r="E35" s="41"/>
      <c r="F35" s="36"/>
      <c r="G35" s="37">
        <v>0.49176658182821748</v>
      </c>
      <c r="H35" s="90"/>
      <c r="I35" s="91"/>
      <c r="J35" s="42"/>
      <c r="K35" s="87"/>
      <c r="M35" s="42"/>
      <c r="N35" s="87"/>
      <c r="O35" s="59"/>
      <c r="P35" s="70"/>
    </row>
    <row r="36" s="31" customFormat="1">
      <c r="A36" s="81"/>
      <c r="B36" s="59"/>
      <c r="C36" s="51"/>
      <c r="D36" s="69"/>
      <c r="E36" s="43" t="s">
        <v>105</v>
      </c>
      <c r="F36" s="67" t="s">
        <v>451</v>
      </c>
      <c r="G36" s="37">
        <v>0</v>
      </c>
      <c r="H36" s="87"/>
      <c r="I36" s="59"/>
      <c r="J36" s="42"/>
      <c r="K36" s="43" t="s">
        <v>106</v>
      </c>
      <c r="L36" s="67" t="s">
        <v>553</v>
      </c>
      <c r="M36" s="42"/>
      <c r="N36" s="87"/>
      <c r="O36" s="59"/>
      <c r="P36" s="70"/>
    </row>
    <row r="37" s="31" customFormat="1">
      <c r="A37" s="81"/>
      <c r="B37" s="59"/>
      <c r="C37" s="51"/>
      <c r="D37" s="69"/>
      <c r="E37" s="41" t="s">
        <v>107</v>
      </c>
      <c r="F37" s="36" t="s">
        <v>452</v>
      </c>
      <c r="G37" s="37">
        <v>0</v>
      </c>
      <c r="H37" s="49"/>
      <c r="I37" s="84"/>
      <c r="J37" s="42"/>
      <c r="K37" s="49" t="s">
        <v>108</v>
      </c>
      <c r="L37" s="94" t="s">
        <v>554</v>
      </c>
      <c r="M37" s="42"/>
      <c r="N37" s="87"/>
      <c r="O37" s="59"/>
      <c r="P37" s="70"/>
    </row>
    <row r="38" s="31" customFormat="1">
      <c r="A38" s="81"/>
      <c r="B38" s="59"/>
      <c r="C38" s="51"/>
      <c r="D38" s="69"/>
      <c r="E38" s="41" t="s">
        <v>109</v>
      </c>
      <c r="F38" s="36" t="s">
        <v>453</v>
      </c>
      <c r="G38" s="37">
        <v>0.0037717334641685319</v>
      </c>
      <c r="H38" s="81"/>
      <c r="I38" s="95"/>
      <c r="J38" s="42"/>
      <c r="K38" s="49" t="s">
        <v>110</v>
      </c>
      <c r="L38" s="94" t="s">
        <v>555</v>
      </c>
      <c r="M38" s="42"/>
      <c r="N38" s="87"/>
      <c r="O38" s="59"/>
      <c r="P38" s="70"/>
    </row>
    <row r="39" s="31" customFormat="1">
      <c r="A39" s="43" t="s">
        <v>111</v>
      </c>
      <c r="B39" s="96" t="s">
        <v>374</v>
      </c>
      <c r="C39" s="45" t="s">
        <v>359</v>
      </c>
      <c r="D39" s="69"/>
      <c r="E39" s="90"/>
      <c r="F39" s="97"/>
      <c r="G39" s="98"/>
      <c r="H39" s="88"/>
      <c r="I39" s="89"/>
      <c r="J39" s="42"/>
      <c r="K39" s="49" t="s">
        <v>112</v>
      </c>
      <c r="L39" s="94" t="s">
        <v>556</v>
      </c>
      <c r="M39" s="42"/>
      <c r="N39" s="87"/>
      <c r="O39" s="59"/>
      <c r="P39" s="70"/>
    </row>
    <row r="40" s="31" customFormat="1">
      <c r="A40" s="49" t="s">
        <v>113</v>
      </c>
      <c r="B40" s="36" t="s">
        <v>375</v>
      </c>
      <c r="C40" s="99" t="s">
        <v>358</v>
      </c>
      <c r="D40" s="69"/>
      <c r="E40" s="87" t="s">
        <v>114</v>
      </c>
      <c r="F40" s="85" t="s">
        <v>454</v>
      </c>
      <c r="G40" s="98"/>
      <c r="H40" s="49" t="s">
        <v>115</v>
      </c>
      <c r="I40" s="79" t="s">
        <v>489</v>
      </c>
      <c r="J40" s="42"/>
      <c r="K40" s="49" t="s">
        <v>116</v>
      </c>
      <c r="L40" s="94" t="s">
        <v>557</v>
      </c>
      <c r="M40" s="42"/>
      <c r="N40" s="43" t="s">
        <v>117</v>
      </c>
      <c r="O40" s="80" t="s">
        <v>673</v>
      </c>
      <c r="P40" s="45" t="s">
        <v>674</v>
      </c>
    </row>
    <row r="41" s="31" customFormat="1">
      <c r="A41" s="49" t="s">
        <v>118</v>
      </c>
      <c r="B41" s="36" t="s">
        <v>376</v>
      </c>
      <c r="C41" s="99" t="s">
        <v>357</v>
      </c>
      <c r="D41" s="69"/>
      <c r="E41" s="100" t="s">
        <v>119</v>
      </c>
      <c r="F41" s="36" t="s">
        <v>455</v>
      </c>
      <c r="G41" s="98"/>
      <c r="H41" s="49" t="s">
        <v>120</v>
      </c>
      <c r="I41" s="84" t="s">
        <v>490</v>
      </c>
      <c r="J41" s="42"/>
      <c r="K41" s="49" t="s">
        <v>94</v>
      </c>
      <c r="L41" s="94" t="s">
        <v>534</v>
      </c>
      <c r="M41" s="42"/>
      <c r="N41" s="49" t="s">
        <v>121</v>
      </c>
      <c r="O41" s="86" t="s">
        <v>636</v>
      </c>
      <c r="P41" s="51" t="s">
        <v>637</v>
      </c>
    </row>
    <row r="42" s="31" customFormat="1">
      <c r="A42" s="49" t="s">
        <v>122</v>
      </c>
      <c r="B42" s="36" t="s">
        <v>377</v>
      </c>
      <c r="C42" s="99" t="s">
        <v>356</v>
      </c>
      <c r="D42" s="69"/>
      <c r="E42" s="100" t="s">
        <v>123</v>
      </c>
      <c r="F42" s="36" t="s">
        <v>456</v>
      </c>
      <c r="G42" s="98"/>
      <c r="H42" s="49" t="s">
        <v>124</v>
      </c>
      <c r="I42" s="84" t="s">
        <v>491</v>
      </c>
      <c r="J42" s="42"/>
      <c r="K42" s="49" t="s">
        <v>125</v>
      </c>
      <c r="L42" s="94" t="s">
        <v>558</v>
      </c>
      <c r="M42" s="42"/>
      <c r="N42" s="49" t="s">
        <v>126</v>
      </c>
      <c r="O42" s="86" t="s">
        <v>642</v>
      </c>
      <c r="P42" s="51" t="s">
        <v>643</v>
      </c>
    </row>
    <row r="43" s="31" customFormat="1">
      <c r="A43" s="49" t="s">
        <v>127</v>
      </c>
      <c r="B43" s="36" t="s">
        <v>378</v>
      </c>
      <c r="C43" s="99" t="s">
        <v>355</v>
      </c>
      <c r="D43" s="69"/>
      <c r="E43" s="101"/>
      <c r="F43" s="102"/>
      <c r="G43" s="98"/>
      <c r="H43" s="88"/>
      <c r="I43" s="89"/>
      <c r="J43" s="42"/>
      <c r="K43" s="81" t="s">
        <v>128</v>
      </c>
      <c r="L43" s="103" t="s">
        <v>559</v>
      </c>
      <c r="M43" s="42"/>
      <c r="N43" s="87"/>
      <c r="O43" s="60"/>
      <c r="P43" s="70"/>
    </row>
    <row r="44" s="31" customFormat="1">
      <c r="A44" s="49" t="s">
        <v>129</v>
      </c>
      <c r="B44" s="36" t="s">
        <v>379</v>
      </c>
      <c r="C44" s="70" t="s">
        <v>354</v>
      </c>
      <c r="D44" s="69"/>
      <c r="E44" s="104" t="s">
        <v>130</v>
      </c>
      <c r="F44" s="85" t="s">
        <v>461</v>
      </c>
      <c r="G44" s="98"/>
      <c r="H44" s="106" t="s">
        <v>131</v>
      </c>
      <c r="I44" s="107" t="s">
        <v>492</v>
      </c>
      <c r="J44" s="42"/>
      <c r="K44" s="49" t="s">
        <v>132</v>
      </c>
      <c r="L44" s="57" t="s">
        <v>560</v>
      </c>
      <c r="M44" s="42"/>
      <c r="N44" s="43" t="s">
        <v>133</v>
      </c>
      <c r="O44" s="80" t="s">
        <v>644</v>
      </c>
      <c r="P44" s="45" t="s">
        <v>645</v>
      </c>
    </row>
    <row r="45" s="31" customFormat="1">
      <c r="A45" s="49"/>
      <c r="B45" s="82"/>
      <c r="C45" s="70"/>
      <c r="D45" s="69"/>
      <c r="E45" s="104" t="s">
        <v>134</v>
      </c>
      <c r="F45" s="36" t="s">
        <v>462</v>
      </c>
      <c r="G45" s="98"/>
      <c r="H45" s="106" t="s">
        <v>135</v>
      </c>
      <c r="I45" s="107" t="s">
        <v>493</v>
      </c>
      <c r="J45" s="42"/>
      <c r="K45" s="49"/>
      <c r="L45" s="62">
        <f>SUM(L36:L44)</f>
        <v>0</v>
      </c>
      <c r="M45" s="42"/>
      <c r="N45" s="49" t="s">
        <v>136</v>
      </c>
      <c r="O45" s="86" t="s">
        <v>646</v>
      </c>
      <c r="P45" s="51" t="s">
        <v>647</v>
      </c>
    </row>
    <row r="46" s="31" customFormat="1">
      <c r="A46" s="49" t="s">
        <v>137</v>
      </c>
      <c r="B46" s="82" t="s">
        <v>380</v>
      </c>
      <c r="C46" s="70" t="s">
        <v>667</v>
      </c>
      <c r="D46" s="69"/>
      <c r="E46" s="104"/>
      <c r="F46" s="105"/>
      <c r="G46" s="98"/>
      <c r="H46" s="106"/>
      <c r="I46" s="107"/>
      <c r="J46" s="42"/>
      <c r="K46" s="49"/>
      <c r="L46" s="94"/>
      <c r="M46" s="108"/>
      <c r="N46" s="49" t="s">
        <v>138</v>
      </c>
      <c r="O46" s="109" t="s">
        <v>648</v>
      </c>
      <c r="P46" s="110" t="s">
        <v>649</v>
      </c>
    </row>
    <row r="47" s="31" customFormat="1">
      <c r="A47" s="49" t="s">
        <v>139</v>
      </c>
      <c r="B47" s="82" t="s">
        <v>381</v>
      </c>
      <c r="C47" s="70" t="s">
        <v>668</v>
      </c>
      <c r="D47" s="69"/>
      <c r="E47" s="104"/>
      <c r="F47" s="105"/>
      <c r="G47" s="98"/>
      <c r="H47" s="106"/>
      <c r="I47" s="107"/>
      <c r="J47" s="42"/>
      <c r="K47" s="49"/>
      <c r="L47" s="94"/>
      <c r="M47" s="108"/>
      <c r="N47" s="87"/>
      <c r="O47" s="60"/>
      <c r="P47" s="70"/>
    </row>
    <row r="48" s="31" customFormat="1">
      <c r="A48" s="90"/>
      <c r="B48" s="111">
        <f>SUM(B39:B44)</f>
        <v>0</v>
      </c>
      <c r="C48" s="112"/>
      <c r="D48" s="113"/>
      <c r="E48" s="114"/>
      <c r="F48" s="115"/>
      <c r="G48" s="116"/>
      <c r="H48" s="117"/>
      <c r="I48" s="118"/>
      <c r="J48" s="116"/>
      <c r="K48" s="90"/>
      <c r="L48" s="91"/>
      <c r="M48" s="116"/>
      <c r="N48" s="119"/>
      <c r="O48" s="120"/>
      <c r="P48" s="112"/>
    </row>
    <row r="49">
      <c r="A49" s="121"/>
      <c r="B49" s="121"/>
      <c r="C49" s="121"/>
      <c r="D49" s="121"/>
      <c r="E49" s="121"/>
      <c r="F49" s="122"/>
      <c r="G49" s="122"/>
      <c r="H49" s="121"/>
      <c r="I49" s="122"/>
      <c r="J49" s="122"/>
      <c r="K49" s="121"/>
      <c r="L49" s="122"/>
      <c r="M49" s="122"/>
      <c r="N49" s="121"/>
      <c r="O49" s="122"/>
      <c r="P49" s="121"/>
    </row>
    <row r="51" ht="12">
      <c r="A51" s="124" t="s">
        <v>140</v>
      </c>
      <c r="B51" s="125" t="s">
        <v>141</v>
      </c>
      <c r="C51" s="126"/>
      <c r="D51" s="126"/>
      <c r="E51" s="126"/>
      <c r="F51" s="127"/>
      <c r="G51" s="127"/>
      <c r="H51" s="125"/>
      <c r="I51" s="128"/>
      <c r="J51" s="128"/>
      <c r="K51" s="129" t="s">
        <v>142</v>
      </c>
      <c r="L51" s="125" t="s">
        <v>143</v>
      </c>
      <c r="M51" s="127"/>
      <c r="N51" s="125"/>
      <c r="O51" s="127"/>
      <c r="P51" s="130"/>
    </row>
    <row r="52" ht="12">
      <c r="A52" s="131" t="s">
        <v>144</v>
      </c>
      <c r="B52" s="121" t="s">
        <v>145</v>
      </c>
      <c r="C52" s="132"/>
      <c r="D52" s="132"/>
      <c r="E52" s="132"/>
      <c r="F52" s="133"/>
      <c r="G52" s="134"/>
      <c r="H52" s="132"/>
      <c r="I52" s="134"/>
      <c r="J52" s="134"/>
      <c r="K52" s="135" t="s">
        <v>146</v>
      </c>
      <c r="L52" s="121" t="s">
        <v>147</v>
      </c>
      <c r="M52" s="134"/>
      <c r="N52" s="132"/>
      <c r="O52" s="134"/>
      <c r="P52" s="136"/>
    </row>
    <row r="53" ht="12">
      <c r="A53" s="131" t="s">
        <v>148</v>
      </c>
      <c r="B53" s="121" t="s">
        <v>149</v>
      </c>
      <c r="C53" s="132"/>
      <c r="D53" s="132"/>
      <c r="E53" s="132"/>
      <c r="F53" s="133"/>
      <c r="G53" s="134"/>
      <c r="H53" s="132"/>
      <c r="I53" s="134"/>
      <c r="J53" s="134"/>
      <c r="K53" s="135" t="s">
        <v>150</v>
      </c>
      <c r="L53" s="134" t="s">
        <v>151</v>
      </c>
      <c r="M53" s="134"/>
      <c r="N53" s="132"/>
      <c r="O53" s="134"/>
      <c r="P53" s="136"/>
    </row>
    <row r="54" ht="12">
      <c r="A54" s="131" t="s">
        <v>152</v>
      </c>
      <c r="B54" s="121" t="s">
        <v>153</v>
      </c>
      <c r="C54" s="132"/>
      <c r="D54" s="132"/>
      <c r="E54" s="132"/>
      <c r="F54" s="133"/>
      <c r="G54" s="134"/>
      <c r="H54" s="132"/>
      <c r="I54" s="134"/>
      <c r="J54" s="134"/>
      <c r="K54" s="135" t="s">
        <v>154</v>
      </c>
      <c r="L54" s="134" t="s">
        <v>155</v>
      </c>
      <c r="M54" s="134"/>
      <c r="N54" s="132"/>
      <c r="O54" s="134"/>
      <c r="P54" s="136"/>
    </row>
    <row r="55" ht="12">
      <c r="A55" s="131" t="s">
        <v>156</v>
      </c>
      <c r="B55" s="121" t="s">
        <v>157</v>
      </c>
      <c r="C55" s="132"/>
      <c r="D55" s="132"/>
      <c r="E55" s="132"/>
      <c r="F55" s="133"/>
      <c r="G55" s="134"/>
      <c r="H55" s="132"/>
      <c r="I55" s="134"/>
      <c r="J55" s="134"/>
      <c r="K55" s="135" t="s">
        <v>158</v>
      </c>
      <c r="L55" s="134" t="s">
        <v>159</v>
      </c>
      <c r="M55" s="134"/>
      <c r="N55" s="132"/>
      <c r="O55" s="134"/>
      <c r="P55" s="136"/>
    </row>
    <row r="56" ht="12">
      <c r="A56" s="131" t="s">
        <v>160</v>
      </c>
      <c r="B56" s="121" t="s">
        <v>161</v>
      </c>
      <c r="C56" s="132"/>
      <c r="D56" s="132"/>
      <c r="E56" s="132"/>
      <c r="F56" s="133"/>
      <c r="G56" s="134"/>
      <c r="H56" s="132"/>
      <c r="I56" s="134"/>
      <c r="J56" s="134"/>
      <c r="K56" s="135" t="s">
        <v>162</v>
      </c>
      <c r="L56" s="134" t="s">
        <v>163</v>
      </c>
      <c r="M56" s="134"/>
      <c r="N56" s="132"/>
      <c r="O56" s="134"/>
      <c r="P56" s="136"/>
    </row>
    <row r="57" ht="12">
      <c r="A57" s="131" t="s">
        <v>164</v>
      </c>
      <c r="B57" s="121" t="s">
        <v>165</v>
      </c>
      <c r="C57" s="132"/>
      <c r="D57" s="132"/>
      <c r="E57" s="132"/>
      <c r="F57" s="133"/>
      <c r="G57" s="134"/>
      <c r="H57" s="132"/>
      <c r="I57" s="134"/>
      <c r="J57" s="134"/>
      <c r="K57" s="135" t="s">
        <v>166</v>
      </c>
      <c r="L57" s="134" t="s">
        <v>167</v>
      </c>
      <c r="M57" s="134"/>
      <c r="N57" s="132"/>
      <c r="O57" s="134"/>
      <c r="P57" s="136"/>
    </row>
    <row r="58" ht="12">
      <c r="A58" s="131" t="s">
        <v>656</v>
      </c>
      <c r="B58" s="121" t="s">
        <v>661</v>
      </c>
      <c r="C58" s="132"/>
      <c r="D58" s="132"/>
      <c r="E58" s="132"/>
      <c r="F58" s="133"/>
      <c r="G58" s="134"/>
      <c r="H58" s="132"/>
      <c r="I58" s="134"/>
      <c r="J58" s="134"/>
      <c r="K58" s="135" t="s">
        <v>662</v>
      </c>
      <c r="L58" s="134" t="s">
        <v>170</v>
      </c>
      <c r="M58" s="134"/>
      <c r="N58" s="132"/>
      <c r="O58" s="134"/>
      <c r="P58" s="136"/>
    </row>
    <row r="59" ht="12">
      <c r="A59" s="137" t="s">
        <v>168</v>
      </c>
      <c r="B59" s="138" t="s">
        <v>169</v>
      </c>
      <c r="C59" s="139"/>
      <c r="D59" s="139"/>
      <c r="E59" s="139"/>
      <c r="F59" s="140"/>
      <c r="G59" s="141"/>
      <c r="H59" s="139"/>
      <c r="I59" s="141"/>
      <c r="J59" s="141"/>
      <c r="K59" s="142"/>
      <c r="L59" s="141"/>
      <c r="M59" s="141"/>
      <c r="N59" s="139"/>
      <c r="O59" s="141"/>
      <c r="P59" s="143"/>
    </row>
    <row r="60">
      <c r="A60" s="144"/>
      <c r="B60" s="144" t="s">
        <v>171</v>
      </c>
      <c r="C60" s="144"/>
      <c r="D60" s="144"/>
      <c r="E60" s="144"/>
      <c r="F60" s="133"/>
    </row>
    <row r="61">
      <c r="B61" s="144" t="s">
        <v>172</v>
      </c>
    </row>
    <row r="63">
      <c r="E63" s="145"/>
    </row>
  </sheetData>
  <mergeCells>
    <mergeCell ref="A26:C26"/>
    <mergeCell ref="E26:F26"/>
    <mergeCell ref="H26:I26"/>
    <mergeCell ref="K26:L26"/>
    <mergeCell ref="N26:P26"/>
    <mergeCell ref="A1:P1"/>
    <mergeCell ref="A2:P2"/>
    <mergeCell ref="A6:C6"/>
    <mergeCell ref="E6:F6"/>
    <mergeCell ref="H6:I6"/>
    <mergeCell ref="K6:L6"/>
    <mergeCell ref="N6:P6"/>
  </mergeCells>
  <printOptions horizontalCentered="1"/>
  <pageMargins left="0.5" right="0.5" top="0.75" bottom="0.75" header="0.5" footer="0.5"/>
  <pageSetup scale="7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55"/>
  <sheetViews>
    <sheetView topLeftCell="C25" workbookViewId="0">
      <selection activeCell="M43" sqref="M43"/>
    </sheetView>
  </sheetViews>
  <sheetFormatPr defaultColWidth="9.140625" defaultRowHeight="15"/>
  <cols>
    <col min="1" max="1" width="22.5703125" style="147" bestFit="1" customWidth="1"/>
    <col min="2" max="2" width="26" style="147" customWidth="1"/>
    <col min="3" max="3" width="23.7109375" style="147" customWidth="1"/>
    <col min="4" max="4" width="35.5703125" style="147" bestFit="1" customWidth="1"/>
    <col min="5" max="7" width="2.7109375" style="147" customWidth="1"/>
    <col min="8" max="8" width="13.140625" style="147" bestFit="1" customWidth="1"/>
    <col min="9" max="9" width="10.85546875" style="147" bestFit="1" customWidth="1"/>
    <col min="10" max="12" width="2.7109375" style="147" customWidth="1"/>
    <col min="13" max="13" width="34.42578125" style="147" customWidth="1"/>
    <col min="14" max="14" width="40.140625" style="147" customWidth="1"/>
    <col min="15" max="16384" width="9.140625" style="147"/>
  </cols>
  <sheetData>
    <row r="3">
      <c r="A3" s="146" t="s">
        <v>173</v>
      </c>
    </row>
    <row r="4">
      <c r="A4" s="146" t="s">
        <v>174</v>
      </c>
    </row>
    <row r="5">
      <c r="A5" s="146" t="s">
        <v>175</v>
      </c>
    </row>
    <row r="8">
      <c r="A8" s="148" t="s">
        <v>176</v>
      </c>
      <c r="B8" s="148"/>
      <c r="C8" s="148"/>
      <c r="D8" s="148"/>
      <c r="H8" s="148" t="s">
        <v>177</v>
      </c>
      <c r="I8" s="148"/>
      <c r="M8" s="148" t="s">
        <v>178</v>
      </c>
      <c r="N8" s="148"/>
    </row>
    <row r="9">
      <c r="A9" s="149" t="s">
        <v>179</v>
      </c>
      <c r="B9" s="149" t="s">
        <v>180</v>
      </c>
      <c r="C9" s="149" t="s">
        <v>181</v>
      </c>
      <c r="D9" s="149" t="s">
        <v>182</v>
      </c>
      <c r="H9" s="149" t="s">
        <v>183</v>
      </c>
      <c r="I9" s="149" t="s">
        <v>184</v>
      </c>
      <c r="M9" s="149" t="s">
        <v>185</v>
      </c>
      <c r="N9" s="149" t="s">
        <v>186</v>
      </c>
    </row>
    <row r="10">
      <c r="A10" s="147" t="s">
        <v>16</v>
      </c>
      <c r="B10" s="147" t="s">
        <v>201</v>
      </c>
      <c r="C10" s="147" t="s">
        <v>203</v>
      </c>
      <c r="H10" s="150" t="s">
        <v>187</v>
      </c>
      <c r="I10" s="151">
        <v>1234.56</v>
      </c>
      <c r="M10" s="147" t="s">
        <v>144</v>
      </c>
      <c r="N10" s="147" t="s">
        <v>371</v>
      </c>
    </row>
    <row r="11">
      <c r="A11" s="147" t="s">
        <v>21</v>
      </c>
      <c r="B11" s="147" t="s">
        <v>201</v>
      </c>
      <c r="C11" s="147" t="s">
        <v>211</v>
      </c>
      <c r="H11" s="150" t="s">
        <v>188</v>
      </c>
      <c r="I11" s="152" t="s">
        <v>189</v>
      </c>
      <c r="M11" s="147" t="s">
        <v>370</v>
      </c>
      <c r="N11" s="147" t="s">
        <v>372</v>
      </c>
    </row>
    <row r="12">
      <c r="A12" s="147" t="s">
        <v>26</v>
      </c>
      <c r="B12" s="147" t="s">
        <v>201</v>
      </c>
      <c r="C12" s="147" t="s">
        <v>216</v>
      </c>
      <c r="H12" s="150" t="s">
        <v>190</v>
      </c>
      <c r="I12" s="152" t="s">
        <v>189</v>
      </c>
      <c r="M12" s="147" t="s">
        <v>140</v>
      </c>
      <c r="N12" s="147" t="s">
        <v>373</v>
      </c>
    </row>
    <row r="13">
      <c r="A13" s="147" t="s">
        <v>31</v>
      </c>
      <c r="B13" s="147" t="s">
        <v>201</v>
      </c>
      <c r="C13" s="147" t="s">
        <v>217</v>
      </c>
      <c r="H13" s="150" t="s">
        <v>191</v>
      </c>
      <c r="I13" s="151">
        <v>1234.56</v>
      </c>
      <c r="M13" s="147" t="s">
        <v>148</v>
      </c>
      <c r="N13" s="147" t="s">
        <v>463</v>
      </c>
    </row>
    <row r="14">
      <c r="A14" s="147" t="s">
        <v>36</v>
      </c>
      <c r="B14" s="147" t="s">
        <v>201</v>
      </c>
      <c r="C14" s="147" t="s">
        <v>218</v>
      </c>
      <c r="M14" s="147" t="s">
        <v>160</v>
      </c>
      <c r="N14" s="147" t="s">
        <v>466</v>
      </c>
    </row>
    <row r="15">
      <c r="A15" s="147" t="s">
        <v>41</v>
      </c>
      <c r="B15" s="147" t="s">
        <v>201</v>
      </c>
      <c r="C15" s="147" t="s">
        <v>219</v>
      </c>
      <c r="M15" s="147" t="s">
        <v>471</v>
      </c>
      <c r="N15" s="147" t="s">
        <v>472</v>
      </c>
    </row>
    <row r="16">
      <c r="A16" s="147" t="s">
        <v>46</v>
      </c>
      <c r="B16" s="147" t="s">
        <v>201</v>
      </c>
      <c r="C16" s="147" t="s">
        <v>220</v>
      </c>
      <c r="M16" s="147" t="s">
        <v>205</v>
      </c>
      <c r="N16" s="147" t="s">
        <v>202</v>
      </c>
    </row>
    <row r="17">
      <c r="A17" s="147" t="s">
        <v>51</v>
      </c>
      <c r="B17" s="147" t="s">
        <v>201</v>
      </c>
      <c r="C17" s="147" t="s">
        <v>221</v>
      </c>
      <c r="M17" s="147" t="s">
        <v>208</v>
      </c>
      <c r="N17" s="147" t="s">
        <v>207</v>
      </c>
    </row>
    <row r="18">
      <c r="A18" s="147" t="s">
        <v>55</v>
      </c>
      <c r="B18" s="147" t="s">
        <v>201</v>
      </c>
      <c r="C18" s="147" t="s">
        <v>222</v>
      </c>
      <c r="M18" s="147" t="s">
        <v>368</v>
      </c>
      <c r="N18" s="147" t="s">
        <v>369</v>
      </c>
    </row>
    <row r="19">
      <c r="A19" s="147" t="s">
        <v>57</v>
      </c>
      <c r="B19" s="147" t="s">
        <v>201</v>
      </c>
      <c r="C19" s="147" t="s">
        <v>223</v>
      </c>
      <c r="M19" s="147" t="s">
        <v>496</v>
      </c>
      <c r="N19" s="147" t="s">
        <v>494</v>
      </c>
    </row>
    <row r="20">
      <c r="A20" s="147" t="s">
        <v>58</v>
      </c>
      <c r="B20" s="147" t="s">
        <v>201</v>
      </c>
      <c r="C20" s="147" t="s">
        <v>224</v>
      </c>
      <c r="M20" s="147" t="s">
        <v>420</v>
      </c>
      <c r="N20" s="147" t="s">
        <v>421</v>
      </c>
    </row>
    <row r="21">
      <c r="A21" s="147" t="s">
        <v>60</v>
      </c>
      <c r="B21" s="147" t="s">
        <v>201</v>
      </c>
      <c r="C21" s="147" t="s">
        <v>225</v>
      </c>
      <c r="M21" s="147" t="s">
        <v>156</v>
      </c>
      <c r="N21" s="147" t="s">
        <v>495</v>
      </c>
    </row>
    <row r="22">
      <c r="A22" s="147" t="s">
        <v>62</v>
      </c>
      <c r="B22" s="147" t="s">
        <v>201</v>
      </c>
      <c r="C22" s="147" t="s">
        <v>226</v>
      </c>
      <c r="M22" s="147" t="s">
        <v>498</v>
      </c>
      <c r="N22" s="147" t="s">
        <v>499</v>
      </c>
    </row>
    <row r="23">
      <c r="A23" s="147" t="s">
        <v>64</v>
      </c>
      <c r="B23" s="147" t="s">
        <v>201</v>
      </c>
      <c r="C23" s="147" t="s">
        <v>227</v>
      </c>
      <c r="M23" s="147" t="s">
        <v>387</v>
      </c>
      <c r="N23" s="147" t="s">
        <v>388</v>
      </c>
    </row>
    <row r="24">
      <c r="A24" s="147" t="s">
        <v>66</v>
      </c>
      <c r="B24" s="147" t="s">
        <v>201</v>
      </c>
      <c r="C24" s="147" t="s">
        <v>228</v>
      </c>
      <c r="M24" s="147" t="s">
        <v>561</v>
      </c>
      <c r="N24" s="147" t="s">
        <v>562</v>
      </c>
    </row>
    <row r="25">
      <c r="A25" s="147" t="s">
        <v>68</v>
      </c>
      <c r="B25" s="147" t="s">
        <v>201</v>
      </c>
      <c r="C25" s="147" t="s">
        <v>229</v>
      </c>
      <c r="M25" s="147" t="s">
        <v>585</v>
      </c>
      <c r="N25" s="147" t="s">
        <v>586</v>
      </c>
    </row>
    <row r="26">
      <c r="A26" s="147" t="s">
        <v>383</v>
      </c>
      <c r="B26" s="147" t="s">
        <v>201</v>
      </c>
      <c r="C26" s="147" t="s">
        <v>384</v>
      </c>
      <c r="M26" s="147" t="s">
        <v>389</v>
      </c>
      <c r="N26" s="147" t="s">
        <v>390</v>
      </c>
    </row>
    <row r="27">
      <c r="A27" s="147" t="s">
        <v>385</v>
      </c>
      <c r="B27" s="147" t="s">
        <v>201</v>
      </c>
      <c r="C27" s="147" t="s">
        <v>386</v>
      </c>
      <c r="M27" s="147" t="s">
        <v>500</v>
      </c>
      <c r="N27" s="147" t="s">
        <v>501</v>
      </c>
    </row>
    <row r="28">
      <c r="A28" s="147" t="s">
        <v>399</v>
      </c>
      <c r="B28" s="147" t="s">
        <v>201</v>
      </c>
      <c r="C28" s="147" t="s">
        <v>400</v>
      </c>
      <c r="M28" s="147" t="s">
        <v>393</v>
      </c>
      <c r="N28" s="147" t="s">
        <v>394</v>
      </c>
    </row>
    <row r="29">
      <c r="A29" s="147" t="s">
        <v>404</v>
      </c>
      <c r="B29" s="147" t="s">
        <v>201</v>
      </c>
      <c r="C29" s="147" t="s">
        <v>405</v>
      </c>
      <c r="M29" s="147" t="s">
        <v>518</v>
      </c>
      <c r="N29" s="147" t="s">
        <v>502</v>
      </c>
    </row>
    <row r="30">
      <c r="A30" s="147" t="s">
        <v>160</v>
      </c>
      <c r="B30" s="147" t="s">
        <v>464</v>
      </c>
      <c r="C30" s="147" t="s">
        <v>465</v>
      </c>
      <c r="M30" s="147" t="s">
        <v>396</v>
      </c>
      <c r="N30" s="147" t="s">
        <v>397</v>
      </c>
    </row>
    <row r="31">
      <c r="A31" s="147" t="s">
        <v>470</v>
      </c>
      <c r="B31" s="147" t="s">
        <v>464</v>
      </c>
      <c r="C31" s="147" t="s">
        <v>483</v>
      </c>
      <c r="M31" s="147" t="s">
        <v>503</v>
      </c>
      <c r="N31" s="147" t="s">
        <v>504</v>
      </c>
    </row>
    <row r="32">
      <c r="A32" s="147" t="s">
        <v>475</v>
      </c>
      <c r="B32" s="147" t="s">
        <v>464</v>
      </c>
      <c r="C32" s="147" t="s">
        <v>482</v>
      </c>
      <c r="M32" s="147" t="s">
        <v>401</v>
      </c>
      <c r="N32" s="147" t="s">
        <v>402</v>
      </c>
    </row>
    <row r="33">
      <c r="A33" s="147" t="s">
        <v>650</v>
      </c>
      <c r="B33" s="147" t="s">
        <v>464</v>
      </c>
      <c r="C33" s="147" t="s">
        <v>663</v>
      </c>
      <c r="M33" s="147" t="s">
        <v>505</v>
      </c>
      <c r="N33" s="147" t="s">
        <v>506</v>
      </c>
    </row>
    <row r="34">
      <c r="A34" s="147" t="s">
        <v>655</v>
      </c>
      <c r="B34" s="147" t="s">
        <v>464</v>
      </c>
      <c r="C34" s="147" t="s">
        <v>664</v>
      </c>
      <c r="M34" s="147" t="s">
        <v>576</v>
      </c>
      <c r="N34" s="147" t="s">
        <v>577</v>
      </c>
    </row>
    <row r="35">
      <c r="M35" s="147" t="s">
        <v>587</v>
      </c>
      <c r="N35" s="147" t="s">
        <v>588</v>
      </c>
    </row>
    <row r="36">
      <c r="M36" s="147" t="s">
        <v>406</v>
      </c>
      <c r="N36" s="147" t="s">
        <v>407</v>
      </c>
    </row>
    <row r="37">
      <c r="M37" s="147" t="s">
        <v>508</v>
      </c>
      <c r="N37" s="147" t="s">
        <v>507</v>
      </c>
    </row>
    <row r="38">
      <c r="M38" s="147" t="s">
        <v>409</v>
      </c>
      <c r="N38" s="147" t="s">
        <v>410</v>
      </c>
    </row>
    <row r="39">
      <c r="M39" s="147" t="s">
        <v>509</v>
      </c>
      <c r="N39" s="147" t="s">
        <v>510</v>
      </c>
    </row>
    <row r="40">
      <c r="M40" s="147" t="s">
        <v>209</v>
      </c>
      <c r="N40" s="147" t="s">
        <v>204</v>
      </c>
    </row>
    <row r="41">
      <c r="M41" s="147" t="s">
        <v>215</v>
      </c>
      <c r="N41" s="147" t="s">
        <v>210</v>
      </c>
    </row>
    <row r="42">
      <c r="M42" s="147" t="s">
        <v>230</v>
      </c>
      <c r="N42" s="147" t="s">
        <v>231</v>
      </c>
    </row>
    <row r="43">
      <c r="M43" s="176" t="s">
        <v>233</v>
      </c>
      <c r="N43" s="147" t="s">
        <v>232</v>
      </c>
    </row>
    <row r="44">
      <c r="M44" s="147" t="s">
        <v>424</v>
      </c>
      <c r="N44" s="147" t="s">
        <v>423</v>
      </c>
    </row>
    <row r="45">
      <c r="M45" s="147" t="s">
        <v>457</v>
      </c>
      <c r="N45" s="147" t="s">
        <v>460</v>
      </c>
    </row>
    <row r="46">
      <c r="M46" s="147" t="s">
        <v>459</v>
      </c>
      <c r="N46" s="147" t="s">
        <v>458</v>
      </c>
    </row>
    <row r="47">
      <c r="M47" s="147" t="s">
        <v>234</v>
      </c>
      <c r="N47" s="147" t="s">
        <v>236</v>
      </c>
    </row>
    <row r="48">
      <c r="M48" s="147" t="s">
        <v>235</v>
      </c>
      <c r="N48" s="147" t="s">
        <v>237</v>
      </c>
    </row>
    <row r="49">
      <c r="M49" s="147" t="s">
        <v>310</v>
      </c>
      <c r="N49" s="147" t="s">
        <v>312</v>
      </c>
    </row>
    <row r="50">
      <c r="M50" s="147" t="s">
        <v>311</v>
      </c>
      <c r="N50" s="147" t="s">
        <v>313</v>
      </c>
    </row>
    <row r="51">
      <c r="M51" s="147" t="s">
        <v>238</v>
      </c>
      <c r="N51" s="147" t="s">
        <v>240</v>
      </c>
    </row>
    <row r="52">
      <c r="M52" s="147" t="s">
        <v>239</v>
      </c>
      <c r="N52" s="147" t="s">
        <v>241</v>
      </c>
    </row>
    <row r="53">
      <c r="M53" s="147" t="s">
        <v>242</v>
      </c>
      <c r="N53" s="147" t="s">
        <v>244</v>
      </c>
    </row>
    <row r="54">
      <c r="M54" s="147" t="s">
        <v>243</v>
      </c>
      <c r="N54" s="147" t="s">
        <v>245</v>
      </c>
    </row>
    <row r="55">
      <c r="M55" s="147" t="s">
        <v>246</v>
      </c>
      <c r="N55" s="147" t="s">
        <v>248</v>
      </c>
    </row>
    <row r="56">
      <c r="M56" s="147" t="s">
        <v>247</v>
      </c>
      <c r="N56" s="147" t="s">
        <v>249</v>
      </c>
    </row>
    <row r="57">
      <c r="M57" s="147" t="s">
        <v>250</v>
      </c>
      <c r="N57" s="147" t="s">
        <v>252</v>
      </c>
    </row>
    <row r="58">
      <c r="M58" s="147" t="s">
        <v>251</v>
      </c>
      <c r="N58" s="147" t="s">
        <v>253</v>
      </c>
    </row>
    <row r="59">
      <c r="M59" s="147" t="s">
        <v>254</v>
      </c>
      <c r="N59" s="147" t="s">
        <v>256</v>
      </c>
    </row>
    <row r="60">
      <c r="M60" s="147" t="s">
        <v>255</v>
      </c>
      <c r="N60" s="147" t="s">
        <v>257</v>
      </c>
    </row>
    <row r="61">
      <c r="M61" s="147" t="s">
        <v>258</v>
      </c>
      <c r="N61" s="147" t="s">
        <v>260</v>
      </c>
    </row>
    <row r="62">
      <c r="M62" s="147" t="s">
        <v>259</v>
      </c>
      <c r="N62" s="147" t="s">
        <v>261</v>
      </c>
    </row>
    <row r="63">
      <c r="M63" s="147" t="s">
        <v>262</v>
      </c>
      <c r="N63" s="147" t="s">
        <v>264</v>
      </c>
    </row>
    <row r="64">
      <c r="M64" s="147" t="s">
        <v>263</v>
      </c>
      <c r="N64" s="147" t="s">
        <v>265</v>
      </c>
    </row>
    <row r="65">
      <c r="M65" s="147" t="s">
        <v>266</v>
      </c>
      <c r="N65" s="147" t="s">
        <v>268</v>
      </c>
    </row>
    <row r="66">
      <c r="M66" s="147" t="s">
        <v>267</v>
      </c>
      <c r="N66" s="147" t="s">
        <v>269</v>
      </c>
    </row>
    <row r="67">
      <c r="M67" s="147" t="s">
        <v>272</v>
      </c>
      <c r="N67" s="147" t="s">
        <v>270</v>
      </c>
    </row>
    <row r="68">
      <c r="M68" s="147" t="s">
        <v>273</v>
      </c>
      <c r="N68" s="147" t="s">
        <v>271</v>
      </c>
    </row>
    <row r="69">
      <c r="M69" s="147" t="s">
        <v>274</v>
      </c>
      <c r="N69" s="147" t="s">
        <v>276</v>
      </c>
    </row>
    <row r="70">
      <c r="M70" s="147" t="s">
        <v>275</v>
      </c>
      <c r="N70" s="147" t="s">
        <v>277</v>
      </c>
    </row>
    <row r="71">
      <c r="M71" s="147" t="s">
        <v>278</v>
      </c>
      <c r="N71" s="147" t="s">
        <v>280</v>
      </c>
    </row>
    <row r="72">
      <c r="M72" s="147" t="s">
        <v>279</v>
      </c>
      <c r="N72" s="147" t="s">
        <v>281</v>
      </c>
    </row>
    <row r="73">
      <c r="M73" s="147" t="s">
        <v>314</v>
      </c>
      <c r="N73" s="147" t="s">
        <v>315</v>
      </c>
    </row>
    <row r="74">
      <c r="M74" s="147" t="s">
        <v>317</v>
      </c>
      <c r="N74" s="147" t="s">
        <v>316</v>
      </c>
    </row>
    <row r="75">
      <c r="M75" s="147" t="s">
        <v>318</v>
      </c>
      <c r="N75" s="147" t="s">
        <v>320</v>
      </c>
    </row>
    <row r="76">
      <c r="M76" s="147" t="s">
        <v>319</v>
      </c>
      <c r="N76" s="147" t="s">
        <v>321</v>
      </c>
    </row>
    <row r="77">
      <c r="M77" s="147" t="s">
        <v>322</v>
      </c>
      <c r="N77" s="147" t="s">
        <v>324</v>
      </c>
    </row>
    <row r="78">
      <c r="M78" s="147" t="s">
        <v>323</v>
      </c>
      <c r="N78" s="147" t="s">
        <v>325</v>
      </c>
    </row>
    <row r="79">
      <c r="M79" s="147" t="s">
        <v>326</v>
      </c>
      <c r="N79" s="147" t="s">
        <v>328</v>
      </c>
    </row>
    <row r="80">
      <c r="M80" s="147" t="s">
        <v>327</v>
      </c>
      <c r="N80" s="147" t="s">
        <v>329</v>
      </c>
    </row>
    <row r="81">
      <c r="M81" s="147" t="s">
        <v>330</v>
      </c>
      <c r="N81" s="147" t="s">
        <v>332</v>
      </c>
    </row>
    <row r="82">
      <c r="M82" s="147" t="s">
        <v>331</v>
      </c>
      <c r="N82" s="147" t="s">
        <v>333</v>
      </c>
    </row>
    <row r="83">
      <c r="M83" s="147" t="s">
        <v>334</v>
      </c>
      <c r="N83" s="147" t="s">
        <v>336</v>
      </c>
    </row>
    <row r="84">
      <c r="M84" s="147" t="s">
        <v>335</v>
      </c>
      <c r="N84" s="147" t="s">
        <v>337</v>
      </c>
    </row>
    <row r="85">
      <c r="M85" s="147" t="s">
        <v>338</v>
      </c>
      <c r="N85" s="147" t="s">
        <v>340</v>
      </c>
    </row>
    <row r="86">
      <c r="M86" s="147" t="s">
        <v>339</v>
      </c>
      <c r="N86" s="147" t="s">
        <v>341</v>
      </c>
    </row>
    <row r="87">
      <c r="M87" s="147" t="s">
        <v>342</v>
      </c>
      <c r="N87" s="147" t="s">
        <v>343</v>
      </c>
    </row>
    <row r="88">
      <c r="M88" s="147" t="s">
        <v>353</v>
      </c>
      <c r="N88" s="147" t="s">
        <v>344</v>
      </c>
    </row>
    <row r="89">
      <c r="M89" s="147" t="s">
        <v>345</v>
      </c>
      <c r="N89" s="147" t="s">
        <v>346</v>
      </c>
    </row>
    <row r="90">
      <c r="M90" s="147" t="s">
        <v>347</v>
      </c>
      <c r="N90" s="147" t="s">
        <v>348</v>
      </c>
    </row>
    <row r="91">
      <c r="M91" s="147" t="s">
        <v>349</v>
      </c>
      <c r="N91" s="147" t="s">
        <v>350</v>
      </c>
    </row>
    <row r="92">
      <c r="M92" s="147" t="s">
        <v>351</v>
      </c>
      <c r="N92" s="147" t="s">
        <v>352</v>
      </c>
    </row>
    <row r="93">
      <c r="M93" s="147" t="s">
        <v>360</v>
      </c>
      <c r="N93" s="147" t="s">
        <v>362</v>
      </c>
    </row>
    <row r="94">
      <c r="M94" s="147" t="s">
        <v>361</v>
      </c>
      <c r="N94" s="147" t="s">
        <v>363</v>
      </c>
    </row>
    <row r="95">
      <c r="M95" s="147" t="s">
        <v>364</v>
      </c>
      <c r="N95" s="147" t="s">
        <v>366</v>
      </c>
    </row>
    <row r="96">
      <c r="M96" s="147" t="s">
        <v>365</v>
      </c>
      <c r="N96" s="147" t="s">
        <v>367</v>
      </c>
    </row>
    <row r="97">
      <c r="M97" s="147" t="s">
        <v>425</v>
      </c>
      <c r="N97" s="147" t="s">
        <v>426</v>
      </c>
    </row>
    <row r="98">
      <c r="M98" s="147" t="s">
        <v>429</v>
      </c>
      <c r="N98" s="147" t="s">
        <v>431</v>
      </c>
    </row>
    <row r="99">
      <c r="M99" s="147" t="s">
        <v>434</v>
      </c>
      <c r="N99" s="147" t="s">
        <v>435</v>
      </c>
    </row>
    <row r="100">
      <c r="M100" s="147" t="s">
        <v>436</v>
      </c>
      <c r="N100" s="147" t="s">
        <v>430</v>
      </c>
    </row>
    <row r="101">
      <c r="M101" s="147" t="s">
        <v>437</v>
      </c>
      <c r="N101" s="147" t="s">
        <v>438</v>
      </c>
    </row>
    <row r="102">
      <c r="M102" s="147" t="s">
        <v>439</v>
      </c>
      <c r="N102" s="147" t="s">
        <v>440</v>
      </c>
    </row>
    <row r="103">
      <c r="M103" s="147" t="s">
        <v>441</v>
      </c>
      <c r="N103" s="147" t="s">
        <v>442</v>
      </c>
    </row>
    <row r="104">
      <c r="M104" s="147" t="s">
        <v>443</v>
      </c>
      <c r="N104" s="147" t="s">
        <v>444</v>
      </c>
    </row>
    <row r="105">
      <c r="M105" s="147" t="s">
        <v>445</v>
      </c>
      <c r="N105" s="147" t="s">
        <v>446</v>
      </c>
    </row>
    <row r="106">
      <c r="M106" s="147" t="s">
        <v>447</v>
      </c>
      <c r="N106" s="147" t="s">
        <v>448</v>
      </c>
    </row>
    <row r="108">
      <c r="M108" s="147" t="s">
        <v>476</v>
      </c>
      <c r="N108" s="147" t="s">
        <v>477</v>
      </c>
    </row>
    <row r="109">
      <c r="M109" s="147" t="s">
        <v>479</v>
      </c>
      <c r="N109" s="147" t="s">
        <v>480</v>
      </c>
    </row>
    <row r="110">
      <c r="M110" s="147" t="s">
        <v>651</v>
      </c>
      <c r="N110" s="147" t="s">
        <v>653</v>
      </c>
    </row>
    <row r="111">
      <c r="M111" s="147" t="s">
        <v>652</v>
      </c>
      <c r="N111" s="147" t="s">
        <v>657</v>
      </c>
    </row>
    <row r="112">
      <c r="M112" s="147" t="s">
        <v>656</v>
      </c>
      <c r="N112" s="147" t="s">
        <v>658</v>
      </c>
    </row>
    <row r="113">
      <c r="M113" s="147" t="s">
        <v>519</v>
      </c>
      <c r="N113" s="147" t="s">
        <v>520</v>
      </c>
    </row>
    <row r="114">
      <c r="M114" s="147" t="s">
        <v>521</v>
      </c>
      <c r="N114" s="147" t="s">
        <v>522</v>
      </c>
    </row>
    <row r="115">
      <c r="M115" s="147" t="s">
        <v>524</v>
      </c>
      <c r="N115" s="147" t="s">
        <v>523</v>
      </c>
    </row>
    <row r="116">
      <c r="M116" s="147" t="s">
        <v>525</v>
      </c>
      <c r="N116" s="147" t="s">
        <v>526</v>
      </c>
    </row>
    <row r="117">
      <c r="M117" s="147" t="s">
        <v>527</v>
      </c>
      <c r="N117" s="147" t="s">
        <v>528</v>
      </c>
    </row>
    <row r="118">
      <c r="M118" s="147" t="s">
        <v>529</v>
      </c>
      <c r="N118" s="147" t="s">
        <v>530</v>
      </c>
    </row>
    <row r="119">
      <c r="M119" s="147" t="s">
        <v>537</v>
      </c>
      <c r="N119" s="147" t="s">
        <v>538</v>
      </c>
    </row>
    <row r="120">
      <c r="M120" s="147" t="s">
        <v>539</v>
      </c>
      <c r="N120" s="147" t="s">
        <v>540</v>
      </c>
    </row>
    <row r="121">
      <c r="M121" s="147" t="s">
        <v>541</v>
      </c>
      <c r="N121" s="147" t="s">
        <v>542</v>
      </c>
    </row>
    <row r="122">
      <c r="M122" s="147" t="s">
        <v>543</v>
      </c>
      <c r="N122" s="147" t="s">
        <v>544</v>
      </c>
    </row>
    <row r="123">
      <c r="M123" s="147" t="s">
        <v>545</v>
      </c>
      <c r="N123" s="147" t="s">
        <v>546</v>
      </c>
    </row>
    <row r="125">
      <c r="M125" s="147" t="s">
        <v>547</v>
      </c>
      <c r="N125" s="147" t="s">
        <v>548</v>
      </c>
    </row>
    <row r="126">
      <c r="M126" s="147" t="s">
        <v>549</v>
      </c>
      <c r="N126" s="147" t="s">
        <v>550</v>
      </c>
    </row>
    <row r="127">
      <c r="M127" s="147" t="s">
        <v>551</v>
      </c>
      <c r="N127" s="147" t="s">
        <v>552</v>
      </c>
    </row>
    <row r="128">
      <c r="M128" s="147" t="s">
        <v>578</v>
      </c>
      <c r="N128" s="147" t="s">
        <v>579</v>
      </c>
    </row>
    <row r="129">
      <c r="M129" s="147" t="s">
        <v>589</v>
      </c>
      <c r="N129" s="147" t="s">
        <v>590</v>
      </c>
    </row>
    <row r="130">
      <c r="M130" s="147" t="s">
        <v>575</v>
      </c>
      <c r="N130" s="147" t="s">
        <v>580</v>
      </c>
    </row>
    <row r="131">
      <c r="M131" s="147" t="s">
        <v>592</v>
      </c>
      <c r="N131" s="147" t="s">
        <v>665</v>
      </c>
    </row>
    <row r="132">
      <c r="M132" s="147" t="s">
        <v>601</v>
      </c>
      <c r="N132" s="147" t="s">
        <v>666</v>
      </c>
    </row>
    <row r="133">
      <c r="M133" s="147" t="s">
        <v>602</v>
      </c>
      <c r="N133" s="147" t="s">
        <v>603</v>
      </c>
    </row>
    <row r="134">
      <c r="M134" s="147" t="s">
        <v>604</v>
      </c>
      <c r="N134" s="147" t="s">
        <v>605</v>
      </c>
    </row>
    <row r="135">
      <c r="M135" s="147" t="s">
        <v>608</v>
      </c>
      <c r="N135" s="147" t="s">
        <v>609</v>
      </c>
    </row>
    <row r="136">
      <c r="M136" s="147" t="s">
        <v>610</v>
      </c>
      <c r="N136" s="147" t="s">
        <v>611</v>
      </c>
    </row>
    <row r="138">
      <c r="M138" s="147" t="s">
        <v>614</v>
      </c>
      <c r="N138" s="147" t="s">
        <v>620</v>
      </c>
    </row>
    <row r="139">
      <c r="M139" s="147" t="s">
        <v>615</v>
      </c>
      <c r="N139" s="147" t="s">
        <v>621</v>
      </c>
    </row>
    <row r="140">
      <c r="M140" s="147" t="s">
        <v>616</v>
      </c>
      <c r="N140" s="147" t="s">
        <v>622</v>
      </c>
    </row>
    <row r="141">
      <c r="M141" s="147" t="s">
        <v>617</v>
      </c>
      <c r="N141" s="147" t="s">
        <v>623</v>
      </c>
    </row>
    <row r="142">
      <c r="M142" s="147" t="s">
        <v>618</v>
      </c>
      <c r="N142" s="147" t="s">
        <v>624</v>
      </c>
    </row>
    <row r="143">
      <c r="M143" s="147" t="s">
        <v>619</v>
      </c>
      <c r="N143" s="147" t="s">
        <v>625</v>
      </c>
    </row>
    <row r="145">
      <c r="M145" s="147" t="s">
        <v>634</v>
      </c>
      <c r="N145" s="147" t="s">
        <v>632</v>
      </c>
    </row>
    <row r="146">
      <c r="M146" s="147" t="s">
        <v>635</v>
      </c>
      <c r="N146" s="147" t="s">
        <v>633</v>
      </c>
    </row>
    <row r="148">
      <c r="M148" s="147" t="s">
        <v>638</v>
      </c>
      <c r="N148" s="147" t="s">
        <v>640</v>
      </c>
    </row>
    <row r="149">
      <c r="M149" s="147" t="s">
        <v>639</v>
      </c>
      <c r="N149" s="147" t="s">
        <v>641</v>
      </c>
    </row>
    <row r="151">
      <c r="M151" s="159" t="s">
        <v>669</v>
      </c>
      <c r="N151" s="159" t="s">
        <v>671</v>
      </c>
    </row>
    <row r="152">
      <c r="M152" s="159" t="s">
        <v>670</v>
      </c>
      <c r="N152" s="159" t="s">
        <v>672</v>
      </c>
    </row>
    <row r="154">
      <c r="M154" s="159" t="s">
        <v>675</v>
      </c>
      <c r="N154" s="159" t="s">
        <v>677</v>
      </c>
    </row>
    <row r="155">
      <c r="M155" s="159" t="s">
        <v>676</v>
      </c>
      <c r="N155" s="159" t="s">
        <v>678</v>
      </c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Project Metrics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2022-10-20T20:30:27Z</dcterms:created>
  <dcterms:modified xsi:type="dcterms:W3CDTF">2022-10-20T20:30:27Z</dcterms:modified>
</cp:coreProperties>
</file>