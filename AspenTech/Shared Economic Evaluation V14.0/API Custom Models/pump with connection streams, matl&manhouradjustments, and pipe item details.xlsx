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35" windowWidth="15480" windowHeight="11640"/>
  </bookViews>
  <sheets>
    <sheet name="Input" sheetId="1" r:id="rId1"/>
    <sheet name="Custom Rules" sheetId="2" r:id="rId2"/>
    <sheet name="Output" sheetId="3" r:id="rId3"/>
  </sheets>
  <calcPr calcId="125725"/>
</workbook>
</file>

<file path=xl/calcChain.xml><?xml version="1.0" encoding="utf-8"?>
<calcChain xmlns="http://schemas.openxmlformats.org/spreadsheetml/2006/main">
  <c r="R13" i="2"/>
  <c r="R35" s="1"/>
  <c r="C102" i="3" s="1"/>
  <c r="R12" i="2"/>
  <c r="R34"/>
  <c r="C101" i="3" s="1"/>
  <c r="R11" i="2"/>
  <c r="R33" s="1"/>
  <c r="C100" i="3" s="1"/>
  <c r="R7" i="2"/>
  <c r="R29" s="1"/>
  <c r="C73" i="3" s="1"/>
  <c r="R6" i="2"/>
  <c r="R28" s="1"/>
  <c r="C72" i="3" s="1"/>
  <c r="R5" i="2"/>
  <c r="R27"/>
  <c r="C71" i="3" s="1"/>
  <c r="R4" i="2"/>
  <c r="R26" s="1"/>
  <c r="C70" i="3" s="1"/>
  <c r="N16" i="2"/>
  <c r="F9"/>
  <c r="F10"/>
  <c r="N38"/>
  <c r="C10" i="3" s="1"/>
  <c r="O7" i="2"/>
  <c r="O6"/>
  <c r="O28" s="1"/>
  <c r="O5"/>
  <c r="O4"/>
  <c r="O26" s="1"/>
  <c r="N7"/>
  <c r="N6"/>
  <c r="N5"/>
  <c r="N4"/>
  <c r="N26" s="1"/>
  <c r="N39"/>
  <c r="F7"/>
  <c r="F34" s="1"/>
  <c r="F8"/>
  <c r="F35" s="1"/>
  <c r="N36" s="1"/>
  <c r="C6" i="3" s="1"/>
  <c r="N27" i="2"/>
  <c r="O27"/>
  <c r="O29"/>
  <c r="N28"/>
  <c r="N29"/>
  <c r="G8"/>
  <c r="G35" s="1"/>
  <c r="G9"/>
  <c r="G36" s="1"/>
  <c r="G10"/>
  <c r="G37" s="1"/>
  <c r="G7"/>
  <c r="G34" s="1"/>
  <c r="F36"/>
  <c r="F37"/>
  <c r="N3"/>
  <c r="F6"/>
  <c r="N25"/>
  <c r="F33"/>
  <c r="N12"/>
  <c r="N35" s="1"/>
  <c r="N13"/>
  <c r="N15"/>
  <c r="N14"/>
  <c r="O14"/>
  <c r="O37" s="1"/>
  <c r="O15"/>
  <c r="O38" s="1"/>
  <c r="O13"/>
  <c r="O36" s="1"/>
  <c r="F62" i="3"/>
  <c r="E62"/>
  <c r="F61"/>
  <c r="E61"/>
  <c r="F60"/>
  <c r="E60"/>
  <c r="F59"/>
  <c r="E59"/>
  <c r="F58"/>
  <c r="E58"/>
  <c r="F57"/>
  <c r="E57"/>
  <c r="F56"/>
  <c r="E56"/>
  <c r="F55"/>
  <c r="E55"/>
  <c r="F54"/>
  <c r="E54"/>
  <c r="F53"/>
  <c r="E53"/>
  <c r="F52"/>
  <c r="E52"/>
  <c r="F51"/>
  <c r="E51"/>
  <c r="F50"/>
  <c r="E50"/>
  <c r="F49"/>
  <c r="E49"/>
  <c r="F48"/>
  <c r="E48"/>
  <c r="F47"/>
  <c r="E47"/>
  <c r="F46"/>
  <c r="E46"/>
  <c r="F45"/>
  <c r="E45"/>
  <c r="F44"/>
  <c r="E44"/>
  <c r="F43"/>
  <c r="E43"/>
  <c r="F42"/>
  <c r="E42"/>
  <c r="F41"/>
  <c r="E41"/>
  <c r="C13"/>
  <c r="C5"/>
  <c r="D5"/>
  <c r="C8"/>
  <c r="D8"/>
  <c r="C9"/>
  <c r="D9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41"/>
  <c r="N37" i="2" l="1"/>
  <c r="C7" i="3" s="1"/>
</calcChain>
</file>

<file path=xl/sharedStrings.xml><?xml version="1.0" encoding="utf-8"?>
<sst xmlns="http://schemas.openxmlformats.org/spreadsheetml/2006/main" count="168" uniqueCount="67">
  <si>
    <t>CpDesignGaugePressure</t>
  </si>
  <si>
    <t>CpDesignTemperature</t>
  </si>
  <si>
    <t>CpItemDescription</t>
  </si>
  <si>
    <t>CpLiquidFlowrate</t>
  </si>
  <si>
    <t>Base Stream</t>
  </si>
  <si>
    <t>Description</t>
  </si>
  <si>
    <t>Liquid Conductivity</t>
  </si>
  <si>
    <t>Liquid Mass Density</t>
  </si>
  <si>
    <t>Liquid Mass Flow</t>
  </si>
  <si>
    <t>Liquid Specific Heat Capacity</t>
  </si>
  <si>
    <t>Liquid Viscosity</t>
  </si>
  <si>
    <t>Molecular Weight</t>
  </si>
  <si>
    <t>Pressure</t>
  </si>
  <si>
    <t>Primary Fluid Component</t>
  </si>
  <si>
    <t>Solid Mass Density</t>
  </si>
  <si>
    <t>Solid Mass Flow</t>
  </si>
  <si>
    <t>Surface Tension</t>
  </si>
  <si>
    <t>Temperature</t>
  </si>
  <si>
    <t>Total Mass Flow</t>
  </si>
  <si>
    <t>Vapor Conductivity</t>
  </si>
  <si>
    <t>Vapor Mass Density</t>
  </si>
  <si>
    <t>Vapor Mass Flow</t>
  </si>
  <si>
    <t>Vapor Specific Heat Capacity</t>
  </si>
  <si>
    <t>Vapor Viscosity</t>
  </si>
  <si>
    <t>Value</t>
  </si>
  <si>
    <t>Units</t>
  </si>
  <si>
    <t>Stream Name</t>
  </si>
  <si>
    <t>Connection Stream Information</t>
  </si>
  <si>
    <t>Item Information</t>
  </si>
  <si>
    <t>Equipment Name</t>
  </si>
  <si>
    <t>User Model Output Template</t>
  </si>
  <si>
    <t>Stream Direction</t>
  </si>
  <si>
    <t>User Model Input Template</t>
  </si>
  <si>
    <t>CpFluidSpecificGravity</t>
  </si>
  <si>
    <t>CpPumpEfficiencyPercent</t>
  </si>
  <si>
    <t>PUMP FRACTIONAL EFFICIENCY</t>
  </si>
  <si>
    <t>DCP CENTRIF</t>
  </si>
  <si>
    <t>Component Name</t>
  </si>
  <si>
    <t>Design Guage Pressure</t>
  </si>
  <si>
    <t>Design Temperature</t>
  </si>
  <si>
    <t>Liquid Flow Rate</t>
  </si>
  <si>
    <t>Pump Overdesign Factor</t>
  </si>
  <si>
    <t>CUSTOMIZED Project Component</t>
  </si>
  <si>
    <t>Custom Rules</t>
  </si>
  <si>
    <r>
      <t>(Overdesign Factor)</t>
    </r>
    <r>
      <rPr>
        <vertAlign val="subscript"/>
        <sz val="10"/>
        <color indexed="10"/>
        <rFont val="Arial"/>
        <family val="2"/>
      </rPr>
      <t>custom</t>
    </r>
    <r>
      <rPr>
        <sz val="10"/>
        <color indexed="10"/>
        <rFont val="Arial"/>
        <family val="2"/>
      </rPr>
      <t xml:space="preserve"> = 1.4 * (Overdesign Factor)</t>
    </r>
    <r>
      <rPr>
        <vertAlign val="subscript"/>
        <sz val="10"/>
        <color indexed="10"/>
        <rFont val="Arial"/>
        <family val="2"/>
      </rPr>
      <t>Icarus</t>
    </r>
  </si>
  <si>
    <r>
      <t>T</t>
    </r>
    <r>
      <rPr>
        <vertAlign val="subscript"/>
        <sz val="10"/>
        <color indexed="10"/>
        <rFont val="Arial"/>
        <family val="2"/>
      </rPr>
      <t>custom</t>
    </r>
    <r>
      <rPr>
        <sz val="10"/>
        <color indexed="10"/>
        <rFont val="Arial"/>
        <family val="2"/>
      </rPr>
      <t xml:space="preserve"> = Ticarus(high) +50</t>
    </r>
  </si>
  <si>
    <r>
      <t>P</t>
    </r>
    <r>
      <rPr>
        <vertAlign val="subscript"/>
        <sz val="10"/>
        <color indexed="10"/>
        <rFont val="Arial"/>
        <family val="2"/>
      </rPr>
      <t>custom</t>
    </r>
    <r>
      <rPr>
        <sz val="10"/>
        <color indexed="10"/>
        <rFont val="Arial"/>
        <family val="2"/>
      </rPr>
      <t xml:space="preserve"> = Picarus(high) * 1.1</t>
    </r>
  </si>
  <si>
    <t>Liquid Density</t>
  </si>
  <si>
    <t>Project Component</t>
  </si>
  <si>
    <t>Capacity overdesign factor</t>
  </si>
  <si>
    <t>Capacity Overdesign Factor</t>
  </si>
  <si>
    <t>This template has been designed to be used for a DCP Centrif Pump with a single input stream and single output stream.</t>
  </si>
  <si>
    <t>Material and Manhour Adjustment Information</t>
  </si>
  <si>
    <t>Pipe Bulk Item Detail Information</t>
  </si>
  <si>
    <t>Line Name</t>
  </si>
  <si>
    <t>CpETraceMaintenanceTemperature</t>
  </si>
  <si>
    <t>CpPipeDesignTemperature</t>
  </si>
  <si>
    <t>CpCivilLaborAdjustmentPercent</t>
  </si>
  <si>
    <t>CpCivilMaterialAdjustmentPercent</t>
  </si>
  <si>
    <t>CpElectricalLaborAdjustmentPercent</t>
  </si>
  <si>
    <t>CpElectricalMaterialAdjustmentPct</t>
  </si>
  <si>
    <t>Bulk Adjustments</t>
  </si>
  <si>
    <t>Material and Manhour Adjustment Information: Add 4% to Icarus adjustments values</t>
  </si>
  <si>
    <t>Pipe Bulk Item Detail Information: Add 50 degrees to Icarus temperature values</t>
  </si>
  <si>
    <t>PSIG</t>
  </si>
  <si>
    <t>DEG F</t>
  </si>
  <si>
    <t>CFH</t>
  </si>
</sst>
</file>

<file path=xl/styles.xml><?xml version="1.0" encoding="utf-8"?>
<styleSheet xmlns="http://schemas.openxmlformats.org/spreadsheetml/2006/main">
  <numFmts count="1">
    <numFmt numFmtId="164" formatCode="0.0000"/>
  </numFmts>
  <fonts count="1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b/>
      <i/>
      <sz val="10"/>
      <color indexed="10"/>
      <name val="Arial"/>
      <family val="2"/>
    </font>
    <font>
      <vertAlign val="subscript"/>
      <sz val="10"/>
      <color indexed="10"/>
      <name val="Arial"/>
      <family val="2"/>
    </font>
    <font>
      <b/>
      <sz val="10"/>
      <color indexed="10"/>
      <name val="Arial"/>
      <family val="2"/>
    </font>
    <font>
      <i/>
      <sz val="10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/>
    <xf numFmtId="0" fontId="0" fillId="2" borderId="5" xfId="0" applyFill="1" applyBorder="1"/>
    <xf numFmtId="49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49" fontId="1" fillId="0" borderId="9" xfId="0" applyNumberFormat="1" applyFont="1" applyBorder="1"/>
    <xf numFmtId="0" fontId="1" fillId="0" borderId="10" xfId="0" applyFont="1" applyBorder="1"/>
    <xf numFmtId="164" fontId="1" fillId="0" borderId="11" xfId="0" applyNumberFormat="1" applyFont="1" applyBorder="1"/>
    <xf numFmtId="0" fontId="2" fillId="3" borderId="5" xfId="0" applyFont="1" applyFill="1" applyBorder="1"/>
    <xf numFmtId="0" fontId="0" fillId="3" borderId="12" xfId="0" applyFill="1" applyBorder="1"/>
    <xf numFmtId="164" fontId="1" fillId="0" borderId="6" xfId="0" applyNumberFormat="1" applyFont="1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0" fontId="0" fillId="3" borderId="5" xfId="0" applyFill="1" applyBorder="1"/>
    <xf numFmtId="0" fontId="0" fillId="2" borderId="13" xfId="0" applyFill="1" applyBorder="1"/>
    <xf numFmtId="0" fontId="1" fillId="2" borderId="14" xfId="0" applyFont="1" applyFill="1" applyBorder="1"/>
    <xf numFmtId="0" fontId="1" fillId="0" borderId="11" xfId="0" applyFont="1" applyBorder="1"/>
    <xf numFmtId="0" fontId="5" fillId="0" borderId="0" xfId="0" applyFont="1"/>
    <xf numFmtId="0" fontId="9" fillId="0" borderId="0" xfId="0" applyFont="1"/>
    <xf numFmtId="0" fontId="11" fillId="4" borderId="0" xfId="0" applyFont="1" applyFill="1"/>
    <xf numFmtId="0" fontId="10" fillId="4" borderId="0" xfId="0" applyFont="1" applyFill="1"/>
    <xf numFmtId="0" fontId="0" fillId="4" borderId="0" xfId="0" applyFill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164" fontId="13" fillId="0" borderId="11" xfId="0" applyNumberFormat="1" applyFont="1" applyBorder="1"/>
    <xf numFmtId="0" fontId="0" fillId="2" borderId="12" xfId="0" applyFill="1" applyBorder="1"/>
    <xf numFmtId="164" fontId="1" fillId="0" borderId="18" xfId="0" applyNumberFormat="1" applyFont="1" applyBorder="1"/>
    <xf numFmtId="0" fontId="1" fillId="5" borderId="4" xfId="0" applyFont="1" applyFill="1" applyBorder="1"/>
    <xf numFmtId="0" fontId="1" fillId="5" borderId="1" xfId="0" applyFont="1" applyFill="1" applyBorder="1"/>
    <xf numFmtId="0" fontId="0" fillId="6" borderId="2" xfId="0" applyFill="1" applyBorder="1"/>
    <xf numFmtId="0" fontId="0" fillId="6" borderId="12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13" xfId="0" applyFill="1" applyBorder="1"/>
    <xf numFmtId="0" fontId="2" fillId="3" borderId="12" xfId="0" applyFont="1" applyFill="1" applyBorder="1"/>
    <xf numFmtId="0" fontId="1" fillId="5" borderId="14" xfId="0" applyFont="1" applyFill="1" applyBorder="1"/>
    <xf numFmtId="0" fontId="7" fillId="0" borderId="19" xfId="0" applyFont="1" applyFill="1" applyBorder="1" applyAlignment="1">
      <alignment horizontal="right"/>
    </xf>
    <xf numFmtId="0" fontId="7" fillId="0" borderId="20" xfId="0" applyFont="1" applyFill="1" applyBorder="1" applyAlignment="1">
      <alignment horizontal="right"/>
    </xf>
    <xf numFmtId="0" fontId="7" fillId="0" borderId="21" xfId="0" applyFont="1" applyFill="1" applyBorder="1" applyAlignment="1">
      <alignment horizontal="right"/>
    </xf>
    <xf numFmtId="0" fontId="7" fillId="0" borderId="22" xfId="0" applyFont="1" applyFill="1" applyBorder="1" applyAlignment="1">
      <alignment horizontal="right"/>
    </xf>
    <xf numFmtId="0" fontId="7" fillId="0" borderId="23" xfId="0" applyFont="1" applyFill="1" applyBorder="1" applyAlignment="1">
      <alignment horizontal="right"/>
    </xf>
    <xf numFmtId="0" fontId="7" fillId="0" borderId="16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10" fillId="0" borderId="22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22" xfId="0" applyFont="1" applyFill="1" applyBorder="1" applyAlignment="1">
      <alignment horizontal="left"/>
    </xf>
    <xf numFmtId="0" fontId="8" fillId="7" borderId="24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" fillId="7" borderId="14" xfId="0" applyFont="1" applyFill="1" applyBorder="1"/>
    <xf numFmtId="1" fontId="1" fillId="0" borderId="18" xfId="0" applyNumberFormat="1" applyFont="1" applyBorder="1"/>
    <xf numFmtId="1" fontId="1" fillId="0" borderId="10" xfId="0" applyNumberFormat="1" applyFont="1" applyBorder="1"/>
    <xf numFmtId="1" fontId="1" fillId="0" borderId="17" xfId="0" applyNumberFormat="1" applyFont="1" applyBorder="1"/>
    <xf numFmtId="1" fontId="13" fillId="0" borderId="18" xfId="0" applyNumberFormat="1" applyFont="1" applyBorder="1"/>
    <xf numFmtId="1" fontId="13" fillId="0" borderId="10" xfId="0" applyNumberFormat="1" applyFont="1" applyBorder="1"/>
    <xf numFmtId="1" fontId="13" fillId="0" borderId="17" xfId="0" applyNumberFormat="1" applyFont="1" applyBorder="1"/>
    <xf numFmtId="0" fontId="3" fillId="0" borderId="0" xfId="0" applyFont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right"/>
    </xf>
    <xf numFmtId="0" fontId="7" fillId="0" borderId="16" xfId="0" applyFont="1" applyFill="1" applyBorder="1" applyAlignment="1">
      <alignment horizontal="right"/>
    </xf>
    <xf numFmtId="0" fontId="4" fillId="7" borderId="19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4" fillId="7" borderId="30" xfId="0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8" fillId="7" borderId="32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right"/>
    </xf>
    <xf numFmtId="0" fontId="0" fillId="0" borderId="16" xfId="0" applyFill="1" applyBorder="1"/>
    <xf numFmtId="0" fontId="8" fillId="5" borderId="2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0</xdr:row>
      <xdr:rowOff>142875</xdr:rowOff>
    </xdr:from>
    <xdr:to>
      <xdr:col>9</xdr:col>
      <xdr:colOff>104775</xdr:colOff>
      <xdr:row>5</xdr:row>
      <xdr:rowOff>28575</xdr:rowOff>
    </xdr:to>
    <xdr:sp macro="" textlink="">
      <xdr:nvSpPr>
        <xdr:cNvPr id="1033" name="Line 9"/>
        <xdr:cNvSpPr>
          <a:spLocks noChangeShapeType="1"/>
        </xdr:cNvSpPr>
      </xdr:nvSpPr>
      <xdr:spPr bwMode="auto">
        <a:xfrm>
          <a:off x="6581775" y="142875"/>
          <a:ext cx="0" cy="7620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4</xdr:row>
      <xdr:rowOff>152400</xdr:rowOff>
    </xdr:from>
    <xdr:to>
      <xdr:col>9</xdr:col>
      <xdr:colOff>1114425</xdr:colOff>
      <xdr:row>16</xdr:row>
      <xdr:rowOff>85725</xdr:rowOff>
    </xdr:to>
    <xdr:grpSp>
      <xdr:nvGrpSpPr>
        <xdr:cNvPr id="1030" name="Group 6"/>
        <xdr:cNvGrpSpPr>
          <a:grpSpLocks/>
        </xdr:cNvGrpSpPr>
      </xdr:nvGrpSpPr>
      <xdr:grpSpPr bwMode="auto">
        <a:xfrm>
          <a:off x="5562600" y="857250"/>
          <a:ext cx="2019300" cy="1962150"/>
          <a:chOff x="311" y="170"/>
          <a:chExt cx="251" cy="244"/>
        </a:xfrm>
      </xdr:grpSpPr>
      <xdr:sp macro="" textlink="">
        <xdr:nvSpPr>
          <xdr:cNvPr id="1026" name="AutoShape 2"/>
          <xdr:cNvSpPr>
            <a:spLocks noChangeArrowheads="1"/>
          </xdr:cNvSpPr>
        </xdr:nvSpPr>
        <xdr:spPr bwMode="auto">
          <a:xfrm flipV="1">
            <a:off x="311" y="323"/>
            <a:ext cx="251" cy="91"/>
          </a:xfrm>
          <a:custGeom>
            <a:avLst/>
            <a:gdLst>
              <a:gd name="G0" fmla="+- 5249 0 0"/>
              <a:gd name="G1" fmla="+- 21600 0 5249"/>
              <a:gd name="G2" fmla="*/ 5249 1 2"/>
              <a:gd name="G3" fmla="+- 21600 0 G2"/>
              <a:gd name="G4" fmla="+/ 5249 21600 2"/>
              <a:gd name="G5" fmla="+/ G1 0 2"/>
              <a:gd name="G6" fmla="*/ 21600 21600 5249"/>
              <a:gd name="G7" fmla="*/ G6 1 2"/>
              <a:gd name="G8" fmla="+- 21600 0 G7"/>
              <a:gd name="G9" fmla="*/ 21600 1 2"/>
              <a:gd name="G10" fmla="+- 5249 0 G9"/>
              <a:gd name="G11" fmla="?: G10 G8 0"/>
              <a:gd name="G12" fmla="?: G10 G7 21600"/>
              <a:gd name="T0" fmla="*/ 18975 w 21600"/>
              <a:gd name="T1" fmla="*/ 10800 h 21600"/>
              <a:gd name="T2" fmla="*/ 10800 w 21600"/>
              <a:gd name="T3" fmla="*/ 21600 h 21600"/>
              <a:gd name="T4" fmla="*/ 2625 w 21600"/>
              <a:gd name="T5" fmla="*/ 10800 h 21600"/>
              <a:gd name="T6" fmla="*/ 10800 w 21600"/>
              <a:gd name="T7" fmla="*/ 0 h 21600"/>
              <a:gd name="T8" fmla="*/ 4425 w 21600"/>
              <a:gd name="T9" fmla="*/ 4425 h 21600"/>
              <a:gd name="T10" fmla="*/ 17175 w 21600"/>
              <a:gd name="T11" fmla="*/ 17175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249" y="21600"/>
                </a:lnTo>
                <a:lnTo>
                  <a:pt x="16351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FF"/>
            </a:solidFill>
            <a:miter lim="800000"/>
            <a:headEnd/>
            <a:tailEnd/>
          </a:ln>
        </xdr:spPr>
      </xdr:sp>
      <xdr:sp macro="" textlink="">
        <xdr:nvSpPr>
          <xdr:cNvPr id="1025" name="Oval 1"/>
          <xdr:cNvSpPr>
            <a:spLocks noChangeArrowheads="1"/>
          </xdr:cNvSpPr>
        </xdr:nvSpPr>
        <xdr:spPr bwMode="auto">
          <a:xfrm>
            <a:off x="326" y="170"/>
            <a:ext cx="211" cy="201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FF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9525</xdr:colOff>
      <xdr:row>14</xdr:row>
      <xdr:rowOff>66675</xdr:rowOff>
    </xdr:from>
    <xdr:to>
      <xdr:col>7</xdr:col>
      <xdr:colOff>552450</xdr:colOff>
      <xdr:row>14</xdr:row>
      <xdr:rowOff>66675</xdr:rowOff>
    </xdr:to>
    <xdr:sp macro="" textlink="">
      <xdr:nvSpPr>
        <xdr:cNvPr id="1031" name="Line 7"/>
        <xdr:cNvSpPr>
          <a:spLocks noChangeShapeType="1"/>
        </xdr:cNvSpPr>
      </xdr:nvSpPr>
      <xdr:spPr bwMode="auto">
        <a:xfrm>
          <a:off x="923925" y="2466975"/>
          <a:ext cx="488632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104775</xdr:colOff>
      <xdr:row>0</xdr:row>
      <xdr:rowOff>152400</xdr:rowOff>
    </xdr:from>
    <xdr:to>
      <xdr:col>15</xdr:col>
      <xdr:colOff>581025</xdr:colOff>
      <xdr:row>1</xdr:row>
      <xdr:rowOff>0</xdr:rowOff>
    </xdr:to>
    <xdr:sp macro="" textlink="">
      <xdr:nvSpPr>
        <xdr:cNvPr id="1032" name="Line 8"/>
        <xdr:cNvSpPr>
          <a:spLocks noChangeShapeType="1"/>
        </xdr:cNvSpPr>
      </xdr:nvSpPr>
      <xdr:spPr bwMode="auto">
        <a:xfrm flipV="1">
          <a:off x="6581775" y="152400"/>
          <a:ext cx="5991225" cy="952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47625</xdr:colOff>
      <xdr:row>22</xdr:row>
      <xdr:rowOff>123825</xdr:rowOff>
    </xdr:from>
    <xdr:to>
      <xdr:col>9</xdr:col>
      <xdr:colOff>47625</xdr:colOff>
      <xdr:row>27</xdr:row>
      <xdr:rowOff>95250</xdr:rowOff>
    </xdr:to>
    <xdr:sp macro="" textlink="">
      <xdr:nvSpPr>
        <xdr:cNvPr id="1037" name="Line 13"/>
        <xdr:cNvSpPr>
          <a:spLocks noChangeShapeType="1"/>
        </xdr:cNvSpPr>
      </xdr:nvSpPr>
      <xdr:spPr bwMode="auto">
        <a:xfrm>
          <a:off x="6524625" y="3829050"/>
          <a:ext cx="0" cy="93345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247650</xdr:colOff>
      <xdr:row>27</xdr:row>
      <xdr:rowOff>57150</xdr:rowOff>
    </xdr:from>
    <xdr:to>
      <xdr:col>10</xdr:col>
      <xdr:colOff>0</xdr:colOff>
      <xdr:row>39</xdr:row>
      <xdr:rowOff>133350</xdr:rowOff>
    </xdr:to>
    <xdr:grpSp>
      <xdr:nvGrpSpPr>
        <xdr:cNvPr id="1038" name="Group 14"/>
        <xdr:cNvGrpSpPr>
          <a:grpSpLocks/>
        </xdr:cNvGrpSpPr>
      </xdr:nvGrpSpPr>
      <xdr:grpSpPr bwMode="auto">
        <a:xfrm>
          <a:off x="5505450" y="4724400"/>
          <a:ext cx="2076450" cy="2143125"/>
          <a:chOff x="311" y="170"/>
          <a:chExt cx="251" cy="244"/>
        </a:xfrm>
      </xdr:grpSpPr>
      <xdr:sp macro="" textlink="">
        <xdr:nvSpPr>
          <xdr:cNvPr id="1039" name="AutoShape 15"/>
          <xdr:cNvSpPr>
            <a:spLocks noChangeArrowheads="1"/>
          </xdr:cNvSpPr>
        </xdr:nvSpPr>
        <xdr:spPr bwMode="auto">
          <a:xfrm flipV="1">
            <a:off x="311" y="323"/>
            <a:ext cx="251" cy="91"/>
          </a:xfrm>
          <a:custGeom>
            <a:avLst/>
            <a:gdLst>
              <a:gd name="G0" fmla="+- 5249 0 0"/>
              <a:gd name="G1" fmla="+- 21600 0 5249"/>
              <a:gd name="G2" fmla="*/ 5249 1 2"/>
              <a:gd name="G3" fmla="+- 21600 0 G2"/>
              <a:gd name="G4" fmla="+/ 5249 21600 2"/>
              <a:gd name="G5" fmla="+/ G1 0 2"/>
              <a:gd name="G6" fmla="*/ 21600 21600 5249"/>
              <a:gd name="G7" fmla="*/ G6 1 2"/>
              <a:gd name="G8" fmla="+- 21600 0 G7"/>
              <a:gd name="G9" fmla="*/ 21600 1 2"/>
              <a:gd name="G10" fmla="+- 5249 0 G9"/>
              <a:gd name="G11" fmla="?: G10 G8 0"/>
              <a:gd name="G12" fmla="?: G10 G7 21600"/>
              <a:gd name="T0" fmla="*/ 18975 w 21600"/>
              <a:gd name="T1" fmla="*/ 10800 h 21600"/>
              <a:gd name="T2" fmla="*/ 10800 w 21600"/>
              <a:gd name="T3" fmla="*/ 21600 h 21600"/>
              <a:gd name="T4" fmla="*/ 2625 w 21600"/>
              <a:gd name="T5" fmla="*/ 10800 h 21600"/>
              <a:gd name="T6" fmla="*/ 10800 w 21600"/>
              <a:gd name="T7" fmla="*/ 0 h 21600"/>
              <a:gd name="T8" fmla="*/ 4425 w 21600"/>
              <a:gd name="T9" fmla="*/ 4425 h 21600"/>
              <a:gd name="T10" fmla="*/ 17175 w 21600"/>
              <a:gd name="T11" fmla="*/ 17175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249" y="21600"/>
                </a:lnTo>
                <a:lnTo>
                  <a:pt x="16351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FF00FF"/>
            </a:solidFill>
            <a:miter lim="800000"/>
            <a:headEnd/>
            <a:tailEnd/>
          </a:ln>
        </xdr:spPr>
      </xdr:sp>
      <xdr:sp macro="" textlink="">
        <xdr:nvSpPr>
          <xdr:cNvPr id="1040" name="Oval 16"/>
          <xdr:cNvSpPr>
            <a:spLocks noChangeArrowheads="1"/>
          </xdr:cNvSpPr>
        </xdr:nvSpPr>
        <xdr:spPr bwMode="auto">
          <a:xfrm>
            <a:off x="326" y="170"/>
            <a:ext cx="211" cy="201"/>
          </a:xfrm>
          <a:prstGeom prst="ellipse">
            <a:avLst/>
          </a:prstGeom>
          <a:solidFill>
            <a:srgbClr val="C0C0C0"/>
          </a:solidFill>
          <a:ln w="9525">
            <a:solidFill>
              <a:srgbClr val="FF00FF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0</xdr:colOff>
      <xdr:row>37</xdr:row>
      <xdr:rowOff>85725</xdr:rowOff>
    </xdr:from>
    <xdr:to>
      <xdr:col>7</xdr:col>
      <xdr:colOff>504825</xdr:colOff>
      <xdr:row>37</xdr:row>
      <xdr:rowOff>85725</xdr:rowOff>
    </xdr:to>
    <xdr:sp macro="" textlink="">
      <xdr:nvSpPr>
        <xdr:cNvPr id="1041" name="Line 17"/>
        <xdr:cNvSpPr>
          <a:spLocks noChangeShapeType="1"/>
        </xdr:cNvSpPr>
      </xdr:nvSpPr>
      <xdr:spPr bwMode="auto">
        <a:xfrm>
          <a:off x="914400" y="6486525"/>
          <a:ext cx="484822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38100</xdr:colOff>
      <xdr:row>22</xdr:row>
      <xdr:rowOff>123825</xdr:rowOff>
    </xdr:from>
    <xdr:to>
      <xdr:col>15</xdr:col>
      <xdr:colOff>390525</xdr:colOff>
      <xdr:row>22</xdr:row>
      <xdr:rowOff>133350</xdr:rowOff>
    </xdr:to>
    <xdr:sp macro="" textlink="">
      <xdr:nvSpPr>
        <xdr:cNvPr id="1042" name="Line 18"/>
        <xdr:cNvSpPr>
          <a:spLocks noChangeShapeType="1"/>
        </xdr:cNvSpPr>
      </xdr:nvSpPr>
      <xdr:spPr bwMode="auto">
        <a:xfrm flipV="1">
          <a:off x="6515100" y="3829050"/>
          <a:ext cx="5867400" cy="952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28575</xdr:colOff>
      <xdr:row>19</xdr:row>
      <xdr:rowOff>38100</xdr:rowOff>
    </xdr:from>
    <xdr:to>
      <xdr:col>15</xdr:col>
      <xdr:colOff>485775</xdr:colOff>
      <xdr:row>19</xdr:row>
      <xdr:rowOff>38100</xdr:rowOff>
    </xdr:to>
    <xdr:sp macro="" textlink="">
      <xdr:nvSpPr>
        <xdr:cNvPr id="1047" name="Line 23"/>
        <xdr:cNvSpPr>
          <a:spLocks noChangeShapeType="1"/>
        </xdr:cNvSpPr>
      </xdr:nvSpPr>
      <xdr:spPr bwMode="auto">
        <a:xfrm>
          <a:off x="333375" y="3257550"/>
          <a:ext cx="12144375" cy="0"/>
        </a:xfrm>
        <a:prstGeom prst="line">
          <a:avLst/>
        </a:prstGeom>
        <a:noFill/>
        <a:ln w="38100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102"/>
  <sheetViews>
    <sheetView tabSelected="1" workbookViewId="0"/>
  </sheetViews>
  <sheetFormatPr defaultColWidth="9.140625" defaultRowHeight="12.75"/>
  <cols>
    <col min="1" max="1" width="11.7109375" customWidth="1"/>
    <col min="2" max="2" width="43.85546875" bestFit="1" customWidth="1"/>
    <col min="3" max="3" width="34.28515625" bestFit="1" customWidth="1"/>
    <col min="4" max="4" width="15.7109375" bestFit="1" customWidth="1"/>
    <col min="5" max="5" width="32" bestFit="1" customWidth="1"/>
    <col min="6" max="6" width="15.7109375" bestFit="1" customWidth="1"/>
    <col min="7" max="7" width="6.28515625" bestFit="1" customWidth="1"/>
    <col min="8" max="8" width="5.42578125" bestFit="1" customWidth="1"/>
  </cols>
  <sheetData>
    <row r="1" spans="2:5">
      <c r="B1" s="64" t="s">
        <v>51</v>
      </c>
      <c r="C1" s="64"/>
      <c r="D1" s="64"/>
      <c r="E1" s="64"/>
    </row>
    <row r="2" spans="2:5" ht="13.5" thickBot="1">
      <c r="B2" s="60" t="s">
        <v>32</v>
      </c>
      <c r="C2" s="60"/>
      <c r="D2" s="60"/>
    </row>
    <row r="3" spans="2:5" ht="13.5" thickBot="1">
      <c r="B3" s="61" t="s">
        <v>36</v>
      </c>
      <c r="C3" s="62"/>
      <c r="D3" s="63"/>
    </row>
    <row r="4" spans="2:5" ht="13.5" thickBot="1">
      <c r="B4" s="4" t="s">
        <v>28</v>
      </c>
      <c r="C4" s="19" t="s">
        <v>24</v>
      </c>
      <c r="D4" s="19" t="s">
        <v>25</v>
      </c>
    </row>
    <row r="5" spans="2:5">
      <c r="B5" s="13" t="s">
        <v>29</v>
      </c>
      <c r="C5" s="11"/>
      <c r="D5" s="10"/>
    </row>
    <row r="6" spans="2:5">
      <c r="B6" s="5" t="s">
        <v>0</v>
      </c>
      <c r="C6" s="11"/>
      <c r="D6" s="10" t="s">
        <v>64</v>
      </c>
    </row>
    <row r="7" spans="2:5">
      <c r="B7" s="2" t="s">
        <v>1</v>
      </c>
      <c r="C7" s="11"/>
      <c r="D7" s="10" t="s">
        <v>65</v>
      </c>
    </row>
    <row r="8" spans="2:5">
      <c r="B8" s="2" t="s">
        <v>33</v>
      </c>
      <c r="C8" s="11"/>
      <c r="D8" s="10"/>
    </row>
    <row r="9" spans="2:5">
      <c r="B9" s="2" t="s">
        <v>2</v>
      </c>
      <c r="C9" s="11"/>
      <c r="D9" s="10"/>
    </row>
    <row r="10" spans="2:5">
      <c r="B10" s="2" t="s">
        <v>3</v>
      </c>
      <c r="C10" s="20"/>
      <c r="D10" s="10" t="s">
        <v>66</v>
      </c>
    </row>
    <row r="11" spans="2:5">
      <c r="B11" s="2" t="s">
        <v>34</v>
      </c>
      <c r="C11" s="20"/>
      <c r="D11" s="10"/>
    </row>
    <row r="12" spans="2:5">
      <c r="B12" s="2" t="s">
        <v>35</v>
      </c>
      <c r="C12" s="20"/>
      <c r="D12" s="10"/>
    </row>
    <row r="13" spans="2:5" ht="13.5" thickBot="1">
      <c r="B13" s="18" t="s">
        <v>50</v>
      </c>
      <c r="C13" s="26"/>
      <c r="D13" s="28"/>
    </row>
    <row r="39" spans="2:6" ht="13.5" thickBot="1"/>
    <row r="40" spans="2:6" ht="13.5" thickBot="1">
      <c r="B40" s="4" t="s">
        <v>27</v>
      </c>
      <c r="C40" s="4" t="s">
        <v>24</v>
      </c>
      <c r="D40" s="1" t="s">
        <v>25</v>
      </c>
      <c r="E40" s="4" t="s">
        <v>24</v>
      </c>
      <c r="F40" s="1" t="s">
        <v>25</v>
      </c>
    </row>
    <row r="41" spans="2:6">
      <c r="B41" s="12" t="s">
        <v>26</v>
      </c>
      <c r="C41" s="7"/>
      <c r="D41" s="6"/>
      <c r="E41" s="7"/>
      <c r="F41" s="6"/>
    </row>
    <row r="42" spans="2:6">
      <c r="B42" s="12" t="s">
        <v>31</v>
      </c>
      <c r="C42" s="7"/>
      <c r="D42" s="6"/>
      <c r="E42" s="7"/>
      <c r="F42" s="6"/>
    </row>
    <row r="43" spans="2:6">
      <c r="B43" s="2" t="s">
        <v>4</v>
      </c>
      <c r="C43" s="7"/>
      <c r="D43" s="6"/>
      <c r="E43" s="7"/>
      <c r="F43" s="6"/>
    </row>
    <row r="44" spans="2:6">
      <c r="B44" s="2" t="s">
        <v>5</v>
      </c>
      <c r="C44" s="7"/>
      <c r="D44" s="6"/>
      <c r="E44" s="7"/>
      <c r="F44" s="6"/>
    </row>
    <row r="45" spans="2:6">
      <c r="B45" s="2" t="s">
        <v>6</v>
      </c>
      <c r="C45" s="7"/>
      <c r="D45" s="6"/>
      <c r="E45" s="7"/>
      <c r="F45" s="6"/>
    </row>
    <row r="46" spans="2:6">
      <c r="B46" s="2" t="s">
        <v>7</v>
      </c>
      <c r="C46" s="7"/>
      <c r="D46" s="6"/>
      <c r="E46" s="7"/>
      <c r="F46" s="6"/>
    </row>
    <row r="47" spans="2:6">
      <c r="B47" s="2" t="s">
        <v>8</v>
      </c>
      <c r="C47" s="7"/>
      <c r="D47" s="6"/>
      <c r="E47" s="7"/>
      <c r="F47" s="6"/>
    </row>
    <row r="48" spans="2:6">
      <c r="B48" s="2" t="s">
        <v>9</v>
      </c>
      <c r="C48" s="7"/>
      <c r="D48" s="6"/>
      <c r="E48" s="7"/>
      <c r="F48" s="6"/>
    </row>
    <row r="49" spans="2:6">
      <c r="B49" s="2" t="s">
        <v>10</v>
      </c>
      <c r="C49" s="7"/>
      <c r="D49" s="6"/>
      <c r="E49" s="7"/>
      <c r="F49" s="6"/>
    </row>
    <row r="50" spans="2:6">
      <c r="B50" s="2" t="s">
        <v>11</v>
      </c>
      <c r="C50" s="7"/>
      <c r="D50" s="6"/>
      <c r="E50" s="7"/>
      <c r="F50" s="6"/>
    </row>
    <row r="51" spans="2:6">
      <c r="B51" s="2" t="s">
        <v>12</v>
      </c>
      <c r="C51" s="7"/>
      <c r="D51" s="6"/>
      <c r="E51" s="7"/>
      <c r="F51" s="6"/>
    </row>
    <row r="52" spans="2:6">
      <c r="B52" s="2" t="s">
        <v>13</v>
      </c>
      <c r="C52" s="7"/>
      <c r="D52" s="6"/>
      <c r="E52" s="7"/>
      <c r="F52" s="6"/>
    </row>
    <row r="53" spans="2:6">
      <c r="B53" s="2" t="s">
        <v>14</v>
      </c>
      <c r="C53" s="7"/>
      <c r="D53" s="6"/>
      <c r="E53" s="7"/>
      <c r="F53" s="6"/>
    </row>
    <row r="54" spans="2:6">
      <c r="B54" s="2" t="s">
        <v>15</v>
      </c>
      <c r="C54" s="7"/>
      <c r="D54" s="6"/>
      <c r="E54" s="7"/>
      <c r="F54" s="6"/>
    </row>
    <row r="55" spans="2:6">
      <c r="B55" s="2" t="s">
        <v>16</v>
      </c>
      <c r="C55" s="7"/>
      <c r="D55" s="6"/>
      <c r="E55" s="7"/>
      <c r="F55" s="6"/>
    </row>
    <row r="56" spans="2:6">
      <c r="B56" s="2" t="s">
        <v>17</v>
      </c>
      <c r="C56" s="7"/>
      <c r="D56" s="6"/>
      <c r="E56" s="7"/>
      <c r="F56" s="6"/>
    </row>
    <row r="57" spans="2:6">
      <c r="B57" s="2" t="s">
        <v>18</v>
      </c>
      <c r="C57" s="7"/>
      <c r="D57" s="6"/>
      <c r="E57" s="7"/>
      <c r="F57" s="6"/>
    </row>
    <row r="58" spans="2:6">
      <c r="B58" s="2" t="s">
        <v>19</v>
      </c>
      <c r="C58" s="7"/>
      <c r="D58" s="6"/>
      <c r="E58" s="7"/>
      <c r="F58" s="6"/>
    </row>
    <row r="59" spans="2:6">
      <c r="B59" s="2" t="s">
        <v>20</v>
      </c>
      <c r="C59" s="7"/>
      <c r="D59" s="6"/>
      <c r="E59" s="7"/>
      <c r="F59" s="6"/>
    </row>
    <row r="60" spans="2:6">
      <c r="B60" s="2" t="s">
        <v>21</v>
      </c>
      <c r="C60" s="7"/>
      <c r="D60" s="6"/>
      <c r="E60" s="7"/>
      <c r="F60" s="6"/>
    </row>
    <row r="61" spans="2:6">
      <c r="B61" s="2" t="s">
        <v>22</v>
      </c>
      <c r="C61" s="7"/>
      <c r="D61" s="6"/>
      <c r="E61" s="7"/>
      <c r="F61" s="6"/>
    </row>
    <row r="62" spans="2:6" ht="13.5" thickBot="1">
      <c r="B62" s="3" t="s">
        <v>23</v>
      </c>
      <c r="C62" s="8"/>
      <c r="D62" s="9"/>
      <c r="E62" s="8"/>
      <c r="F62" s="9"/>
    </row>
    <row r="68" spans="2:3" ht="13.5" thickBot="1"/>
    <row r="69" spans="2:3" ht="13.5" thickBot="1">
      <c r="B69" s="19" t="s">
        <v>52</v>
      </c>
      <c r="C69" s="19" t="s">
        <v>24</v>
      </c>
    </row>
    <row r="70" spans="2:3">
      <c r="B70" s="30" t="s">
        <v>57</v>
      </c>
      <c r="C70" s="54"/>
    </row>
    <row r="71" spans="2:3">
      <c r="B71" s="2" t="s">
        <v>58</v>
      </c>
      <c r="C71" s="55"/>
    </row>
    <row r="72" spans="2:3">
      <c r="B72" s="2" t="s">
        <v>59</v>
      </c>
      <c r="C72" s="55"/>
    </row>
    <row r="73" spans="2:3" ht="13.5" thickBot="1">
      <c r="B73" s="3" t="s">
        <v>60</v>
      </c>
      <c r="C73" s="56"/>
    </row>
    <row r="98" spans="2:3" ht="13.5" thickBot="1"/>
    <row r="99" spans="2:3" ht="13.5" thickBot="1">
      <c r="B99" s="19" t="s">
        <v>53</v>
      </c>
      <c r="C99" s="19" t="s">
        <v>24</v>
      </c>
    </row>
    <row r="100" spans="2:3">
      <c r="B100" s="39" t="s">
        <v>54</v>
      </c>
      <c r="C100" s="54"/>
    </row>
    <row r="101" spans="2:3">
      <c r="B101" s="2" t="s">
        <v>55</v>
      </c>
      <c r="C101" s="10"/>
    </row>
    <row r="102" spans="2:3">
      <c r="B102" s="2" t="s">
        <v>56</v>
      </c>
      <c r="C102" s="10"/>
    </row>
  </sheetData>
  <mergeCells count="3">
    <mergeCell ref="B2:D2"/>
    <mergeCell ref="B3:D3"/>
    <mergeCell ref="B1:E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2:R39"/>
  <sheetViews>
    <sheetView showGridLines="0" zoomScale="85" workbookViewId="0"/>
  </sheetViews>
  <sheetFormatPr defaultRowHeight="12.75"/>
  <cols>
    <col min="1" max="1" width="4.5703125" customWidth="1"/>
    <col min="6" max="6" width="13.140625" customWidth="1"/>
    <col min="7" max="7" width="24.5703125" customWidth="1"/>
    <col min="10" max="10" width="16.5703125" customWidth="1"/>
    <col min="11" max="11" width="18" customWidth="1"/>
    <col min="12" max="13" width="7.5703125" customWidth="1"/>
    <col min="14" max="14" width="13" customWidth="1"/>
    <col min="15" max="15" width="20" customWidth="1"/>
    <col min="16" max="16" width="17.85546875" customWidth="1"/>
    <col min="17" max="17" width="55" bestFit="1" customWidth="1"/>
    <col min="18" max="18" width="8.140625" customWidth="1"/>
  </cols>
  <sheetData>
    <row r="2" spans="2:18" ht="16.5" thickBot="1">
      <c r="B2" s="21" t="s">
        <v>48</v>
      </c>
    </row>
    <row r="3" spans="2:18" ht="13.5" thickBot="1">
      <c r="K3" s="72" t="s">
        <v>26</v>
      </c>
      <c r="L3" s="73"/>
      <c r="M3" s="74"/>
      <c r="N3" s="87" t="str">
        <f>IF(Input!K2="","",Input!K2)</f>
        <v/>
      </c>
      <c r="O3" s="88"/>
      <c r="Q3" s="53" t="s">
        <v>52</v>
      </c>
      <c r="R3" s="53"/>
    </row>
    <row r="4" spans="2:18">
      <c r="K4" s="75" t="s">
        <v>17</v>
      </c>
      <c r="L4" s="76"/>
      <c r="M4" s="77"/>
      <c r="N4" s="41" t="str">
        <f>IF(Input!E56="","",Input!E56)</f>
        <v/>
      </c>
      <c r="O4" s="42" t="str">
        <f>IF(Input!F56="","",Input!F56)</f>
        <v/>
      </c>
      <c r="Q4" s="30" t="s">
        <v>57</v>
      </c>
      <c r="R4" s="54">
        <f>Input!C70</f>
        <v>0</v>
      </c>
    </row>
    <row r="5" spans="2:18" ht="13.5" thickBot="1">
      <c r="K5" s="84" t="s">
        <v>12</v>
      </c>
      <c r="L5" s="85"/>
      <c r="M5" s="86"/>
      <c r="N5" s="43" t="str">
        <f>IF(Input!E51="","",Input!E51)</f>
        <v/>
      </c>
      <c r="O5" s="44" t="str">
        <f>IF(Input!F51="","",Input!F51)</f>
        <v/>
      </c>
      <c r="Q5" s="2" t="s">
        <v>58</v>
      </c>
      <c r="R5" s="55">
        <f>Input!C71</f>
        <v>0</v>
      </c>
    </row>
    <row r="6" spans="2:18" ht="13.5" thickBot="1">
      <c r="C6" s="72" t="s">
        <v>26</v>
      </c>
      <c r="D6" s="73"/>
      <c r="E6" s="74"/>
      <c r="F6" s="87" t="str">
        <f>IF(Input!C41="","",Input!C41)</f>
        <v/>
      </c>
      <c r="G6" s="88"/>
      <c r="K6" s="84" t="s">
        <v>18</v>
      </c>
      <c r="L6" s="85"/>
      <c r="M6" s="86"/>
      <c r="N6" s="43" t="str">
        <f>IF(Input!E57="","",Input!E57)</f>
        <v/>
      </c>
      <c r="O6" s="44" t="str">
        <f>IF(Input!F57="","",Input!F57)</f>
        <v/>
      </c>
      <c r="Q6" s="2" t="s">
        <v>59</v>
      </c>
      <c r="R6" s="55">
        <f>Input!C72</f>
        <v>0</v>
      </c>
    </row>
    <row r="7" spans="2:18" ht="13.5" thickBot="1">
      <c r="C7" s="75" t="s">
        <v>17</v>
      </c>
      <c r="D7" s="76"/>
      <c r="E7" s="77"/>
      <c r="F7" s="41" t="str">
        <f>IF(Input!C56="","",Input!C56)</f>
        <v/>
      </c>
      <c r="G7" s="42" t="str">
        <f>IF(Input!D56="","",Input!D56)</f>
        <v/>
      </c>
      <c r="K7" s="67" t="s">
        <v>47</v>
      </c>
      <c r="L7" s="68"/>
      <c r="M7" s="92"/>
      <c r="N7" s="45" t="str">
        <f>IF(Input!E46="","",Input!E46)</f>
        <v/>
      </c>
      <c r="O7" s="46" t="str">
        <f>IF(Input!F46="","",Input!F46)</f>
        <v/>
      </c>
      <c r="Q7" s="3" t="s">
        <v>60</v>
      </c>
      <c r="R7" s="56">
        <f>Input!C73</f>
        <v>0</v>
      </c>
    </row>
    <row r="8" spans="2:18">
      <c r="C8" s="84" t="s">
        <v>12</v>
      </c>
      <c r="D8" s="85"/>
      <c r="E8" s="86"/>
      <c r="F8" s="43" t="str">
        <f>IF(Input!C51="","",Input!C51)</f>
        <v/>
      </c>
      <c r="G8" s="44" t="str">
        <f>IF(Input!D51="","",Input!D51)</f>
        <v/>
      </c>
    </row>
    <row r="9" spans="2:18" ht="13.5" thickBot="1">
      <c r="C9" s="84" t="s">
        <v>18</v>
      </c>
      <c r="D9" s="85"/>
      <c r="E9" s="86"/>
      <c r="F9" s="43" t="str">
        <f>IF(Input!C57="","",Input!C57)</f>
        <v/>
      </c>
      <c r="G9" s="44" t="str">
        <f>IF(Input!D57="","",Input!D57)</f>
        <v/>
      </c>
    </row>
    <row r="10" spans="2:18" ht="13.5" thickBot="1">
      <c r="C10" s="67" t="s">
        <v>47</v>
      </c>
      <c r="D10" s="68"/>
      <c r="E10" s="92"/>
      <c r="F10" s="45" t="str">
        <f>IF(Input!C46="","",Input!C46)</f>
        <v/>
      </c>
      <c r="G10" s="46" t="str">
        <f>IF(Input!D46="","",Input!D46)</f>
        <v/>
      </c>
      <c r="Q10" s="53" t="s">
        <v>53</v>
      </c>
      <c r="R10" s="53"/>
    </row>
    <row r="11" spans="2:18" ht="13.5" thickBot="1">
      <c r="Q11" s="39" t="s">
        <v>54</v>
      </c>
      <c r="R11" s="54">
        <f>Input!C100</f>
        <v>0</v>
      </c>
    </row>
    <row r="12" spans="2:18" ht="13.5" thickBot="1">
      <c r="K12" s="81" t="s">
        <v>37</v>
      </c>
      <c r="L12" s="82"/>
      <c r="M12" s="83"/>
      <c r="N12" s="51" t="str">
        <f>IF(Input!C5="","",Input!C5)</f>
        <v/>
      </c>
      <c r="O12" s="52"/>
      <c r="Q12" s="2" t="s">
        <v>55</v>
      </c>
      <c r="R12" s="55">
        <f>Input!C101</f>
        <v>0</v>
      </c>
    </row>
    <row r="13" spans="2:18" ht="13.5" thickBot="1">
      <c r="K13" s="110" t="s">
        <v>38</v>
      </c>
      <c r="L13" s="111"/>
      <c r="M13" s="112"/>
      <c r="N13" s="49" t="str">
        <f>IF(Input!C6="","",Input!C6)</f>
        <v/>
      </c>
      <c r="O13" s="50" t="str">
        <f>IF(Input!D6="","",Input!D6)</f>
        <v>PSIG</v>
      </c>
      <c r="Q13" s="3" t="s">
        <v>56</v>
      </c>
      <c r="R13" s="56">
        <f>Input!C102</f>
        <v>0</v>
      </c>
    </row>
    <row r="14" spans="2:18">
      <c r="K14" s="78" t="s">
        <v>39</v>
      </c>
      <c r="L14" s="79"/>
      <c r="M14" s="80"/>
      <c r="N14" s="49" t="str">
        <f>IF(Input!C7="","",Input!C7)</f>
        <v/>
      </c>
      <c r="O14" s="50" t="str">
        <f>IF(Input!D7="","",Input!D7)</f>
        <v>DEG F</v>
      </c>
    </row>
    <row r="15" spans="2:18">
      <c r="K15" s="78" t="s">
        <v>40</v>
      </c>
      <c r="L15" s="79"/>
      <c r="M15" s="80"/>
      <c r="N15" s="49" t="str">
        <f>IF(Input!C10="","",Input!C10)</f>
        <v/>
      </c>
      <c r="O15" s="50" t="str">
        <f>IF(Input!D10="","",Input!D10)</f>
        <v>CFH</v>
      </c>
    </row>
    <row r="16" spans="2:18" ht="13.5" thickBot="1">
      <c r="K16" s="67" t="s">
        <v>41</v>
      </c>
      <c r="L16" s="68"/>
      <c r="M16" s="69"/>
      <c r="N16" s="70">
        <f>IF(Input!C13="",1,Input!C13)</f>
        <v>1</v>
      </c>
      <c r="O16" s="71"/>
    </row>
    <row r="23" spans="2:18" ht="15.75">
      <c r="B23" s="22" t="s">
        <v>42</v>
      </c>
    </row>
    <row r="24" spans="2:18" ht="13.5" thickBot="1">
      <c r="B24" s="25"/>
      <c r="C24" s="25"/>
      <c r="D24" s="25"/>
      <c r="E24" s="25"/>
      <c r="F24" s="25"/>
      <c r="G24" s="25"/>
    </row>
    <row r="25" spans="2:18" ht="13.5" thickBot="1">
      <c r="B25" s="23" t="s">
        <v>43</v>
      </c>
      <c r="C25" s="23"/>
      <c r="D25" s="23"/>
      <c r="E25" s="23"/>
      <c r="F25" s="23"/>
      <c r="G25" s="23"/>
      <c r="K25" s="105" t="s">
        <v>26</v>
      </c>
      <c r="L25" s="106"/>
      <c r="M25" s="106"/>
      <c r="N25" s="65" t="str">
        <f>N3</f>
        <v/>
      </c>
      <c r="O25" s="66"/>
      <c r="Q25" s="40" t="s">
        <v>52</v>
      </c>
      <c r="R25" s="40"/>
    </row>
    <row r="26" spans="2:18" ht="16.5" thickBot="1">
      <c r="B26" s="24" t="s">
        <v>45</v>
      </c>
      <c r="C26" s="24"/>
      <c r="D26" s="24"/>
      <c r="E26" s="24"/>
      <c r="F26" s="24"/>
      <c r="G26" s="24"/>
      <c r="K26" s="107" t="s">
        <v>17</v>
      </c>
      <c r="L26" s="108"/>
      <c r="M26" s="109"/>
      <c r="N26" s="41" t="str">
        <f>N4</f>
        <v/>
      </c>
      <c r="O26" s="42" t="str">
        <f>O4</f>
        <v/>
      </c>
      <c r="Q26" s="35" t="s">
        <v>57</v>
      </c>
      <c r="R26" s="54">
        <f>R4+4</f>
        <v>4</v>
      </c>
    </row>
    <row r="27" spans="2:18" ht="16.5" thickBot="1">
      <c r="B27" s="24" t="s">
        <v>46</v>
      </c>
      <c r="C27" s="24"/>
      <c r="D27" s="24"/>
      <c r="E27" s="24"/>
      <c r="F27" s="24"/>
      <c r="G27" s="24"/>
      <c r="K27" s="89" t="s">
        <v>12</v>
      </c>
      <c r="L27" s="90"/>
      <c r="M27" s="91"/>
      <c r="N27" s="43" t="str">
        <f t="shared" ref="N27:O29" si="0">N5</f>
        <v/>
      </c>
      <c r="O27" s="44" t="str">
        <f t="shared" si="0"/>
        <v/>
      </c>
      <c r="Q27" s="34" t="s">
        <v>58</v>
      </c>
      <c r="R27" s="54">
        <f>R5+4</f>
        <v>4</v>
      </c>
    </row>
    <row r="28" spans="2:18" ht="16.5" thickBot="1">
      <c r="B28" s="24" t="s">
        <v>44</v>
      </c>
      <c r="C28" s="24"/>
      <c r="D28" s="24"/>
      <c r="E28" s="24"/>
      <c r="F28" s="24"/>
      <c r="G28" s="24"/>
      <c r="K28" s="89" t="s">
        <v>18</v>
      </c>
      <c r="L28" s="90"/>
      <c r="M28" s="91"/>
      <c r="N28" s="43" t="str">
        <f t="shared" si="0"/>
        <v/>
      </c>
      <c r="O28" s="44" t="str">
        <f t="shared" si="0"/>
        <v/>
      </c>
      <c r="Q28" s="34" t="s">
        <v>59</v>
      </c>
      <c r="R28" s="54">
        <f>R6+4</f>
        <v>4</v>
      </c>
    </row>
    <row r="29" spans="2:18" ht="13.5" thickBot="1">
      <c r="B29" s="23" t="s">
        <v>61</v>
      </c>
      <c r="C29" s="24"/>
      <c r="D29" s="24"/>
      <c r="E29" s="24"/>
      <c r="F29" s="24"/>
      <c r="G29" s="24"/>
      <c r="K29" s="93" t="s">
        <v>47</v>
      </c>
      <c r="L29" s="94"/>
      <c r="M29" s="95"/>
      <c r="N29" s="45" t="str">
        <f t="shared" si="0"/>
        <v/>
      </c>
      <c r="O29" s="46" t="str">
        <f t="shared" si="0"/>
        <v/>
      </c>
      <c r="Q29" s="36" t="s">
        <v>60</v>
      </c>
      <c r="R29" s="54">
        <f>R7+4</f>
        <v>4</v>
      </c>
    </row>
    <row r="30" spans="2:18">
      <c r="B30" s="24" t="s">
        <v>62</v>
      </c>
      <c r="C30" s="24"/>
      <c r="D30" s="24"/>
      <c r="E30" s="24"/>
      <c r="F30" s="24"/>
      <c r="G30" s="24"/>
    </row>
    <row r="31" spans="2:18" ht="13.5" thickBot="1">
      <c r="B31" s="24" t="s">
        <v>63</v>
      </c>
      <c r="C31" s="24"/>
      <c r="D31" s="24"/>
      <c r="E31" s="24"/>
      <c r="F31" s="24"/>
      <c r="G31" s="24"/>
    </row>
    <row r="32" spans="2:18" ht="13.5" thickBot="1">
      <c r="Q32" s="40" t="s">
        <v>53</v>
      </c>
      <c r="R32" s="40"/>
    </row>
    <row r="33" spans="3:18" ht="13.5" thickBot="1">
      <c r="C33" s="105" t="s">
        <v>26</v>
      </c>
      <c r="D33" s="106"/>
      <c r="E33" s="106"/>
      <c r="F33" s="65" t="str">
        <f>F6</f>
        <v/>
      </c>
      <c r="G33" s="66"/>
      <c r="Q33" s="39" t="s">
        <v>54</v>
      </c>
      <c r="R33" s="31">
        <f>R11</f>
        <v>0</v>
      </c>
    </row>
    <row r="34" spans="3:18" ht="13.5" thickBot="1">
      <c r="C34" s="107" t="s">
        <v>17</v>
      </c>
      <c r="D34" s="108"/>
      <c r="E34" s="109"/>
      <c r="F34" s="41" t="str">
        <f>F7</f>
        <v/>
      </c>
      <c r="G34" s="42" t="str">
        <f>G7</f>
        <v/>
      </c>
      <c r="Q34" s="34" t="s">
        <v>55</v>
      </c>
      <c r="R34" s="10">
        <f>R12+50</f>
        <v>50</v>
      </c>
    </row>
    <row r="35" spans="3:18" ht="13.5" thickBot="1">
      <c r="C35" s="89" t="s">
        <v>12</v>
      </c>
      <c r="D35" s="90"/>
      <c r="E35" s="91"/>
      <c r="F35" s="43" t="str">
        <f t="shared" ref="F35:G37" si="1">F8</f>
        <v/>
      </c>
      <c r="G35" s="44" t="str">
        <f t="shared" si="1"/>
        <v/>
      </c>
      <c r="K35" s="105" t="s">
        <v>37</v>
      </c>
      <c r="L35" s="106"/>
      <c r="M35" s="106"/>
      <c r="N35" s="98" t="str">
        <f>N12</f>
        <v/>
      </c>
      <c r="O35" s="99"/>
      <c r="Q35" s="36" t="s">
        <v>56</v>
      </c>
      <c r="R35" s="28">
        <f>R13+50</f>
        <v>50</v>
      </c>
    </row>
    <row r="36" spans="3:18">
      <c r="C36" s="89" t="s">
        <v>18</v>
      </c>
      <c r="D36" s="90"/>
      <c r="E36" s="91"/>
      <c r="F36" s="43" t="str">
        <f t="shared" si="1"/>
        <v/>
      </c>
      <c r="G36" s="44" t="str">
        <f t="shared" si="1"/>
        <v/>
      </c>
      <c r="K36" s="101" t="s">
        <v>38</v>
      </c>
      <c r="L36" s="102"/>
      <c r="M36" s="103"/>
      <c r="N36" s="47" t="e">
        <f>IF(F35&gt;N27,F35*1.1,N27*1.1)</f>
        <v>#VALUE!</v>
      </c>
      <c r="O36" s="48" t="str">
        <f>O13</f>
        <v>PSIG</v>
      </c>
    </row>
    <row r="37" spans="3:18" ht="13.5" thickBot="1">
      <c r="C37" s="93" t="s">
        <v>47</v>
      </c>
      <c r="D37" s="94"/>
      <c r="E37" s="95"/>
      <c r="F37" s="45" t="str">
        <f t="shared" si="1"/>
        <v/>
      </c>
      <c r="G37" s="46" t="str">
        <f t="shared" si="1"/>
        <v/>
      </c>
      <c r="K37" s="89" t="s">
        <v>39</v>
      </c>
      <c r="L37" s="90"/>
      <c r="M37" s="104"/>
      <c r="N37" s="47" t="e">
        <f>IF(F34&gt;N26,F34+50,N26+50)</f>
        <v>#VALUE!</v>
      </c>
      <c r="O37" s="48" t="str">
        <f>O14</f>
        <v>DEG F</v>
      </c>
    </row>
    <row r="38" spans="3:18">
      <c r="K38" s="89" t="s">
        <v>40</v>
      </c>
      <c r="L38" s="90"/>
      <c r="M38" s="104"/>
      <c r="N38" s="47" t="e">
        <f>F9/F10*N16*7.480518/60</f>
        <v>#VALUE!</v>
      </c>
      <c r="O38" s="48" t="str">
        <f>O15</f>
        <v>CFH</v>
      </c>
    </row>
    <row r="39" spans="3:18" ht="13.5" thickBot="1">
      <c r="K39" s="93" t="s">
        <v>41</v>
      </c>
      <c r="L39" s="94"/>
      <c r="M39" s="100"/>
      <c r="N39" s="96">
        <f>N16</f>
        <v>1</v>
      </c>
      <c r="O39" s="97"/>
    </row>
  </sheetData>
  <mergeCells count="37">
    <mergeCell ref="K7:M7"/>
    <mergeCell ref="C34:E34"/>
    <mergeCell ref="K29:M29"/>
    <mergeCell ref="C9:E9"/>
    <mergeCell ref="C33:E33"/>
    <mergeCell ref="F33:G33"/>
    <mergeCell ref="K13:M13"/>
    <mergeCell ref="K25:M25"/>
    <mergeCell ref="K26:M26"/>
    <mergeCell ref="C37:E37"/>
    <mergeCell ref="N39:O39"/>
    <mergeCell ref="N35:O35"/>
    <mergeCell ref="K39:M39"/>
    <mergeCell ref="K36:M36"/>
    <mergeCell ref="K37:M37"/>
    <mergeCell ref="K38:M38"/>
    <mergeCell ref="K35:M35"/>
    <mergeCell ref="N3:O3"/>
    <mergeCell ref="F6:G6"/>
    <mergeCell ref="C35:E35"/>
    <mergeCell ref="C36:E36"/>
    <mergeCell ref="C6:E6"/>
    <mergeCell ref="C7:E7"/>
    <mergeCell ref="C8:E8"/>
    <mergeCell ref="K27:M27"/>
    <mergeCell ref="K28:M28"/>
    <mergeCell ref="C10:E10"/>
    <mergeCell ref="N25:O25"/>
    <mergeCell ref="K16:M16"/>
    <mergeCell ref="N16:O16"/>
    <mergeCell ref="K3:M3"/>
    <mergeCell ref="K4:M4"/>
    <mergeCell ref="K15:M15"/>
    <mergeCell ref="K14:M14"/>
    <mergeCell ref="K12:M12"/>
    <mergeCell ref="K5:M5"/>
    <mergeCell ref="K6:M6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F102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34.28515625" bestFit="1" customWidth="1"/>
    <col min="4" max="4" width="15.7109375" bestFit="1" customWidth="1"/>
    <col min="5" max="5" width="32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2" spans="2:4" ht="13.5" thickBot="1">
      <c r="B2" s="60" t="s">
        <v>30</v>
      </c>
      <c r="C2" s="60"/>
      <c r="D2" s="60"/>
    </row>
    <row r="3" spans="2:4" ht="13.5" thickBot="1">
      <c r="B3" s="61" t="s">
        <v>36</v>
      </c>
      <c r="C3" s="62"/>
      <c r="D3" s="63"/>
    </row>
    <row r="4" spans="2:4" ht="13.5" thickBot="1">
      <c r="B4" s="32" t="s">
        <v>28</v>
      </c>
      <c r="C4" s="32" t="s">
        <v>24</v>
      </c>
      <c r="D4" s="32" t="s">
        <v>25</v>
      </c>
    </row>
    <row r="5" spans="2:4">
      <c r="B5" s="17" t="s">
        <v>29</v>
      </c>
      <c r="C5" s="11" t="str">
        <f>IF(Input!C5="","",Input!C5)</f>
        <v/>
      </c>
      <c r="D5" s="16" t="str">
        <f>IF(Input!D5="","",Input!D5)</f>
        <v/>
      </c>
    </row>
    <row r="6" spans="2:4">
      <c r="B6" s="37" t="s">
        <v>0</v>
      </c>
      <c r="C6" s="29" t="e">
        <f>'Custom Rules'!N36</f>
        <v>#VALUE!</v>
      </c>
      <c r="D6" s="16" t="s">
        <v>64</v>
      </c>
    </row>
    <row r="7" spans="2:4">
      <c r="B7" s="34" t="s">
        <v>1</v>
      </c>
      <c r="C7" s="29" t="e">
        <f>'Custom Rules'!N37</f>
        <v>#VALUE!</v>
      </c>
      <c r="D7" s="16" t="s">
        <v>65</v>
      </c>
    </row>
    <row r="8" spans="2:4">
      <c r="B8" s="34" t="s">
        <v>33</v>
      </c>
      <c r="C8" s="11" t="str">
        <f>IF(Input!C8="","",Input!C8)</f>
        <v/>
      </c>
      <c r="D8" s="16" t="str">
        <f>IF(Input!D8="","",Input!D8)</f>
        <v/>
      </c>
    </row>
    <row r="9" spans="2:4">
      <c r="B9" s="34" t="s">
        <v>2</v>
      </c>
      <c r="C9" s="11" t="str">
        <f>IF(Input!C9="","",Input!C9)</f>
        <v/>
      </c>
      <c r="D9" s="16" t="str">
        <f>IF(Input!D9="","",Input!D9)</f>
        <v/>
      </c>
    </row>
    <row r="10" spans="2:4">
      <c r="B10" s="34" t="s">
        <v>3</v>
      </c>
      <c r="C10" s="29" t="e">
        <f>'Custom Rules'!N38</f>
        <v>#VALUE!</v>
      </c>
      <c r="D10" s="16" t="s">
        <v>66</v>
      </c>
    </row>
    <row r="11" spans="2:4">
      <c r="B11" s="34" t="s">
        <v>34</v>
      </c>
      <c r="C11" s="20"/>
      <c r="D11" s="10"/>
    </row>
    <row r="12" spans="2:4">
      <c r="B12" s="34" t="s">
        <v>35</v>
      </c>
      <c r="C12" s="20"/>
      <c r="D12" s="10"/>
    </row>
    <row r="13" spans="2:4" ht="13.5" thickBot="1">
      <c r="B13" s="38" t="s">
        <v>49</v>
      </c>
      <c r="C13" s="26">
        <f>'Custom Rules'!N39</f>
        <v>1</v>
      </c>
      <c r="D13" s="27"/>
    </row>
    <row r="39" spans="2:6" ht="13.5" thickBot="1"/>
    <row r="40" spans="2:6" ht="13.5" thickBot="1">
      <c r="B40" s="32" t="s">
        <v>27</v>
      </c>
      <c r="C40" s="32" t="s">
        <v>24</v>
      </c>
      <c r="D40" s="33" t="s">
        <v>25</v>
      </c>
      <c r="E40" s="32" t="s">
        <v>24</v>
      </c>
      <c r="F40" s="33" t="s">
        <v>25</v>
      </c>
    </row>
    <row r="41" spans="2:6">
      <c r="B41" s="12" t="s">
        <v>26</v>
      </c>
      <c r="C41" s="7" t="str">
        <f>IF(Input!C41="","",Input!C41)</f>
        <v/>
      </c>
      <c r="D41" s="14" t="str">
        <f>IF(Input!D41="","",Input!D41)</f>
        <v/>
      </c>
      <c r="E41" s="7" t="str">
        <f>IF(Input!E41="","",Input!E41)</f>
        <v/>
      </c>
      <c r="F41" s="14" t="str">
        <f>IF(Input!F41="","",Input!F41)</f>
        <v/>
      </c>
    </row>
    <row r="42" spans="2:6">
      <c r="B42" s="12" t="s">
        <v>31</v>
      </c>
      <c r="C42" s="7" t="str">
        <f>IF(Input!C42="","",Input!C42)</f>
        <v/>
      </c>
      <c r="D42" s="14" t="str">
        <f>IF(Input!D42="","",Input!D42)</f>
        <v/>
      </c>
      <c r="E42" s="7" t="str">
        <f>IF(Input!E42="","",Input!E42)</f>
        <v/>
      </c>
      <c r="F42" s="14" t="str">
        <f>IF(Input!F42="","",Input!F42)</f>
        <v/>
      </c>
    </row>
    <row r="43" spans="2:6">
      <c r="B43" s="34" t="s">
        <v>4</v>
      </c>
      <c r="C43" s="7" t="str">
        <f>IF(Input!C43="","",Input!C43)</f>
        <v/>
      </c>
      <c r="D43" s="14" t="str">
        <f>IF(Input!D43="","",Input!D43)</f>
        <v/>
      </c>
      <c r="E43" s="7" t="str">
        <f>IF(Input!E43="","",Input!E43)</f>
        <v/>
      </c>
      <c r="F43" s="14" t="str">
        <f>IF(Input!F43="","",Input!F43)</f>
        <v/>
      </c>
    </row>
    <row r="44" spans="2:6">
      <c r="B44" s="34" t="s">
        <v>5</v>
      </c>
      <c r="C44" s="7" t="str">
        <f>IF(Input!C44="","",Input!C44)</f>
        <v/>
      </c>
      <c r="D44" s="14" t="str">
        <f>IF(Input!D44="","",Input!D44)</f>
        <v/>
      </c>
      <c r="E44" s="7" t="str">
        <f>IF(Input!E44="","",Input!E44)</f>
        <v/>
      </c>
      <c r="F44" s="14" t="str">
        <f>IF(Input!F44="","",Input!F44)</f>
        <v/>
      </c>
    </row>
    <row r="45" spans="2:6">
      <c r="B45" s="34" t="s">
        <v>6</v>
      </c>
      <c r="C45" s="7" t="str">
        <f>IF(Input!C45="","",Input!C45)</f>
        <v/>
      </c>
      <c r="D45" s="14" t="str">
        <f>IF(Input!D45="","",Input!D45)</f>
        <v/>
      </c>
      <c r="E45" s="7" t="str">
        <f>IF(Input!E45="","",Input!E45)</f>
        <v/>
      </c>
      <c r="F45" s="14" t="str">
        <f>IF(Input!F45="","",Input!F45)</f>
        <v/>
      </c>
    </row>
    <row r="46" spans="2:6">
      <c r="B46" s="34" t="s">
        <v>7</v>
      </c>
      <c r="C46" s="7" t="str">
        <f>IF(Input!C46="","",Input!C46)</f>
        <v/>
      </c>
      <c r="D46" s="14" t="str">
        <f>IF(Input!D46="","",Input!D46)</f>
        <v/>
      </c>
      <c r="E46" s="7" t="str">
        <f>IF(Input!E46="","",Input!E46)</f>
        <v/>
      </c>
      <c r="F46" s="14" t="str">
        <f>IF(Input!F46="","",Input!F46)</f>
        <v/>
      </c>
    </row>
    <row r="47" spans="2:6">
      <c r="B47" s="34" t="s">
        <v>8</v>
      </c>
      <c r="C47" s="7" t="str">
        <f>IF(Input!C47="","",Input!C47)</f>
        <v/>
      </c>
      <c r="D47" s="14" t="str">
        <f>IF(Input!D47="","",Input!D47)</f>
        <v/>
      </c>
      <c r="E47" s="7" t="str">
        <f>IF(Input!E47="","",Input!E47)</f>
        <v/>
      </c>
      <c r="F47" s="14" t="str">
        <f>IF(Input!F47="","",Input!F47)</f>
        <v/>
      </c>
    </row>
    <row r="48" spans="2:6">
      <c r="B48" s="34" t="s">
        <v>9</v>
      </c>
      <c r="C48" s="7" t="str">
        <f>IF(Input!C48="","",Input!C48)</f>
        <v/>
      </c>
      <c r="D48" s="14" t="str">
        <f>IF(Input!D48="","",Input!D48)</f>
        <v/>
      </c>
      <c r="E48" s="7" t="str">
        <f>IF(Input!E48="","",Input!E48)</f>
        <v/>
      </c>
      <c r="F48" s="14" t="str">
        <f>IF(Input!F48="","",Input!F48)</f>
        <v/>
      </c>
    </row>
    <row r="49" spans="2:6">
      <c r="B49" s="34" t="s">
        <v>10</v>
      </c>
      <c r="C49" s="7" t="str">
        <f>IF(Input!C49="","",Input!C49)</f>
        <v/>
      </c>
      <c r="D49" s="14" t="str">
        <f>IF(Input!D49="","",Input!D49)</f>
        <v/>
      </c>
      <c r="E49" s="7" t="str">
        <f>IF(Input!E49="","",Input!E49)</f>
        <v/>
      </c>
      <c r="F49" s="14" t="str">
        <f>IF(Input!F49="","",Input!F49)</f>
        <v/>
      </c>
    </row>
    <row r="50" spans="2:6">
      <c r="B50" s="34" t="s">
        <v>11</v>
      </c>
      <c r="C50" s="7" t="str">
        <f>IF(Input!C50="","",Input!C50)</f>
        <v/>
      </c>
      <c r="D50" s="14" t="str">
        <f>IF(Input!D50="","",Input!D50)</f>
        <v/>
      </c>
      <c r="E50" s="7" t="str">
        <f>IF(Input!E50="","",Input!E50)</f>
        <v/>
      </c>
      <c r="F50" s="14" t="str">
        <f>IF(Input!F50="","",Input!F50)</f>
        <v/>
      </c>
    </row>
    <row r="51" spans="2:6">
      <c r="B51" s="34" t="s">
        <v>12</v>
      </c>
      <c r="C51" s="7" t="str">
        <f>IF(Input!C51="","",Input!C51)</f>
        <v/>
      </c>
      <c r="D51" s="14" t="str">
        <f>IF(Input!D51="","",Input!D51)</f>
        <v/>
      </c>
      <c r="E51" s="7" t="str">
        <f>IF(Input!E51="","",Input!E51)</f>
        <v/>
      </c>
      <c r="F51" s="14" t="str">
        <f>IF(Input!F51="","",Input!F51)</f>
        <v/>
      </c>
    </row>
    <row r="52" spans="2:6">
      <c r="B52" s="34" t="s">
        <v>13</v>
      </c>
      <c r="C52" s="7" t="str">
        <f>IF(Input!C52="","",Input!C52)</f>
        <v/>
      </c>
      <c r="D52" s="14" t="str">
        <f>IF(Input!D52="","",Input!D52)</f>
        <v/>
      </c>
      <c r="E52" s="7" t="str">
        <f>IF(Input!E52="","",Input!E52)</f>
        <v/>
      </c>
      <c r="F52" s="14" t="str">
        <f>IF(Input!F52="","",Input!F52)</f>
        <v/>
      </c>
    </row>
    <row r="53" spans="2:6">
      <c r="B53" s="34" t="s">
        <v>14</v>
      </c>
      <c r="C53" s="7" t="str">
        <f>IF(Input!C53="","",Input!C53)</f>
        <v/>
      </c>
      <c r="D53" s="14" t="str">
        <f>IF(Input!D53="","",Input!D53)</f>
        <v/>
      </c>
      <c r="E53" s="7" t="str">
        <f>IF(Input!E53="","",Input!E53)</f>
        <v/>
      </c>
      <c r="F53" s="14" t="str">
        <f>IF(Input!F53="","",Input!F53)</f>
        <v/>
      </c>
    </row>
    <row r="54" spans="2:6">
      <c r="B54" s="34" t="s">
        <v>15</v>
      </c>
      <c r="C54" s="7" t="str">
        <f>IF(Input!C54="","",Input!C54)</f>
        <v/>
      </c>
      <c r="D54" s="14" t="str">
        <f>IF(Input!D54="","",Input!D54)</f>
        <v/>
      </c>
      <c r="E54" s="7" t="str">
        <f>IF(Input!E54="","",Input!E54)</f>
        <v/>
      </c>
      <c r="F54" s="14" t="str">
        <f>IF(Input!F54="","",Input!F54)</f>
        <v/>
      </c>
    </row>
    <row r="55" spans="2:6">
      <c r="B55" s="34" t="s">
        <v>16</v>
      </c>
      <c r="C55" s="7" t="str">
        <f>IF(Input!C55="","",Input!C55)</f>
        <v/>
      </c>
      <c r="D55" s="14" t="str">
        <f>IF(Input!D55="","",Input!D55)</f>
        <v/>
      </c>
      <c r="E55" s="7" t="str">
        <f>IF(Input!E55="","",Input!E55)</f>
        <v/>
      </c>
      <c r="F55" s="14" t="str">
        <f>IF(Input!F55="","",Input!F55)</f>
        <v/>
      </c>
    </row>
    <row r="56" spans="2:6">
      <c r="B56" s="34" t="s">
        <v>17</v>
      </c>
      <c r="C56" s="7" t="str">
        <f>IF(Input!C56="","",Input!C56)</f>
        <v/>
      </c>
      <c r="D56" s="14" t="str">
        <f>IF(Input!D56="","",Input!D56)</f>
        <v/>
      </c>
      <c r="E56" s="7" t="str">
        <f>IF(Input!E56="","",Input!E56)</f>
        <v/>
      </c>
      <c r="F56" s="14" t="str">
        <f>IF(Input!F56="","",Input!F56)</f>
        <v/>
      </c>
    </row>
    <row r="57" spans="2:6">
      <c r="B57" s="34" t="s">
        <v>18</v>
      </c>
      <c r="C57" s="7" t="str">
        <f>IF(Input!C57="","",Input!C57)</f>
        <v/>
      </c>
      <c r="D57" s="14" t="str">
        <f>IF(Input!D57="","",Input!D57)</f>
        <v/>
      </c>
      <c r="E57" s="7" t="str">
        <f>IF(Input!E57="","",Input!E57)</f>
        <v/>
      </c>
      <c r="F57" s="14" t="str">
        <f>IF(Input!F57="","",Input!F57)</f>
        <v/>
      </c>
    </row>
    <row r="58" spans="2:6">
      <c r="B58" s="34" t="s">
        <v>19</v>
      </c>
      <c r="C58" s="7" t="str">
        <f>IF(Input!C58="","",Input!C58)</f>
        <v/>
      </c>
      <c r="D58" s="14" t="str">
        <f>IF(Input!D58="","",Input!D58)</f>
        <v/>
      </c>
      <c r="E58" s="7" t="str">
        <f>IF(Input!E58="","",Input!E58)</f>
        <v/>
      </c>
      <c r="F58" s="14" t="str">
        <f>IF(Input!F58="","",Input!F58)</f>
        <v/>
      </c>
    </row>
    <row r="59" spans="2:6">
      <c r="B59" s="34" t="s">
        <v>20</v>
      </c>
      <c r="C59" s="7" t="str">
        <f>IF(Input!C59="","",Input!C59)</f>
        <v/>
      </c>
      <c r="D59" s="14" t="str">
        <f>IF(Input!D59="","",Input!D59)</f>
        <v/>
      </c>
      <c r="E59" s="7" t="str">
        <f>IF(Input!E59="","",Input!E59)</f>
        <v/>
      </c>
      <c r="F59" s="14" t="str">
        <f>IF(Input!F59="","",Input!F59)</f>
        <v/>
      </c>
    </row>
    <row r="60" spans="2:6">
      <c r="B60" s="34" t="s">
        <v>21</v>
      </c>
      <c r="C60" s="7" t="str">
        <f>IF(Input!C60="","",Input!C60)</f>
        <v/>
      </c>
      <c r="D60" s="14" t="str">
        <f>IF(Input!D60="","",Input!D60)</f>
        <v/>
      </c>
      <c r="E60" s="7" t="str">
        <f>IF(Input!E60="","",Input!E60)</f>
        <v/>
      </c>
      <c r="F60" s="14" t="str">
        <f>IF(Input!F60="","",Input!F60)</f>
        <v/>
      </c>
    </row>
    <row r="61" spans="2:6">
      <c r="B61" s="34" t="s">
        <v>22</v>
      </c>
      <c r="C61" s="7" t="str">
        <f>IF(Input!C61="","",Input!C61)</f>
        <v/>
      </c>
      <c r="D61" s="14" t="str">
        <f>IF(Input!D61="","",Input!D61)</f>
        <v/>
      </c>
      <c r="E61" s="7" t="str">
        <f>IF(Input!E61="","",Input!E61)</f>
        <v/>
      </c>
      <c r="F61" s="14" t="str">
        <f>IF(Input!F61="","",Input!F61)</f>
        <v/>
      </c>
    </row>
    <row r="62" spans="2:6" ht="13.5" thickBot="1">
      <c r="B62" s="36" t="s">
        <v>23</v>
      </c>
      <c r="C62" s="8" t="str">
        <f>IF(Input!C62="","",Input!C62)</f>
        <v/>
      </c>
      <c r="D62" s="15" t="str">
        <f>IF(Input!D62="","",Input!D62)</f>
        <v/>
      </c>
      <c r="E62" s="8" t="str">
        <f>IF(Input!E62="","",Input!E62)</f>
        <v/>
      </c>
      <c r="F62" s="15" t="str">
        <f>IF(Input!F62="","",Input!F62)</f>
        <v/>
      </c>
    </row>
    <row r="68" spans="2:3" ht="13.5" thickBot="1"/>
    <row r="69" spans="2:3" ht="13.5" thickBot="1">
      <c r="B69" s="40" t="s">
        <v>52</v>
      </c>
      <c r="C69" s="40" t="s">
        <v>24</v>
      </c>
    </row>
    <row r="70" spans="2:3">
      <c r="B70" s="35" t="s">
        <v>57</v>
      </c>
      <c r="C70" s="57">
        <f>'Custom Rules'!R26</f>
        <v>4</v>
      </c>
    </row>
    <row r="71" spans="2:3">
      <c r="B71" s="34" t="s">
        <v>58</v>
      </c>
      <c r="C71" s="58">
        <f>'Custom Rules'!R27</f>
        <v>4</v>
      </c>
    </row>
    <row r="72" spans="2:3">
      <c r="B72" s="34" t="s">
        <v>59</v>
      </c>
      <c r="C72" s="58">
        <f>'Custom Rules'!R28</f>
        <v>4</v>
      </c>
    </row>
    <row r="73" spans="2:3" ht="13.5" thickBot="1">
      <c r="B73" s="36" t="s">
        <v>60</v>
      </c>
      <c r="C73" s="59">
        <f>'Custom Rules'!R29</f>
        <v>4</v>
      </c>
    </row>
    <row r="98" spans="2:3" ht="13.5" thickBot="1"/>
    <row r="99" spans="2:3" ht="13.5" thickBot="1">
      <c r="B99" s="40" t="s">
        <v>53</v>
      </c>
      <c r="C99" s="40" t="s">
        <v>24</v>
      </c>
    </row>
    <row r="100" spans="2:3">
      <c r="B100" s="39" t="s">
        <v>54</v>
      </c>
      <c r="C100" s="57">
        <f>'Custom Rules'!R33</f>
        <v>0</v>
      </c>
    </row>
    <row r="101" spans="2:3">
      <c r="B101" s="34" t="s">
        <v>55</v>
      </c>
      <c r="C101" s="58">
        <f>'Custom Rules'!R34</f>
        <v>50</v>
      </c>
    </row>
    <row r="102" spans="2:3" ht="13.5" thickBot="1">
      <c r="B102" s="36" t="s">
        <v>56</v>
      </c>
      <c r="C102" s="59">
        <f>'Custom Rules'!R35</f>
        <v>50</v>
      </c>
    </row>
  </sheetData>
  <mergeCells count="2">
    <mergeCell ref="B2:D2"/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Custom Rules</vt:lpstr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Aspen Technology, INC.</cp:lastModifiedBy>
  <dcterms:created xsi:type="dcterms:W3CDTF">2001-11-27T16:36:30Z</dcterms:created>
  <dcterms:modified xsi:type="dcterms:W3CDTF">2013-04-30T17:41:11Z</dcterms:modified>
</cp:coreProperties>
</file>