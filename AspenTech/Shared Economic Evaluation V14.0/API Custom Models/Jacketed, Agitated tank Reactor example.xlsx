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5180" windowHeight="8835"/>
  </bookViews>
  <sheets>
    <sheet name="Specification" sheetId="2" r:id="rId1"/>
    <sheet name="Data" sheetId="1" r:id="rId2"/>
    <sheet name="Input" sheetId="3" r:id="rId3"/>
    <sheet name="Output" sheetId="4" r:id="rId4"/>
  </sheets>
  <definedNames>
    <definedName name="_Row2">Data!$L$16:$L$40</definedName>
    <definedName name="Capacity">Data!$A:$A</definedName>
    <definedName name="Curve">Data!#REF!</definedName>
    <definedName name="DirCost">Data!$E:$E</definedName>
    <definedName name="DP">Data!$B:$B</definedName>
    <definedName name="DPselect">Data!$N$16:$N$40</definedName>
    <definedName name="end">Data!#REF!</definedName>
    <definedName name="EndRow">Data!$M$8</definedName>
    <definedName name="EqCost">Data!$D:$D</definedName>
    <definedName name="last">Data!$I:$I</definedName>
    <definedName name="Material">Data!$C:$C</definedName>
    <definedName name="Material2">Data!$M$16:$M$40</definedName>
    <definedName name="MaterialEndRow">Data!#REF!</definedName>
    <definedName name="MaterialStartRow">Data!#REF!</definedName>
    <definedName name="range">Data!$G:$G</definedName>
    <definedName name="RequiredCapacity">Specification!$D$2</definedName>
    <definedName name="SpecDP">Specification!$D$4</definedName>
    <definedName name="SpecMaterial">Specification!$D$3</definedName>
    <definedName name="Start">Data!$H:$H</definedName>
    <definedName name="startrow">Data!$M$7</definedName>
  </definedNames>
  <calcPr calcId="125725"/>
</workbook>
</file>

<file path=xl/calcChain.xml><?xml version="1.0" encoding="utf-8"?>
<calcChain xmlns="http://schemas.openxmlformats.org/spreadsheetml/2006/main">
  <c r="M5" i="1"/>
  <c r="M6" s="1"/>
  <c r="E10" i="2"/>
  <c r="D7" i="4" s="1"/>
  <c r="E8" i="2"/>
  <c r="D6" i="4" s="1"/>
  <c r="C5"/>
  <c r="M8" i="1" l="1"/>
  <c r="M7"/>
  <c r="L16" s="1"/>
  <c r="M16" l="1"/>
  <c r="N16" s="1"/>
  <c r="L17"/>
  <c r="L18" l="1"/>
  <c r="M17"/>
  <c r="N17" s="1"/>
  <c r="L19" l="1"/>
  <c r="M18"/>
  <c r="N18" s="1"/>
  <c r="L20" l="1"/>
  <c r="M19"/>
  <c r="N19" s="1"/>
  <c r="L21" l="1"/>
  <c r="M20"/>
  <c r="N20" s="1"/>
  <c r="L22" l="1"/>
  <c r="M21"/>
  <c r="N21" s="1"/>
  <c r="L23" l="1"/>
  <c r="M22"/>
  <c r="N22" s="1"/>
  <c r="L24" l="1"/>
  <c r="M23"/>
  <c r="N23" s="1"/>
  <c r="L25" l="1"/>
  <c r="M24"/>
  <c r="N24" s="1"/>
  <c r="L26" l="1"/>
  <c r="M25"/>
  <c r="N25" s="1"/>
  <c r="L27" l="1"/>
  <c r="M26"/>
  <c r="N26" s="1"/>
  <c r="L28" l="1"/>
  <c r="M27"/>
  <c r="N27" s="1"/>
  <c r="L29" l="1"/>
  <c r="M28"/>
  <c r="N28" s="1"/>
  <c r="L30" l="1"/>
  <c r="M29"/>
  <c r="N29" s="1"/>
  <c r="L31" l="1"/>
  <c r="M30"/>
  <c r="N30" s="1"/>
  <c r="L32" l="1"/>
  <c r="M31"/>
  <c r="N31" s="1"/>
  <c r="L33" l="1"/>
  <c r="M32"/>
  <c r="N32" s="1"/>
  <c r="L34" l="1"/>
  <c r="M33"/>
  <c r="N33" s="1"/>
  <c r="L35" l="1"/>
  <c r="M34"/>
  <c r="N34" s="1"/>
  <c r="L36" l="1"/>
  <c r="M35"/>
  <c r="N35" s="1"/>
  <c r="L37" l="1"/>
  <c r="M36"/>
  <c r="N36" s="1"/>
  <c r="L38" l="1"/>
  <c r="M37"/>
  <c r="N37" s="1"/>
  <c r="L39" l="1"/>
  <c r="M38"/>
  <c r="N38" s="1"/>
  <c r="L40" l="1"/>
  <c r="M40" s="1"/>
  <c r="N40" s="1"/>
  <c r="M39"/>
  <c r="N39" s="1"/>
  <c r="D9" i="2" l="1"/>
  <c r="C8" i="4" s="1"/>
  <c r="D12" i="2"/>
  <c r="D8"/>
  <c r="C6" i="4" s="1"/>
  <c r="D11" i="2"/>
  <c r="C9" i="4" s="1"/>
  <c r="D10" i="2"/>
  <c r="C7" i="4" s="1"/>
</calcChain>
</file>

<file path=xl/sharedStrings.xml><?xml version="1.0" encoding="utf-8"?>
<sst xmlns="http://schemas.openxmlformats.org/spreadsheetml/2006/main" count="123" uniqueCount="42">
  <si>
    <t>Capacity</t>
  </si>
  <si>
    <t>DP</t>
  </si>
  <si>
    <t>Material</t>
  </si>
  <si>
    <t>A285C</t>
  </si>
  <si>
    <t>A204C</t>
  </si>
  <si>
    <t>psig</t>
  </si>
  <si>
    <t>capacity</t>
  </si>
  <si>
    <t>GSLCS</t>
  </si>
  <si>
    <t>start row</t>
  </si>
  <si>
    <t>end row</t>
  </si>
  <si>
    <t>index</t>
  </si>
  <si>
    <t>rows containing capacity</t>
  </si>
  <si>
    <t>Row</t>
  </si>
  <si>
    <t>Equipment Cost</t>
  </si>
  <si>
    <t>Direct Cost</t>
  </si>
  <si>
    <t>rows containing material</t>
  </si>
  <si>
    <r>
      <t xml:space="preserve">Capacity
</t>
    </r>
    <r>
      <rPr>
        <sz val="10"/>
        <rFont val="Arial"/>
        <family val="2"/>
      </rPr>
      <t>(Gallons)</t>
    </r>
  </si>
  <si>
    <r>
      <t xml:space="preserve">DP
</t>
    </r>
    <r>
      <rPr>
        <sz val="10"/>
        <rFont val="Arial"/>
        <family val="2"/>
      </rPr>
      <t>(psig)</t>
    </r>
  </si>
  <si>
    <r>
      <t xml:space="preserve">Equipment
Cost </t>
    </r>
    <r>
      <rPr>
        <sz val="10"/>
        <rFont val="Arial"/>
        <family val="2"/>
      </rPr>
      <t>(US$)</t>
    </r>
  </si>
  <si>
    <r>
      <t xml:space="preserve">Direct
Cost </t>
    </r>
    <r>
      <rPr>
        <sz val="10"/>
        <rFont val="Arial"/>
        <family val="2"/>
      </rPr>
      <t>(US$)</t>
    </r>
  </si>
  <si>
    <t>User Model Input Template</t>
  </si>
  <si>
    <t>Project Component Type</t>
  </si>
  <si>
    <t>Item Information</t>
  </si>
  <si>
    <t>Value</t>
  </si>
  <si>
    <t>Units</t>
  </si>
  <si>
    <t>Equipment Name</t>
  </si>
  <si>
    <t>User Model Output Template</t>
  </si>
  <si>
    <t>Required Volume</t>
  </si>
  <si>
    <t>CPLIQUIDVOLUME</t>
  </si>
  <si>
    <t>CPDESIGNGAUGEPRESSURE</t>
  </si>
  <si>
    <t>CPSHELLMATERIAL</t>
  </si>
  <si>
    <t>CPQUOTEDCOST</t>
  </si>
  <si>
    <t>Required</t>
  </si>
  <si>
    <t>Available</t>
  </si>
  <si>
    <t>Design Pressure</t>
  </si>
  <si>
    <t>gallons</t>
  </si>
  <si>
    <t>Volume</t>
  </si>
  <si>
    <t>Enter Starting and ending rows:</t>
  </si>
  <si>
    <t>Which rows contain data for the spec capacity?</t>
  </si>
  <si>
    <t>Which capacity rows match SpecMaterial?</t>
  </si>
  <si>
    <t>Adjust the required parameters in blue and the cost model (data tab) will make the available calculations (below)</t>
  </si>
  <si>
    <t>These available parameters are calculated based on the required input (above)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</si>
</sst>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8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b/>
      <sz val="10"/>
      <color indexed="18"/>
      <name val="Arial"/>
      <family val="2"/>
    </font>
    <font>
      <i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</font>
    <font>
      <b/>
      <sz val="12"/>
      <color indexed="8"/>
      <name val="Arial"/>
      <family val="2"/>
    </font>
    <font>
      <sz val="10"/>
      <color indexed="12"/>
      <name val="Arial"/>
      <family val="2"/>
    </font>
    <font>
      <b/>
      <i/>
      <sz val="10"/>
      <color indexed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0" fontId="4" fillId="0" borderId="0" xfId="0" applyFont="1"/>
    <xf numFmtId="0" fontId="2" fillId="0" borderId="3" xfId="0" applyFont="1" applyBorder="1"/>
    <xf numFmtId="0" fontId="3" fillId="0" borderId="0" xfId="0" applyFont="1"/>
    <xf numFmtId="0" fontId="5" fillId="0" borderId="0" xfId="0" applyFont="1" applyBorder="1" applyAlignment="1">
      <alignment wrapText="1"/>
    </xf>
    <xf numFmtId="0" fontId="5" fillId="0" borderId="0" xfId="0" applyFont="1" applyBorder="1"/>
    <xf numFmtId="164" fontId="5" fillId="0" borderId="0" xfId="0" applyNumberFormat="1" applyFont="1" applyBorder="1" applyAlignment="1">
      <alignment wrapText="1"/>
    </xf>
    <xf numFmtId="0" fontId="2" fillId="2" borderId="4" xfId="0" applyFont="1" applyFill="1" applyBorder="1"/>
    <xf numFmtId="0" fontId="2" fillId="2" borderId="5" xfId="0" applyFont="1" applyFill="1" applyBorder="1"/>
    <xf numFmtId="0" fontId="0" fillId="3" borderId="6" xfId="0" applyFill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0" fontId="2" fillId="4" borderId="4" xfId="0" applyFont="1" applyFill="1" applyBorder="1"/>
    <xf numFmtId="0" fontId="2" fillId="4" borderId="5" xfId="0" applyFont="1" applyFill="1" applyBorder="1"/>
    <xf numFmtId="0" fontId="0" fillId="5" borderId="9" xfId="0" applyFill="1" applyBorder="1"/>
    <xf numFmtId="165" fontId="2" fillId="0" borderId="10" xfId="0" applyNumberFormat="1" applyFont="1" applyBorder="1"/>
    <xf numFmtId="0" fontId="0" fillId="5" borderId="11" xfId="0" applyFill="1" applyBorder="1"/>
    <xf numFmtId="165" fontId="2" fillId="0" borderId="12" xfId="0" applyNumberFormat="1" applyFont="1" applyBorder="1"/>
    <xf numFmtId="165" fontId="2" fillId="0" borderId="13" xfId="0" applyNumberFormat="1" applyFont="1" applyBorder="1"/>
    <xf numFmtId="0" fontId="0" fillId="6" borderId="11" xfId="0" applyFill="1" applyBorder="1"/>
    <xf numFmtId="0" fontId="0" fillId="0" borderId="0" xfId="0" applyAlignment="1">
      <alignment horizontal="right"/>
    </xf>
    <xf numFmtId="0" fontId="2" fillId="0" borderId="0" xfId="0" applyFont="1" applyBorder="1"/>
    <xf numFmtId="0" fontId="2" fillId="7" borderId="0" xfId="0" applyFont="1" applyFill="1" applyBorder="1" applyAlignment="1" applyProtection="1">
      <alignment horizontal="right"/>
      <protection locked="0"/>
    </xf>
    <xf numFmtId="1" fontId="2" fillId="0" borderId="0" xfId="1" applyNumberFormat="1" applyFont="1" applyBorder="1" applyAlignment="1" applyProtection="1">
      <alignment horizontal="right"/>
      <protection hidden="1"/>
    </xf>
    <xf numFmtId="166" fontId="2" fillId="0" borderId="0" xfId="1" applyNumberFormat="1" applyFont="1" applyBorder="1" applyAlignment="1" applyProtection="1">
      <alignment horizontal="right"/>
      <protection hidden="1"/>
    </xf>
    <xf numFmtId="1" fontId="2" fillId="0" borderId="14" xfId="0" applyNumberFormat="1" applyFont="1" applyBorder="1" applyAlignment="1">
      <alignment horizontal="right"/>
    </xf>
    <xf numFmtId="1" fontId="2" fillId="0" borderId="7" xfId="0" applyNumberFormat="1" applyFont="1" applyBorder="1" applyAlignment="1">
      <alignment horizontal="right"/>
    </xf>
    <xf numFmtId="1" fontId="2" fillId="0" borderId="12" xfId="0" applyNumberFormat="1" applyFont="1" applyBorder="1" applyAlignment="1">
      <alignment horizontal="right"/>
    </xf>
    <xf numFmtId="0" fontId="5" fillId="0" borderId="1" xfId="0" applyFont="1" applyBorder="1" applyAlignment="1">
      <alignment wrapText="1"/>
    </xf>
    <xf numFmtId="164" fontId="5" fillId="0" borderId="15" xfId="0" applyNumberFormat="1" applyFont="1" applyBorder="1" applyAlignment="1">
      <alignment wrapText="1"/>
    </xf>
    <xf numFmtId="0" fontId="6" fillId="0" borderId="1" xfId="0" applyFont="1" applyBorder="1"/>
    <xf numFmtId="0" fontId="6" fillId="0" borderId="0" xfId="0" applyFont="1" applyBorder="1"/>
    <xf numFmtId="164" fontId="6" fillId="0" borderId="0" xfId="0" applyNumberFormat="1" applyFont="1" applyBorder="1"/>
    <xf numFmtId="164" fontId="6" fillId="0" borderId="15" xfId="0" applyNumberFormat="1" applyFont="1" applyBorder="1"/>
    <xf numFmtId="164" fontId="0" fillId="0" borderId="0" xfId="0" applyNumberFormat="1" applyBorder="1"/>
    <xf numFmtId="164" fontId="0" fillId="0" borderId="15" xfId="0" applyNumberFormat="1" applyBorder="1"/>
    <xf numFmtId="0" fontId="7" fillId="0" borderId="1" xfId="0" applyFont="1" applyBorder="1"/>
    <xf numFmtId="0" fontId="7" fillId="0" borderId="0" xfId="0" applyFont="1" applyBorder="1"/>
    <xf numFmtId="164" fontId="7" fillId="0" borderId="0" xfId="0" applyNumberFormat="1" applyFont="1" applyBorder="1"/>
    <xf numFmtId="164" fontId="7" fillId="0" borderId="15" xfId="0" applyNumberFormat="1" applyFont="1" applyBorder="1"/>
    <xf numFmtId="0" fontId="7" fillId="0" borderId="2" xfId="0" applyFont="1" applyBorder="1"/>
    <xf numFmtId="0" fontId="7" fillId="0" borderId="3" xfId="0" applyFont="1" applyBorder="1"/>
    <xf numFmtId="164" fontId="7" fillId="0" borderId="3" xfId="0" applyNumberFormat="1" applyFont="1" applyBorder="1"/>
    <xf numFmtId="164" fontId="7" fillId="0" borderId="16" xfId="0" applyNumberFormat="1" applyFont="1" applyBorder="1"/>
    <xf numFmtId="0" fontId="9" fillId="0" borderId="0" xfId="0" applyFont="1"/>
    <xf numFmtId="0" fontId="10" fillId="0" borderId="0" xfId="0" applyFont="1"/>
    <xf numFmtId="0" fontId="11" fillId="0" borderId="0" xfId="0" applyFont="1" applyBorder="1"/>
    <xf numFmtId="0" fontId="11" fillId="0" borderId="15" xfId="0" applyFont="1" applyBorder="1"/>
    <xf numFmtId="0" fontId="11" fillId="0" borderId="3" xfId="0" applyFont="1" applyBorder="1"/>
    <xf numFmtId="0" fontId="11" fillId="0" borderId="16" xfId="0" applyFont="1" applyBorder="1"/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19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8" borderId="17" xfId="0" applyFont="1" applyFill="1" applyBorder="1" applyAlignment="1">
      <alignment wrapText="1"/>
    </xf>
    <xf numFmtId="0" fontId="2" fillId="8" borderId="18" xfId="0" applyFont="1" applyFill="1" applyBorder="1" applyAlignment="1">
      <alignment wrapText="1"/>
    </xf>
    <xf numFmtId="164" fontId="2" fillId="8" borderId="18" xfId="0" applyNumberFormat="1" applyFont="1" applyFill="1" applyBorder="1" applyAlignment="1">
      <alignment wrapText="1"/>
    </xf>
    <xf numFmtId="164" fontId="2" fillId="8" borderId="19" xfId="0" applyNumberFormat="1" applyFont="1" applyFill="1" applyBorder="1" applyAlignment="1">
      <alignment wrapText="1"/>
    </xf>
    <xf numFmtId="0" fontId="2" fillId="0" borderId="15" xfId="0" applyFont="1" applyBorder="1"/>
    <xf numFmtId="0" fontId="2" fillId="7" borderId="3" xfId="0" applyFont="1" applyFill="1" applyBorder="1" applyAlignment="1" applyProtection="1">
      <alignment horizontal="right"/>
      <protection locked="0"/>
    </xf>
    <xf numFmtId="0" fontId="2" fillId="0" borderId="16" xfId="0" applyFont="1" applyBorder="1"/>
    <xf numFmtId="0" fontId="2" fillId="0" borderId="1" xfId="0" applyFont="1" applyBorder="1"/>
    <xf numFmtId="0" fontId="2" fillId="0" borderId="15" xfId="0" applyFont="1" applyBorder="1" applyProtection="1">
      <protection hidden="1"/>
    </xf>
    <xf numFmtId="166" fontId="2" fillId="0" borderId="3" xfId="1" applyNumberFormat="1" applyFont="1" applyBorder="1" applyAlignment="1" applyProtection="1">
      <alignment horizontal="right"/>
      <protection hidden="1"/>
    </xf>
    <xf numFmtId="0" fontId="2" fillId="0" borderId="16" xfId="0" applyFont="1" applyBorder="1" applyProtection="1">
      <protection hidden="1"/>
    </xf>
    <xf numFmtId="0" fontId="13" fillId="0" borderId="20" xfId="0" applyFont="1" applyBorder="1"/>
    <xf numFmtId="0" fontId="13" fillId="0" borderId="21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4" fillId="0" borderId="0" xfId="0" applyFont="1"/>
    <xf numFmtId="0" fontId="12" fillId="8" borderId="17" xfId="0" applyFont="1" applyFill="1" applyBorder="1" applyAlignment="1">
      <alignment horizontal="left"/>
    </xf>
    <xf numFmtId="0" fontId="12" fillId="8" borderId="18" xfId="0" applyFont="1" applyFill="1" applyBorder="1" applyAlignment="1">
      <alignment horizontal="left"/>
    </xf>
    <xf numFmtId="0" fontId="12" fillId="8" borderId="19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2</xdr:row>
      <xdr:rowOff>76200</xdr:rowOff>
    </xdr:from>
    <xdr:to>
      <xdr:col>5</xdr:col>
      <xdr:colOff>581025</xdr:colOff>
      <xdr:row>2</xdr:row>
      <xdr:rowOff>76200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 flipH="1">
          <a:off x="3562350" y="4572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342900</xdr:colOff>
      <xdr:row>8</xdr:row>
      <xdr:rowOff>85725</xdr:rowOff>
    </xdr:from>
    <xdr:to>
      <xdr:col>5</xdr:col>
      <xdr:colOff>590550</xdr:colOff>
      <xdr:row>8</xdr:row>
      <xdr:rowOff>85725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 flipH="1">
          <a:off x="3571875" y="1514475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selection sqref="A1:E1"/>
    </sheetView>
  </sheetViews>
  <sheetFormatPr defaultRowHeight="12.75"/>
  <cols>
    <col min="2" max="2" width="15.28515625" bestFit="1" customWidth="1"/>
    <col min="3" max="3" width="2.5703125" customWidth="1"/>
    <col min="4" max="4" width="12.28515625" style="25" bestFit="1" customWidth="1"/>
  </cols>
  <sheetData>
    <row r="1" spans="1:7" ht="16.5" thickBot="1">
      <c r="A1" s="77" t="s">
        <v>32</v>
      </c>
      <c r="B1" s="78"/>
      <c r="C1" s="78"/>
      <c r="D1" s="78"/>
      <c r="E1" s="79"/>
    </row>
    <row r="2" spans="1:7" ht="13.5" thickTop="1">
      <c r="A2" s="3"/>
      <c r="B2" s="26" t="s">
        <v>27</v>
      </c>
      <c r="C2" s="26"/>
      <c r="D2" s="27">
        <v>4000</v>
      </c>
      <c r="E2" s="64" t="s">
        <v>35</v>
      </c>
    </row>
    <row r="3" spans="1:7">
      <c r="A3" s="3"/>
      <c r="B3" s="26" t="s">
        <v>2</v>
      </c>
      <c r="C3" s="26"/>
      <c r="D3" s="27" t="s">
        <v>4</v>
      </c>
      <c r="E3" s="64"/>
      <c r="G3" s="76" t="s">
        <v>40</v>
      </c>
    </row>
    <row r="4" spans="1:7" ht="13.5" thickBot="1">
      <c r="A4" s="4"/>
      <c r="B4" s="7" t="s">
        <v>1</v>
      </c>
      <c r="C4" s="7"/>
      <c r="D4" s="65">
        <v>300</v>
      </c>
      <c r="E4" s="66" t="s">
        <v>5</v>
      </c>
    </row>
    <row r="6" spans="1:7" ht="13.5" thickBot="1"/>
    <row r="7" spans="1:7" ht="16.5" thickBot="1">
      <c r="A7" s="77" t="s">
        <v>33</v>
      </c>
      <c r="B7" s="78"/>
      <c r="C7" s="78"/>
      <c r="D7" s="78"/>
      <c r="E7" s="79"/>
    </row>
    <row r="8" spans="1:7" s="8" customFormat="1" ht="13.5" thickTop="1">
      <c r="A8" s="67"/>
      <c r="B8" s="26" t="s">
        <v>36</v>
      </c>
      <c r="C8" s="26"/>
      <c r="D8" s="28">
        <f>INDEX(Capacity,INDEX(_Row2,MATCH(SpecDP,DPselect,-1)))</f>
        <v>5000</v>
      </c>
      <c r="E8" s="68" t="str">
        <f>E2</f>
        <v>gallons</v>
      </c>
    </row>
    <row r="9" spans="1:7" s="8" customFormat="1">
      <c r="A9" s="67"/>
      <c r="B9" s="26" t="s">
        <v>2</v>
      </c>
      <c r="C9" s="26"/>
      <c r="D9" s="28" t="str">
        <f>INDEX(Material,INDEX(_Row2,MATCH(SpecDP,DPselect,-1)))</f>
        <v>A204C</v>
      </c>
      <c r="E9" s="68"/>
      <c r="G9" s="76" t="s">
        <v>41</v>
      </c>
    </row>
    <row r="10" spans="1:7" s="8" customFormat="1">
      <c r="A10" s="67"/>
      <c r="B10" s="26" t="s">
        <v>34</v>
      </c>
      <c r="C10" s="26"/>
      <c r="D10" s="28">
        <f>INDEX(DP,INDEX(_Row2,MATCH(SpecDP,DPselect,-1)))</f>
        <v>400</v>
      </c>
      <c r="E10" s="68" t="str">
        <f>E4</f>
        <v>psig</v>
      </c>
    </row>
    <row r="11" spans="1:7">
      <c r="A11" s="3"/>
      <c r="B11" s="26" t="s">
        <v>13</v>
      </c>
      <c r="C11" s="26"/>
      <c r="D11" s="29">
        <f>INDEX(EqCost,INDEX(_Row2,MATCH(SpecDP,DPselect,-1)))</f>
        <v>177800</v>
      </c>
      <c r="E11" s="68"/>
    </row>
    <row r="12" spans="1:7" ht="13.5" thickBot="1">
      <c r="A12" s="4"/>
      <c r="B12" s="7" t="s">
        <v>14</v>
      </c>
      <c r="C12" s="7"/>
      <c r="D12" s="69">
        <f>INDEX(DirCost,INDEX(_Row2,MATCH(SpecDP,DPselect,-1)))</f>
        <v>300700</v>
      </c>
      <c r="E12" s="70"/>
    </row>
  </sheetData>
  <sheetProtection sheet="1" objects="1" scenarios="1"/>
  <mergeCells count="2">
    <mergeCell ref="A1:E1"/>
    <mergeCell ref="A7:E7"/>
  </mergeCells>
  <phoneticPr fontId="0" type="noConversion"/>
  <dataValidations count="3">
    <dataValidation type="list" allowBlank="1" showInputMessage="1" showErrorMessage="1" sqref="D3">
      <formula1>"A285C,A204C,GSLCS"</formula1>
    </dataValidation>
    <dataValidation type="decimal" allowBlank="1" showInputMessage="1" showErrorMessage="1" promptTitle="DP Range" prompt="0-500 psig" sqref="D4">
      <formula1>0</formula1>
      <formula2>500</formula2>
    </dataValidation>
    <dataValidation type="decimal" allowBlank="1" showInputMessage="1" showErrorMessage="1" promptTitle="Capacity Range" prompt="0-8000 Gallons_x000a_" sqref="D2">
      <formula1>0</formula1>
      <formula2>8000</formula2>
    </dataValidation>
  </dataValidation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2.75"/>
  <cols>
    <col min="4" max="4" width="10.5703125" style="5" customWidth="1"/>
    <col min="5" max="5" width="10.28515625" style="5" customWidth="1"/>
  </cols>
  <sheetData>
    <row r="1" spans="1:16" ht="13.5" thickBot="1">
      <c r="G1" s="49" t="s">
        <v>37</v>
      </c>
      <c r="H1" s="6"/>
      <c r="I1" s="6"/>
    </row>
    <row r="2" spans="1:16" s="1" customFormat="1" ht="28.5" customHeight="1" thickBot="1">
      <c r="A2" s="60" t="s">
        <v>16</v>
      </c>
      <c r="B2" s="61" t="s">
        <v>17</v>
      </c>
      <c r="C2" s="59" t="s">
        <v>2</v>
      </c>
      <c r="D2" s="62" t="s">
        <v>18</v>
      </c>
      <c r="E2" s="63" t="s">
        <v>19</v>
      </c>
      <c r="G2" s="58" t="s">
        <v>0</v>
      </c>
      <c r="H2" s="59" t="s">
        <v>8</v>
      </c>
      <c r="I2" s="57" t="s">
        <v>9</v>
      </c>
    </row>
    <row r="3" spans="1:16" s="8" customFormat="1" ht="13.5" customHeight="1" thickTop="1" thickBot="1">
      <c r="A3" s="33">
        <v>8000</v>
      </c>
      <c r="B3" s="9">
        <v>500</v>
      </c>
      <c r="C3" s="10" t="s">
        <v>3</v>
      </c>
      <c r="D3" s="11">
        <v>209600</v>
      </c>
      <c r="E3" s="34">
        <v>356400</v>
      </c>
      <c r="G3" s="71">
        <v>8000</v>
      </c>
      <c r="H3" s="51">
        <v>3</v>
      </c>
      <c r="I3" s="52">
        <v>20</v>
      </c>
      <c r="L3" s="83" t="s">
        <v>38</v>
      </c>
      <c r="M3" s="83"/>
      <c r="N3" s="83"/>
      <c r="O3" s="83"/>
      <c r="P3" s="83"/>
    </row>
    <row r="4" spans="1:16" ht="13.5" thickBot="1">
      <c r="A4" s="33">
        <v>8000</v>
      </c>
      <c r="B4" s="9">
        <v>400</v>
      </c>
      <c r="C4" s="10" t="s">
        <v>3</v>
      </c>
      <c r="D4" s="11">
        <v>192800</v>
      </c>
      <c r="E4" s="34">
        <v>339100</v>
      </c>
      <c r="G4" s="71">
        <v>5000</v>
      </c>
      <c r="H4" s="51">
        <v>21</v>
      </c>
      <c r="I4" s="52">
        <v>38</v>
      </c>
      <c r="L4" s="80" t="s">
        <v>11</v>
      </c>
      <c r="M4" s="81"/>
      <c r="N4" s="82"/>
    </row>
    <row r="5" spans="1:16" ht="13.5" thickTop="1">
      <c r="A5" s="33">
        <v>8000</v>
      </c>
      <c r="B5" s="9">
        <v>250</v>
      </c>
      <c r="C5" s="10" t="s">
        <v>3</v>
      </c>
      <c r="D5" s="11">
        <v>169600</v>
      </c>
      <c r="E5" s="34">
        <v>315300</v>
      </c>
      <c r="G5" s="71">
        <v>3200</v>
      </c>
      <c r="H5" s="51">
        <v>39</v>
      </c>
      <c r="I5" s="52">
        <v>56</v>
      </c>
      <c r="L5" s="73" t="s">
        <v>10</v>
      </c>
      <c r="M5" s="51">
        <f>MATCH(RequiredCapacity,Capacity,-1)</f>
        <v>38</v>
      </c>
      <c r="N5" s="52"/>
    </row>
    <row r="6" spans="1:16" ht="13.5" thickBot="1">
      <c r="A6" s="33">
        <v>8000</v>
      </c>
      <c r="B6" s="9">
        <v>150</v>
      </c>
      <c r="C6" s="10" t="s">
        <v>3</v>
      </c>
      <c r="D6" s="11">
        <v>164200</v>
      </c>
      <c r="E6" s="34">
        <v>309800</v>
      </c>
      <c r="G6" s="72">
        <v>1500</v>
      </c>
      <c r="H6" s="53">
        <v>57</v>
      </c>
      <c r="I6" s="54">
        <v>74</v>
      </c>
      <c r="L6" s="73" t="s">
        <v>6</v>
      </c>
      <c r="M6" s="51">
        <f>INDEX(Capacity,M5)</f>
        <v>5000</v>
      </c>
      <c r="N6" s="52"/>
    </row>
    <row r="7" spans="1:16">
      <c r="A7" s="33">
        <v>8000</v>
      </c>
      <c r="B7" s="9">
        <v>100</v>
      </c>
      <c r="C7" s="10" t="s">
        <v>3</v>
      </c>
      <c r="D7" s="11">
        <v>160200</v>
      </c>
      <c r="E7" s="34">
        <v>304700</v>
      </c>
      <c r="L7" s="73" t="s">
        <v>8</v>
      </c>
      <c r="M7" s="51">
        <f>INDEX(Start,MATCH(M6,range,-1))</f>
        <v>21</v>
      </c>
      <c r="N7" s="52"/>
    </row>
    <row r="8" spans="1:16" ht="13.5" thickBot="1">
      <c r="A8" s="33">
        <v>8000</v>
      </c>
      <c r="B8" s="9">
        <v>50</v>
      </c>
      <c r="C8" s="10" t="s">
        <v>3</v>
      </c>
      <c r="D8" s="11">
        <v>160200</v>
      </c>
      <c r="E8" s="34">
        <v>304700</v>
      </c>
      <c r="L8" s="74" t="s">
        <v>9</v>
      </c>
      <c r="M8" s="53">
        <f>INDEX(last,MATCH(M6,range,-1))</f>
        <v>38</v>
      </c>
      <c r="N8" s="54"/>
    </row>
    <row r="9" spans="1:16">
      <c r="A9" s="33">
        <v>8000</v>
      </c>
      <c r="B9" s="9">
        <v>500</v>
      </c>
      <c r="C9" s="10" t="s">
        <v>4</v>
      </c>
      <c r="D9" s="11">
        <v>237000</v>
      </c>
      <c r="E9" s="34">
        <v>377100</v>
      </c>
    </row>
    <row r="10" spans="1:16">
      <c r="A10" s="33">
        <v>8000</v>
      </c>
      <c r="B10" s="9">
        <v>400</v>
      </c>
      <c r="C10" s="10" t="s">
        <v>4</v>
      </c>
      <c r="D10" s="11">
        <v>225000</v>
      </c>
      <c r="E10" s="34">
        <v>364800</v>
      </c>
    </row>
    <row r="11" spans="1:16">
      <c r="A11" s="33">
        <v>8000</v>
      </c>
      <c r="B11" s="9">
        <v>250</v>
      </c>
      <c r="C11" s="10" t="s">
        <v>4</v>
      </c>
      <c r="D11" s="11">
        <v>214200</v>
      </c>
      <c r="E11" s="34">
        <v>353700</v>
      </c>
    </row>
    <row r="12" spans="1:16">
      <c r="A12" s="33">
        <v>8000</v>
      </c>
      <c r="B12" s="9">
        <v>150</v>
      </c>
      <c r="C12" s="10" t="s">
        <v>4</v>
      </c>
      <c r="D12" s="11">
        <v>205500</v>
      </c>
      <c r="E12" s="34">
        <v>344000</v>
      </c>
    </row>
    <row r="13" spans="1:16">
      <c r="A13" s="33">
        <v>8000</v>
      </c>
      <c r="B13" s="9">
        <v>100</v>
      </c>
      <c r="C13" s="10" t="s">
        <v>4</v>
      </c>
      <c r="D13" s="11">
        <v>205500</v>
      </c>
      <c r="E13" s="34">
        <v>344000</v>
      </c>
      <c r="L13" s="49" t="s">
        <v>39</v>
      </c>
    </row>
    <row r="14" spans="1:16" ht="13.5" thickBot="1">
      <c r="A14" s="33">
        <v>8000</v>
      </c>
      <c r="B14" s="9">
        <v>50</v>
      </c>
      <c r="C14" s="10" t="s">
        <v>4</v>
      </c>
      <c r="D14" s="11">
        <v>205500</v>
      </c>
      <c r="E14" s="34">
        <v>344000</v>
      </c>
      <c r="L14" s="50" t="s">
        <v>15</v>
      </c>
    </row>
    <row r="15" spans="1:16" ht="13.5" thickBot="1">
      <c r="A15" s="33">
        <v>8000</v>
      </c>
      <c r="B15" s="9">
        <v>500</v>
      </c>
      <c r="C15" s="10" t="s">
        <v>7</v>
      </c>
      <c r="D15" s="11">
        <v>252100</v>
      </c>
      <c r="E15" s="34">
        <v>487700</v>
      </c>
      <c r="L15" s="55" t="s">
        <v>12</v>
      </c>
      <c r="M15" s="56" t="s">
        <v>2</v>
      </c>
      <c r="N15" s="57" t="s">
        <v>1</v>
      </c>
    </row>
    <row r="16" spans="1:16" ht="13.5" thickTop="1">
      <c r="A16" s="33">
        <v>8000</v>
      </c>
      <c r="B16" s="9">
        <v>400</v>
      </c>
      <c r="C16" s="10" t="s">
        <v>7</v>
      </c>
      <c r="D16" s="11">
        <v>238200</v>
      </c>
      <c r="E16" s="34">
        <v>472000</v>
      </c>
      <c r="L16" s="75">
        <f>startrow</f>
        <v>21</v>
      </c>
      <c r="M16" s="51" t="str">
        <f t="shared" ref="M16:M40" si="0">IF( L16&lt;=EndRow,(IF(INDEX(Material,L16)=SpecMaterial,INDEX(Material,L16)," "))," ")</f>
        <v xml:space="preserve"> </v>
      </c>
      <c r="N16" s="52" t="str">
        <f t="shared" ref="N16:N27" si="1">IF(NOT(M16=" "),INDEX(DP,L16)," ")</f>
        <v xml:space="preserve"> </v>
      </c>
    </row>
    <row r="17" spans="1:14">
      <c r="A17" s="33">
        <v>8000</v>
      </c>
      <c r="B17" s="9">
        <v>250</v>
      </c>
      <c r="C17" s="10" t="s">
        <v>7</v>
      </c>
      <c r="D17" s="11">
        <v>205800</v>
      </c>
      <c r="E17" s="34">
        <v>438900</v>
      </c>
      <c r="L17" s="73">
        <f>L16+1</f>
        <v>22</v>
      </c>
      <c r="M17" s="51" t="str">
        <f t="shared" si="0"/>
        <v xml:space="preserve"> </v>
      </c>
      <c r="N17" s="52" t="str">
        <f t="shared" si="1"/>
        <v xml:space="preserve"> </v>
      </c>
    </row>
    <row r="18" spans="1:14">
      <c r="A18" s="33">
        <v>8000</v>
      </c>
      <c r="B18" s="9">
        <v>200</v>
      </c>
      <c r="C18" s="10" t="s">
        <v>7</v>
      </c>
      <c r="D18" s="11">
        <v>199600</v>
      </c>
      <c r="E18" s="34">
        <v>426900</v>
      </c>
      <c r="L18" s="73">
        <f t="shared" ref="L18:L40" si="2">L17+1</f>
        <v>23</v>
      </c>
      <c r="M18" s="51" t="str">
        <f t="shared" si="0"/>
        <v xml:space="preserve"> </v>
      </c>
      <c r="N18" s="52" t="str">
        <f t="shared" si="1"/>
        <v xml:space="preserve"> </v>
      </c>
    </row>
    <row r="19" spans="1:14">
      <c r="A19" s="33">
        <v>8000</v>
      </c>
      <c r="B19" s="9">
        <v>150</v>
      </c>
      <c r="C19" s="10" t="s">
        <v>7</v>
      </c>
      <c r="D19" s="11">
        <v>196400</v>
      </c>
      <c r="E19" s="34">
        <v>423500</v>
      </c>
      <c r="L19" s="73">
        <f t="shared" si="2"/>
        <v>24</v>
      </c>
      <c r="M19" s="51" t="str">
        <f t="shared" si="0"/>
        <v xml:space="preserve"> </v>
      </c>
      <c r="N19" s="52" t="str">
        <f t="shared" si="1"/>
        <v xml:space="preserve"> </v>
      </c>
    </row>
    <row r="20" spans="1:14">
      <c r="A20" s="33">
        <v>8000</v>
      </c>
      <c r="B20" s="9">
        <v>50</v>
      </c>
      <c r="C20" s="10" t="s">
        <v>7</v>
      </c>
      <c r="D20" s="11">
        <v>196400</v>
      </c>
      <c r="E20" s="34">
        <v>423500</v>
      </c>
      <c r="L20" s="73">
        <f t="shared" si="2"/>
        <v>25</v>
      </c>
      <c r="M20" s="51" t="str">
        <f t="shared" si="0"/>
        <v xml:space="preserve"> </v>
      </c>
      <c r="N20" s="52" t="str">
        <f t="shared" si="1"/>
        <v xml:space="preserve"> </v>
      </c>
    </row>
    <row r="21" spans="1:14">
      <c r="A21" s="35">
        <v>5000</v>
      </c>
      <c r="B21" s="36">
        <v>500</v>
      </c>
      <c r="C21" s="36" t="s">
        <v>3</v>
      </c>
      <c r="D21" s="37">
        <v>166000</v>
      </c>
      <c r="E21" s="38">
        <v>295000</v>
      </c>
      <c r="L21" s="73">
        <f t="shared" si="2"/>
        <v>26</v>
      </c>
      <c r="M21" s="51" t="str">
        <f t="shared" si="0"/>
        <v xml:space="preserve"> </v>
      </c>
      <c r="N21" s="52" t="str">
        <f t="shared" si="1"/>
        <v xml:space="preserve"> </v>
      </c>
    </row>
    <row r="22" spans="1:14">
      <c r="A22" s="35">
        <v>5000</v>
      </c>
      <c r="B22" s="36">
        <v>400</v>
      </c>
      <c r="C22" s="36" t="s">
        <v>3</v>
      </c>
      <c r="D22" s="37">
        <v>153000</v>
      </c>
      <c r="E22" s="38">
        <v>281500</v>
      </c>
      <c r="L22" s="73">
        <f t="shared" si="2"/>
        <v>27</v>
      </c>
      <c r="M22" s="51" t="str">
        <f t="shared" si="0"/>
        <v>A204C</v>
      </c>
      <c r="N22" s="52">
        <f t="shared" si="1"/>
        <v>500</v>
      </c>
    </row>
    <row r="23" spans="1:14">
      <c r="A23" s="35">
        <v>5000</v>
      </c>
      <c r="B23" s="36">
        <v>250</v>
      </c>
      <c r="C23" s="36" t="s">
        <v>3</v>
      </c>
      <c r="D23" s="37">
        <v>137000</v>
      </c>
      <c r="E23" s="38">
        <v>265100</v>
      </c>
      <c r="L23" s="73">
        <f t="shared" si="2"/>
        <v>28</v>
      </c>
      <c r="M23" s="51" t="str">
        <f t="shared" si="0"/>
        <v>A204C</v>
      </c>
      <c r="N23" s="52">
        <f t="shared" si="1"/>
        <v>400</v>
      </c>
    </row>
    <row r="24" spans="1:14">
      <c r="A24" s="35">
        <v>5000</v>
      </c>
      <c r="B24" s="36">
        <v>150</v>
      </c>
      <c r="C24" s="36" t="s">
        <v>3</v>
      </c>
      <c r="D24" s="37">
        <v>133500</v>
      </c>
      <c r="E24" s="38">
        <v>261600</v>
      </c>
      <c r="L24" s="73">
        <f t="shared" si="2"/>
        <v>29</v>
      </c>
      <c r="M24" s="51" t="str">
        <f t="shared" si="0"/>
        <v>A204C</v>
      </c>
      <c r="N24" s="52">
        <f t="shared" si="1"/>
        <v>250</v>
      </c>
    </row>
    <row r="25" spans="1:14">
      <c r="A25" s="35">
        <v>5000</v>
      </c>
      <c r="B25" s="36">
        <v>100</v>
      </c>
      <c r="C25" s="36" t="s">
        <v>3</v>
      </c>
      <c r="D25" s="37">
        <v>130600</v>
      </c>
      <c r="E25" s="38">
        <v>257800</v>
      </c>
      <c r="L25" s="73">
        <f t="shared" si="2"/>
        <v>30</v>
      </c>
      <c r="M25" s="51" t="str">
        <f t="shared" si="0"/>
        <v>A204C</v>
      </c>
      <c r="N25" s="52">
        <f t="shared" si="1"/>
        <v>150</v>
      </c>
    </row>
    <row r="26" spans="1:14">
      <c r="A26" s="35">
        <v>5000</v>
      </c>
      <c r="B26" s="36">
        <v>50</v>
      </c>
      <c r="C26" s="36" t="s">
        <v>3</v>
      </c>
      <c r="D26" s="37">
        <v>130600</v>
      </c>
      <c r="E26" s="38">
        <v>257800</v>
      </c>
      <c r="L26" s="73">
        <f t="shared" si="2"/>
        <v>31</v>
      </c>
      <c r="M26" s="51" t="str">
        <f t="shared" si="0"/>
        <v>A204C</v>
      </c>
      <c r="N26" s="52">
        <f t="shared" si="1"/>
        <v>100</v>
      </c>
    </row>
    <row r="27" spans="1:14">
      <c r="A27" s="35">
        <v>5000</v>
      </c>
      <c r="B27" s="36">
        <v>500</v>
      </c>
      <c r="C27" s="36" t="s">
        <v>4</v>
      </c>
      <c r="D27" s="37">
        <v>186900</v>
      </c>
      <c r="E27" s="38">
        <v>310000</v>
      </c>
      <c r="L27" s="73">
        <f t="shared" si="2"/>
        <v>32</v>
      </c>
      <c r="M27" s="51" t="str">
        <f t="shared" si="0"/>
        <v>A204C</v>
      </c>
      <c r="N27" s="52">
        <f t="shared" si="1"/>
        <v>50</v>
      </c>
    </row>
    <row r="28" spans="1:14">
      <c r="A28" s="35">
        <v>5000</v>
      </c>
      <c r="B28" s="36">
        <v>400</v>
      </c>
      <c r="C28" s="36" t="s">
        <v>4</v>
      </c>
      <c r="D28" s="37">
        <v>177800</v>
      </c>
      <c r="E28" s="38">
        <v>300700</v>
      </c>
      <c r="L28" s="73">
        <f t="shared" si="2"/>
        <v>33</v>
      </c>
      <c r="M28" s="51" t="str">
        <f t="shared" si="0"/>
        <v xml:space="preserve"> </v>
      </c>
      <c r="N28" s="52" t="str">
        <f>IF(NOT(M28=" "),INDEX(DP,L28)," ")</f>
        <v xml:space="preserve"> </v>
      </c>
    </row>
    <row r="29" spans="1:14">
      <c r="A29" s="35">
        <v>5000</v>
      </c>
      <c r="B29" s="36">
        <v>250</v>
      </c>
      <c r="C29" s="36" t="s">
        <v>4</v>
      </c>
      <c r="D29" s="37">
        <v>168600</v>
      </c>
      <c r="E29" s="38">
        <v>291100</v>
      </c>
      <c r="L29" s="73">
        <f t="shared" si="2"/>
        <v>34</v>
      </c>
      <c r="M29" s="51" t="str">
        <f t="shared" si="0"/>
        <v xml:space="preserve"> </v>
      </c>
      <c r="N29" s="52" t="str">
        <f t="shared" ref="N29:N40" si="3">IF(NOT(M29=" "),INDEX(DP,L29)," ")</f>
        <v xml:space="preserve"> </v>
      </c>
    </row>
    <row r="30" spans="1:14">
      <c r="A30" s="35">
        <v>5000</v>
      </c>
      <c r="B30" s="36">
        <v>150</v>
      </c>
      <c r="C30" s="36" t="s">
        <v>4</v>
      </c>
      <c r="D30" s="37">
        <v>162100</v>
      </c>
      <c r="E30" s="38">
        <v>283900</v>
      </c>
      <c r="L30" s="73">
        <f t="shared" si="2"/>
        <v>35</v>
      </c>
      <c r="M30" s="51" t="str">
        <f t="shared" si="0"/>
        <v xml:space="preserve"> </v>
      </c>
      <c r="N30" s="52" t="str">
        <f t="shared" si="3"/>
        <v xml:space="preserve"> </v>
      </c>
    </row>
    <row r="31" spans="1:14">
      <c r="A31" s="35">
        <v>5000</v>
      </c>
      <c r="B31" s="36">
        <v>100</v>
      </c>
      <c r="C31" s="36" t="s">
        <v>4</v>
      </c>
      <c r="D31" s="37">
        <v>162100</v>
      </c>
      <c r="E31" s="38">
        <v>283900</v>
      </c>
      <c r="L31" s="73">
        <f t="shared" si="2"/>
        <v>36</v>
      </c>
      <c r="M31" s="51" t="str">
        <f t="shared" si="0"/>
        <v xml:space="preserve"> </v>
      </c>
      <c r="N31" s="52" t="str">
        <f t="shared" si="3"/>
        <v xml:space="preserve"> </v>
      </c>
    </row>
    <row r="32" spans="1:14">
      <c r="A32" s="35">
        <v>5000</v>
      </c>
      <c r="B32" s="36">
        <v>50</v>
      </c>
      <c r="C32" s="36" t="s">
        <v>4</v>
      </c>
      <c r="D32" s="37">
        <v>162100</v>
      </c>
      <c r="E32" s="38">
        <v>283900</v>
      </c>
      <c r="L32" s="73">
        <f t="shared" si="2"/>
        <v>37</v>
      </c>
      <c r="M32" s="51" t="str">
        <f t="shared" si="0"/>
        <v xml:space="preserve"> </v>
      </c>
      <c r="N32" s="52" t="str">
        <f t="shared" si="3"/>
        <v xml:space="preserve"> </v>
      </c>
    </row>
    <row r="33" spans="1:14">
      <c r="A33" s="35">
        <v>5000</v>
      </c>
      <c r="B33" s="36">
        <v>500</v>
      </c>
      <c r="C33" s="36" t="s">
        <v>7</v>
      </c>
      <c r="D33" s="37">
        <v>191900</v>
      </c>
      <c r="E33" s="38">
        <v>380500</v>
      </c>
      <c r="L33" s="73">
        <f t="shared" si="2"/>
        <v>38</v>
      </c>
      <c r="M33" s="51" t="str">
        <f t="shared" si="0"/>
        <v xml:space="preserve"> </v>
      </c>
      <c r="N33" s="52" t="str">
        <f t="shared" si="3"/>
        <v xml:space="preserve"> </v>
      </c>
    </row>
    <row r="34" spans="1:14">
      <c r="A34" s="35">
        <v>5000</v>
      </c>
      <c r="B34" s="36">
        <v>400</v>
      </c>
      <c r="C34" s="36" t="s">
        <v>7</v>
      </c>
      <c r="D34" s="37">
        <v>183100</v>
      </c>
      <c r="E34" s="38">
        <v>371400</v>
      </c>
      <c r="L34" s="73">
        <f t="shared" si="2"/>
        <v>39</v>
      </c>
      <c r="M34" s="51" t="str">
        <f t="shared" si="0"/>
        <v xml:space="preserve"> </v>
      </c>
      <c r="N34" s="52" t="str">
        <f t="shared" si="3"/>
        <v xml:space="preserve"> </v>
      </c>
    </row>
    <row r="35" spans="1:14">
      <c r="A35" s="35">
        <v>5000</v>
      </c>
      <c r="B35" s="36">
        <v>250</v>
      </c>
      <c r="C35" s="36" t="s">
        <v>7</v>
      </c>
      <c r="D35" s="37">
        <v>163800</v>
      </c>
      <c r="E35" s="38">
        <v>351600</v>
      </c>
      <c r="L35" s="73">
        <f t="shared" si="2"/>
        <v>40</v>
      </c>
      <c r="M35" s="51" t="str">
        <f t="shared" si="0"/>
        <v xml:space="preserve"> </v>
      </c>
      <c r="N35" s="52" t="str">
        <f t="shared" si="3"/>
        <v xml:space="preserve"> </v>
      </c>
    </row>
    <row r="36" spans="1:14">
      <c r="A36" s="35">
        <v>5000</v>
      </c>
      <c r="B36" s="36">
        <v>200</v>
      </c>
      <c r="C36" s="36" t="s">
        <v>7</v>
      </c>
      <c r="D36" s="37">
        <v>159300</v>
      </c>
      <c r="E36" s="38">
        <v>343000</v>
      </c>
      <c r="L36" s="73">
        <f t="shared" si="2"/>
        <v>41</v>
      </c>
      <c r="M36" s="51" t="str">
        <f t="shared" si="0"/>
        <v xml:space="preserve"> </v>
      </c>
      <c r="N36" s="52" t="str">
        <f t="shared" si="3"/>
        <v xml:space="preserve"> </v>
      </c>
    </row>
    <row r="37" spans="1:14">
      <c r="A37" s="35">
        <v>5000</v>
      </c>
      <c r="B37" s="36">
        <v>150</v>
      </c>
      <c r="C37" s="36" t="s">
        <v>7</v>
      </c>
      <c r="D37" s="37">
        <v>158200</v>
      </c>
      <c r="E37" s="38">
        <v>341800</v>
      </c>
      <c r="L37" s="73">
        <f t="shared" si="2"/>
        <v>42</v>
      </c>
      <c r="M37" s="51" t="str">
        <f t="shared" si="0"/>
        <v xml:space="preserve"> </v>
      </c>
      <c r="N37" s="52" t="str">
        <f t="shared" si="3"/>
        <v xml:space="preserve"> </v>
      </c>
    </row>
    <row r="38" spans="1:14">
      <c r="A38" s="35">
        <v>5000</v>
      </c>
      <c r="B38" s="36">
        <v>50</v>
      </c>
      <c r="C38" s="36" t="s">
        <v>7</v>
      </c>
      <c r="D38" s="37">
        <v>158200</v>
      </c>
      <c r="E38" s="38">
        <v>341800</v>
      </c>
      <c r="L38" s="73">
        <f t="shared" si="2"/>
        <v>43</v>
      </c>
      <c r="M38" s="51" t="str">
        <f t="shared" si="0"/>
        <v xml:space="preserve"> </v>
      </c>
      <c r="N38" s="52" t="str">
        <f t="shared" si="3"/>
        <v xml:space="preserve"> </v>
      </c>
    </row>
    <row r="39" spans="1:14">
      <c r="A39" s="3">
        <v>3200</v>
      </c>
      <c r="B39" s="2">
        <v>500</v>
      </c>
      <c r="C39" s="2" t="s">
        <v>3</v>
      </c>
      <c r="D39" s="39">
        <v>126300</v>
      </c>
      <c r="E39" s="40">
        <v>250300</v>
      </c>
      <c r="L39" s="73">
        <f t="shared" si="2"/>
        <v>44</v>
      </c>
      <c r="M39" s="51" t="str">
        <f t="shared" si="0"/>
        <v xml:space="preserve"> </v>
      </c>
      <c r="N39" s="52" t="str">
        <f t="shared" si="3"/>
        <v xml:space="preserve"> </v>
      </c>
    </row>
    <row r="40" spans="1:14" ht="13.5" thickBot="1">
      <c r="A40" s="3">
        <v>3200</v>
      </c>
      <c r="B40" s="2">
        <v>400</v>
      </c>
      <c r="C40" s="2" t="s">
        <v>3</v>
      </c>
      <c r="D40" s="39">
        <v>119300</v>
      </c>
      <c r="E40" s="40">
        <v>243000</v>
      </c>
      <c r="L40" s="74">
        <f t="shared" si="2"/>
        <v>45</v>
      </c>
      <c r="M40" s="53" t="str">
        <f t="shared" si="0"/>
        <v xml:space="preserve"> </v>
      </c>
      <c r="N40" s="54" t="str">
        <f t="shared" si="3"/>
        <v xml:space="preserve"> </v>
      </c>
    </row>
    <row r="41" spans="1:14">
      <c r="A41" s="3">
        <v>3200</v>
      </c>
      <c r="B41" s="2">
        <v>250</v>
      </c>
      <c r="C41" s="2" t="s">
        <v>3</v>
      </c>
      <c r="D41" s="39">
        <v>103900</v>
      </c>
      <c r="E41" s="40">
        <v>227300</v>
      </c>
    </row>
    <row r="42" spans="1:14">
      <c r="A42" s="3">
        <v>3200</v>
      </c>
      <c r="B42" s="2">
        <v>150</v>
      </c>
      <c r="C42" s="2" t="s">
        <v>3</v>
      </c>
      <c r="D42" s="39">
        <v>50000</v>
      </c>
      <c r="E42" s="40">
        <v>120000</v>
      </c>
    </row>
    <row r="43" spans="1:14">
      <c r="A43" s="3">
        <v>3200</v>
      </c>
      <c r="B43" s="2">
        <v>100</v>
      </c>
      <c r="C43" s="2" t="s">
        <v>3</v>
      </c>
      <c r="D43" s="39">
        <v>104400</v>
      </c>
      <c r="E43" s="40">
        <v>227700</v>
      </c>
    </row>
    <row r="44" spans="1:14">
      <c r="A44" s="3">
        <v>3200</v>
      </c>
      <c r="B44" s="2">
        <v>50</v>
      </c>
      <c r="C44" s="2" t="s">
        <v>3</v>
      </c>
      <c r="D44" s="39">
        <v>102400</v>
      </c>
      <c r="E44" s="40">
        <v>224900</v>
      </c>
    </row>
    <row r="45" spans="1:14">
      <c r="A45" s="3">
        <v>3200</v>
      </c>
      <c r="B45" s="2">
        <v>500</v>
      </c>
      <c r="C45" s="2" t="s">
        <v>4</v>
      </c>
      <c r="D45" s="39">
        <v>143800</v>
      </c>
      <c r="E45" s="40">
        <v>262400</v>
      </c>
    </row>
    <row r="46" spans="1:14">
      <c r="A46" s="3">
        <v>3200</v>
      </c>
      <c r="B46" s="2">
        <v>400</v>
      </c>
      <c r="C46" s="2" t="s">
        <v>4</v>
      </c>
      <c r="D46" s="39">
        <v>137100</v>
      </c>
      <c r="E46" s="40">
        <v>255500</v>
      </c>
    </row>
    <row r="47" spans="1:14">
      <c r="A47" s="3">
        <v>3200</v>
      </c>
      <c r="B47" s="2">
        <v>250</v>
      </c>
      <c r="C47" s="2" t="s">
        <v>4</v>
      </c>
      <c r="D47" s="39">
        <v>132000</v>
      </c>
      <c r="E47" s="40">
        <v>250200</v>
      </c>
    </row>
    <row r="48" spans="1:14">
      <c r="A48" s="3">
        <v>3200</v>
      </c>
      <c r="B48" s="2">
        <v>150</v>
      </c>
      <c r="C48" s="2" t="s">
        <v>4</v>
      </c>
      <c r="D48" s="39">
        <v>127700</v>
      </c>
      <c r="E48" s="40">
        <v>245200</v>
      </c>
    </row>
    <row r="49" spans="1:5">
      <c r="A49" s="3">
        <v>3200</v>
      </c>
      <c r="B49" s="2">
        <v>100</v>
      </c>
      <c r="C49" s="2" t="s">
        <v>4</v>
      </c>
      <c r="D49" s="39">
        <v>127700</v>
      </c>
      <c r="E49" s="40">
        <v>245200</v>
      </c>
    </row>
    <row r="50" spans="1:5">
      <c r="A50" s="3">
        <v>3200</v>
      </c>
      <c r="B50" s="2">
        <v>50</v>
      </c>
      <c r="C50" s="2" t="s">
        <v>4</v>
      </c>
      <c r="D50" s="39">
        <v>127700</v>
      </c>
      <c r="E50" s="40">
        <v>245200</v>
      </c>
    </row>
    <row r="51" spans="1:5">
      <c r="A51" s="3">
        <v>3200</v>
      </c>
      <c r="B51" s="2">
        <v>500</v>
      </c>
      <c r="C51" s="2" t="s">
        <v>7</v>
      </c>
      <c r="D51" s="39">
        <v>147200</v>
      </c>
      <c r="E51" s="40">
        <v>331400</v>
      </c>
    </row>
    <row r="52" spans="1:5">
      <c r="A52" s="3">
        <v>3200</v>
      </c>
      <c r="B52" s="2">
        <v>400</v>
      </c>
      <c r="C52" s="2" t="s">
        <v>7</v>
      </c>
      <c r="D52" s="39">
        <v>140400</v>
      </c>
      <c r="E52" s="40">
        <v>324300</v>
      </c>
    </row>
    <row r="53" spans="1:5">
      <c r="A53" s="3">
        <v>3200</v>
      </c>
      <c r="B53" s="2">
        <v>250</v>
      </c>
      <c r="C53" s="2" t="s">
        <v>7</v>
      </c>
      <c r="D53" s="39">
        <v>127400</v>
      </c>
      <c r="E53" s="40">
        <v>311000</v>
      </c>
    </row>
    <row r="54" spans="1:5">
      <c r="A54" s="3">
        <v>3200</v>
      </c>
      <c r="B54" s="2">
        <v>200</v>
      </c>
      <c r="C54" s="2" t="s">
        <v>7</v>
      </c>
      <c r="D54" s="39">
        <v>124300</v>
      </c>
      <c r="E54" s="40">
        <v>303800</v>
      </c>
    </row>
    <row r="55" spans="1:5">
      <c r="A55" s="3">
        <v>3200</v>
      </c>
      <c r="B55" s="2">
        <v>150</v>
      </c>
      <c r="C55" s="2" t="s">
        <v>7</v>
      </c>
      <c r="D55" s="39">
        <v>123500</v>
      </c>
      <c r="E55" s="40">
        <v>303000</v>
      </c>
    </row>
    <row r="56" spans="1:5">
      <c r="A56" s="3">
        <v>3200</v>
      </c>
      <c r="B56" s="2">
        <v>50</v>
      </c>
      <c r="C56" s="2" t="s">
        <v>7</v>
      </c>
      <c r="D56" s="39">
        <v>123500</v>
      </c>
      <c r="E56" s="40">
        <v>303000</v>
      </c>
    </row>
    <row r="57" spans="1:5">
      <c r="A57" s="41">
        <v>1000</v>
      </c>
      <c r="B57" s="42">
        <v>500</v>
      </c>
      <c r="C57" s="42" t="s">
        <v>3</v>
      </c>
      <c r="D57" s="43">
        <v>60300</v>
      </c>
      <c r="E57" s="44">
        <v>163500</v>
      </c>
    </row>
    <row r="58" spans="1:5">
      <c r="A58" s="41">
        <v>1000</v>
      </c>
      <c r="B58" s="42">
        <v>400</v>
      </c>
      <c r="C58" s="42" t="s">
        <v>3</v>
      </c>
      <c r="D58" s="43">
        <v>57800</v>
      </c>
      <c r="E58" s="44">
        <v>161000</v>
      </c>
    </row>
    <row r="59" spans="1:5">
      <c r="A59" s="41">
        <v>1000</v>
      </c>
      <c r="B59" s="42">
        <v>250</v>
      </c>
      <c r="C59" s="42" t="s">
        <v>3</v>
      </c>
      <c r="D59" s="43">
        <v>55400</v>
      </c>
      <c r="E59" s="44">
        <v>158500</v>
      </c>
    </row>
    <row r="60" spans="1:5">
      <c r="A60" s="41">
        <v>1000</v>
      </c>
      <c r="B60" s="42">
        <v>150</v>
      </c>
      <c r="C60" s="42" t="s">
        <v>3</v>
      </c>
      <c r="D60" s="43">
        <v>55100</v>
      </c>
      <c r="E60" s="44">
        <v>158200</v>
      </c>
    </row>
    <row r="61" spans="1:5">
      <c r="A61" s="41">
        <v>1000</v>
      </c>
      <c r="B61" s="42">
        <v>100</v>
      </c>
      <c r="C61" s="42" t="s">
        <v>3</v>
      </c>
      <c r="D61" s="43">
        <v>54400</v>
      </c>
      <c r="E61" s="44">
        <v>157600</v>
      </c>
    </row>
    <row r="62" spans="1:5">
      <c r="A62" s="41">
        <v>1000</v>
      </c>
      <c r="B62" s="42">
        <v>50</v>
      </c>
      <c r="C62" s="42" t="s">
        <v>3</v>
      </c>
      <c r="D62" s="43">
        <v>54400</v>
      </c>
      <c r="E62" s="44">
        <v>157600</v>
      </c>
    </row>
    <row r="63" spans="1:5">
      <c r="A63" s="41">
        <v>1000</v>
      </c>
      <c r="B63" s="42">
        <v>500</v>
      </c>
      <c r="C63" s="42" t="s">
        <v>4</v>
      </c>
      <c r="D63" s="43">
        <v>69100</v>
      </c>
      <c r="E63" s="44">
        <v>168700</v>
      </c>
    </row>
    <row r="64" spans="1:5">
      <c r="A64" s="41">
        <v>1000</v>
      </c>
      <c r="B64" s="42">
        <v>400</v>
      </c>
      <c r="C64" s="42" t="s">
        <v>4</v>
      </c>
      <c r="D64" s="43">
        <v>67300</v>
      </c>
      <c r="E64" s="44">
        <v>166900</v>
      </c>
    </row>
    <row r="65" spans="1:5">
      <c r="A65" s="41">
        <v>1000</v>
      </c>
      <c r="B65" s="42">
        <v>250</v>
      </c>
      <c r="C65" s="42" t="s">
        <v>4</v>
      </c>
      <c r="D65" s="43">
        <v>66300</v>
      </c>
      <c r="E65" s="44">
        <v>165800</v>
      </c>
    </row>
    <row r="66" spans="1:5">
      <c r="A66" s="41">
        <v>1000</v>
      </c>
      <c r="B66" s="42">
        <v>150</v>
      </c>
      <c r="C66" s="42" t="s">
        <v>4</v>
      </c>
      <c r="D66" s="43">
        <v>64600</v>
      </c>
      <c r="E66" s="44">
        <v>163500</v>
      </c>
    </row>
    <row r="67" spans="1:5">
      <c r="A67" s="41">
        <v>1000</v>
      </c>
      <c r="B67" s="42">
        <v>100</v>
      </c>
      <c r="C67" s="42" t="s">
        <v>4</v>
      </c>
      <c r="D67" s="43">
        <v>64600</v>
      </c>
      <c r="E67" s="44">
        <v>163500</v>
      </c>
    </row>
    <row r="68" spans="1:5">
      <c r="A68" s="41">
        <v>1000</v>
      </c>
      <c r="B68" s="42">
        <v>50</v>
      </c>
      <c r="C68" s="42" t="s">
        <v>4</v>
      </c>
      <c r="D68" s="43">
        <v>64600</v>
      </c>
      <c r="E68" s="44">
        <v>163500</v>
      </c>
    </row>
    <row r="69" spans="1:5">
      <c r="A69" s="41">
        <v>1000</v>
      </c>
      <c r="B69" s="42">
        <v>500</v>
      </c>
      <c r="C69" s="42" t="s">
        <v>7</v>
      </c>
      <c r="D69" s="43">
        <v>80600</v>
      </c>
      <c r="E69" s="44">
        <v>231900</v>
      </c>
    </row>
    <row r="70" spans="1:5">
      <c r="A70" s="41">
        <v>1000</v>
      </c>
      <c r="B70" s="42">
        <v>400</v>
      </c>
      <c r="C70" s="42" t="s">
        <v>7</v>
      </c>
      <c r="D70" s="43">
        <v>78900</v>
      </c>
      <c r="E70" s="44">
        <v>230100</v>
      </c>
    </row>
    <row r="71" spans="1:5">
      <c r="A71" s="41">
        <v>1000</v>
      </c>
      <c r="B71" s="42">
        <v>250</v>
      </c>
      <c r="C71" s="42" t="s">
        <v>7</v>
      </c>
      <c r="D71" s="43">
        <v>76500</v>
      </c>
      <c r="E71" s="44">
        <v>227600</v>
      </c>
    </row>
    <row r="72" spans="1:5">
      <c r="A72" s="41">
        <v>1000</v>
      </c>
      <c r="B72" s="42">
        <v>200</v>
      </c>
      <c r="C72" s="42" t="s">
        <v>7</v>
      </c>
      <c r="D72" s="43">
        <v>75300</v>
      </c>
      <c r="E72" s="44">
        <v>223400</v>
      </c>
    </row>
    <row r="73" spans="1:5">
      <c r="A73" s="41">
        <v>1000</v>
      </c>
      <c r="B73" s="42">
        <v>150</v>
      </c>
      <c r="C73" s="42" t="s">
        <v>7</v>
      </c>
      <c r="D73" s="43">
        <v>75300</v>
      </c>
      <c r="E73" s="44">
        <v>223400</v>
      </c>
    </row>
    <row r="74" spans="1:5" ht="13.5" thickBot="1">
      <c r="A74" s="45">
        <v>1000</v>
      </c>
      <c r="B74" s="46">
        <v>50</v>
      </c>
      <c r="C74" s="46" t="s">
        <v>7</v>
      </c>
      <c r="D74" s="47">
        <v>75300</v>
      </c>
      <c r="E74" s="48">
        <v>223400</v>
      </c>
    </row>
  </sheetData>
  <sheetProtection sheet="1" objects="1" scenarios="1"/>
  <mergeCells count="2">
    <mergeCell ref="L4:N4"/>
    <mergeCell ref="L3:P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D6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</cols>
  <sheetData>
    <row r="1" spans="2:4">
      <c r="B1" s="84" t="s">
        <v>20</v>
      </c>
      <c r="C1" s="84"/>
      <c r="D1" s="84"/>
    </row>
    <row r="3" spans="2:4" ht="13.5" thickBot="1">
      <c r="B3" s="85" t="s">
        <v>21</v>
      </c>
      <c r="C3" s="85"/>
      <c r="D3" s="85"/>
    </row>
    <row r="4" spans="2:4" ht="13.5" thickBot="1">
      <c r="B4" s="12" t="s">
        <v>22</v>
      </c>
      <c r="C4" s="12" t="s">
        <v>23</v>
      </c>
      <c r="D4" s="13" t="s">
        <v>24</v>
      </c>
    </row>
    <row r="5" spans="2:4">
      <c r="B5" s="14" t="s">
        <v>25</v>
      </c>
      <c r="C5" s="15"/>
      <c r="D5" s="16"/>
    </row>
    <row r="6" spans="2:4" ht="13.5" thickBot="1">
      <c r="B6" s="24"/>
      <c r="C6" s="22"/>
      <c r="D6" s="23"/>
    </row>
  </sheetData>
  <mergeCells count="2">
    <mergeCell ref="B1:D1"/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D9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</cols>
  <sheetData>
    <row r="1" spans="2:4">
      <c r="B1" s="84" t="s">
        <v>26</v>
      </c>
      <c r="C1" s="84"/>
      <c r="D1" s="84"/>
    </row>
    <row r="3" spans="2:4" ht="13.5" thickBot="1">
      <c r="B3" s="85" t="s">
        <v>21</v>
      </c>
      <c r="C3" s="85"/>
      <c r="D3" s="85"/>
    </row>
    <row r="4" spans="2:4" ht="13.5" thickBot="1">
      <c r="B4" s="17" t="s">
        <v>22</v>
      </c>
      <c r="C4" s="17" t="s">
        <v>23</v>
      </c>
      <c r="D4" s="18" t="s">
        <v>24</v>
      </c>
    </row>
    <row r="5" spans="2:4">
      <c r="B5" s="14" t="s">
        <v>25</v>
      </c>
      <c r="C5" s="30">
        <f>Input!C5</f>
        <v>0</v>
      </c>
      <c r="D5" s="20"/>
    </row>
    <row r="6" spans="2:4">
      <c r="B6" s="19" t="s">
        <v>28</v>
      </c>
      <c r="C6" s="31">
        <f>Specification!D8</f>
        <v>5000</v>
      </c>
      <c r="D6" s="16" t="str">
        <f>Specification!E8</f>
        <v>gallons</v>
      </c>
    </row>
    <row r="7" spans="2:4">
      <c r="B7" s="19" t="s">
        <v>29</v>
      </c>
      <c r="C7" s="31">
        <f>Specification!D10</f>
        <v>400</v>
      </c>
      <c r="D7" s="16" t="str">
        <f>Specification!E10</f>
        <v>psig</v>
      </c>
    </row>
    <row r="8" spans="2:4">
      <c r="B8" s="19" t="s">
        <v>30</v>
      </c>
      <c r="C8" s="31" t="str">
        <f>Specification!D9</f>
        <v>A204C</v>
      </c>
      <c r="D8" s="16"/>
    </row>
    <row r="9" spans="2:4" ht="13.5" thickBot="1">
      <c r="B9" s="21" t="s">
        <v>31</v>
      </c>
      <c r="C9" s="32">
        <f>Specification!D11</f>
        <v>177800</v>
      </c>
      <c r="D9" s="23"/>
    </row>
  </sheetData>
  <mergeCells count="2">
    <mergeCell ref="B1:D1"/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Specification</vt:lpstr>
      <vt:lpstr>Data</vt:lpstr>
      <vt:lpstr>Input</vt:lpstr>
      <vt:lpstr>Output</vt:lpstr>
      <vt:lpstr>_Row2</vt:lpstr>
      <vt:lpstr>Capacity</vt:lpstr>
      <vt:lpstr>DirCost</vt:lpstr>
      <vt:lpstr>DP</vt:lpstr>
      <vt:lpstr>DPselect</vt:lpstr>
      <vt:lpstr>EndRow</vt:lpstr>
      <vt:lpstr>EqCost</vt:lpstr>
      <vt:lpstr>last</vt:lpstr>
      <vt:lpstr>Material</vt:lpstr>
      <vt:lpstr>Material2</vt:lpstr>
      <vt:lpstr>range</vt:lpstr>
      <vt:lpstr>RequiredCapacity</vt:lpstr>
      <vt:lpstr>SpecDP</vt:lpstr>
      <vt:lpstr>SpecMaterial</vt:lpstr>
      <vt:lpstr>Start</vt:lpstr>
      <vt:lpstr>startrow</vt:lpstr>
    </vt:vector>
  </TitlesOfParts>
  <Company>Aspentech Inc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Aspentech</dc:creator>
  <cp:lastModifiedBy>Aspen Technology, INC.</cp:lastModifiedBy>
  <dcterms:created xsi:type="dcterms:W3CDTF">2003-08-27T16:09:53Z</dcterms:created>
  <dcterms:modified xsi:type="dcterms:W3CDTF">2013-04-30T17:35:49Z</dcterms:modified>
</cp:coreProperties>
</file>