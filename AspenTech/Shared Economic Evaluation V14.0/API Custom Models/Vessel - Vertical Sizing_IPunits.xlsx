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5" yWindow="6435" windowWidth="25260" windowHeight="6480" activeTab="2"/>
  </bookViews>
  <sheets>
    <sheet name="Input" sheetId="1" r:id="rId1"/>
    <sheet name="Diagram" sheetId="2" r:id="rId2"/>
    <sheet name="Custom Rules" sheetId="4" r:id="rId3"/>
    <sheet name="Output" sheetId="3" r:id="rId4"/>
  </sheets>
  <calcPr calcId="125725"/>
</workbook>
</file>

<file path=xl/calcChain.xml><?xml version="1.0" encoding="utf-8"?>
<calcChain xmlns="http://schemas.openxmlformats.org/spreadsheetml/2006/main">
  <c r="Q15" i="2"/>
  <c r="G40"/>
  <c r="G18"/>
  <c r="G26"/>
  <c r="C12" i="3"/>
  <c r="C11"/>
  <c r="Q46" i="2"/>
  <c r="Q16"/>
  <c r="Q45" s="1"/>
  <c r="Q17"/>
  <c r="Q44"/>
  <c r="R46"/>
  <c r="R45"/>
  <c r="R44"/>
  <c r="R17"/>
  <c r="R16"/>
  <c r="R15"/>
  <c r="R47"/>
  <c r="R18"/>
  <c r="Q43"/>
  <c r="K54" i="1"/>
  <c r="I54"/>
  <c r="G54"/>
  <c r="E54"/>
  <c r="C54"/>
  <c r="Q14" i="2"/>
  <c r="G43"/>
  <c r="G39"/>
  <c r="H39"/>
  <c r="G42"/>
  <c r="H42" s="1"/>
  <c r="G41"/>
  <c r="H41" s="1"/>
  <c r="H40"/>
  <c r="G29"/>
  <c r="G28"/>
  <c r="H28" s="1"/>
  <c r="G27"/>
  <c r="H27" s="1"/>
  <c r="H26"/>
  <c r="G25"/>
  <c r="G21"/>
  <c r="H18"/>
  <c r="G17"/>
  <c r="I5"/>
  <c r="D6" i="3"/>
  <c r="B6" i="4"/>
  <c r="C6" i="3" s="1"/>
  <c r="M38" i="4"/>
  <c r="M39" s="1"/>
  <c r="M37"/>
  <c r="C27" i="3"/>
  <c r="C26"/>
  <c r="C24"/>
  <c r="C23"/>
  <c r="D7"/>
  <c r="B7" i="4"/>
  <c r="C7" i="3" s="1"/>
  <c r="B11" i="4"/>
  <c r="Q47" i="2" s="1"/>
  <c r="B10" i="4"/>
  <c r="B9"/>
  <c r="Q18" i="2" s="1"/>
  <c r="B8" i="4"/>
  <c r="L67" i="3"/>
  <c r="K67"/>
  <c r="J67"/>
  <c r="I67"/>
  <c r="H67"/>
  <c r="G67"/>
  <c r="F67"/>
  <c r="E67"/>
  <c r="D67"/>
  <c r="C67"/>
  <c r="L66"/>
  <c r="K66"/>
  <c r="J66"/>
  <c r="I66"/>
  <c r="H66"/>
  <c r="G66"/>
  <c r="F66"/>
  <c r="E66"/>
  <c r="D66"/>
  <c r="C66"/>
  <c r="L65"/>
  <c r="K65"/>
  <c r="J65"/>
  <c r="I65"/>
  <c r="H65"/>
  <c r="G65"/>
  <c r="F65"/>
  <c r="E65"/>
  <c r="D65"/>
  <c r="C65"/>
  <c r="L64"/>
  <c r="K64"/>
  <c r="J64"/>
  <c r="I64"/>
  <c r="H64"/>
  <c r="G64"/>
  <c r="F64"/>
  <c r="E64"/>
  <c r="D64"/>
  <c r="C64"/>
  <c r="L63"/>
  <c r="K63"/>
  <c r="J63"/>
  <c r="I63"/>
  <c r="H63"/>
  <c r="G63"/>
  <c r="F63"/>
  <c r="E63"/>
  <c r="D63"/>
  <c r="C63"/>
  <c r="L62"/>
  <c r="K62"/>
  <c r="J62"/>
  <c r="I62"/>
  <c r="H62"/>
  <c r="G62"/>
  <c r="F62"/>
  <c r="E62"/>
  <c r="D62"/>
  <c r="C62"/>
  <c r="L61"/>
  <c r="K61"/>
  <c r="J61"/>
  <c r="I61"/>
  <c r="H61"/>
  <c r="G61"/>
  <c r="F61"/>
  <c r="E61"/>
  <c r="D61"/>
  <c r="C61"/>
  <c r="L60"/>
  <c r="K60"/>
  <c r="J60"/>
  <c r="I60"/>
  <c r="H60"/>
  <c r="G60"/>
  <c r="F60"/>
  <c r="E60"/>
  <c r="D60"/>
  <c r="C60"/>
  <c r="L59"/>
  <c r="K59"/>
  <c r="J59"/>
  <c r="I59"/>
  <c r="H59"/>
  <c r="G59"/>
  <c r="F59"/>
  <c r="E59"/>
  <c r="D59"/>
  <c r="C59"/>
  <c r="L58"/>
  <c r="K58"/>
  <c r="J58"/>
  <c r="I58"/>
  <c r="H58"/>
  <c r="G58"/>
  <c r="F58"/>
  <c r="E58"/>
  <c r="D58"/>
  <c r="C58"/>
  <c r="L57"/>
  <c r="K57"/>
  <c r="J57"/>
  <c r="I57"/>
  <c r="H57"/>
  <c r="G57"/>
  <c r="F57"/>
  <c r="E57"/>
  <c r="D57"/>
  <c r="C57"/>
  <c r="L56"/>
  <c r="K56"/>
  <c r="J56"/>
  <c r="I56"/>
  <c r="H56"/>
  <c r="G56"/>
  <c r="F56"/>
  <c r="E56"/>
  <c r="D56"/>
  <c r="C56"/>
  <c r="L55"/>
  <c r="K55"/>
  <c r="J55"/>
  <c r="I55"/>
  <c r="H55"/>
  <c r="G55"/>
  <c r="F55"/>
  <c r="E55"/>
  <c r="D55"/>
  <c r="C55"/>
  <c r="L54"/>
  <c r="K54"/>
  <c r="J54"/>
  <c r="I54"/>
  <c r="H54"/>
  <c r="G54"/>
  <c r="F54"/>
  <c r="E54"/>
  <c r="D54"/>
  <c r="C54"/>
  <c r="L53"/>
  <c r="K53"/>
  <c r="J53"/>
  <c r="I53"/>
  <c r="H53"/>
  <c r="G53"/>
  <c r="F53"/>
  <c r="E53"/>
  <c r="D53"/>
  <c r="C53"/>
  <c r="L52"/>
  <c r="K52"/>
  <c r="J52"/>
  <c r="I52"/>
  <c r="C52"/>
  <c r="L51"/>
  <c r="K51"/>
  <c r="L50"/>
  <c r="K50"/>
  <c r="H20" i="2"/>
  <c r="G20"/>
  <c r="H19"/>
  <c r="G19"/>
  <c r="K7"/>
  <c r="D5" i="3" s="1"/>
  <c r="J7" i="2"/>
  <c r="C5" i="3" s="1"/>
  <c r="C51"/>
  <c r="D51"/>
  <c r="E51"/>
  <c r="F51"/>
  <c r="G51"/>
  <c r="H51"/>
  <c r="I51"/>
  <c r="J51"/>
  <c r="D52"/>
  <c r="E52"/>
  <c r="F52"/>
  <c r="G52"/>
  <c r="H52"/>
  <c r="D50"/>
  <c r="E50"/>
  <c r="F50"/>
  <c r="G50"/>
  <c r="H50"/>
  <c r="I50"/>
  <c r="J50"/>
  <c r="C50"/>
  <c r="B23" i="4"/>
  <c r="B24" s="1"/>
  <c r="B25" s="1"/>
  <c r="B26" s="1"/>
  <c r="B27" s="1"/>
  <c r="B28" s="1"/>
  <c r="M40"/>
  <c r="M41" s="1"/>
  <c r="M42" s="1"/>
  <c r="M43" s="1"/>
  <c r="C15" i="3" s="1"/>
  <c r="S24" i="4"/>
  <c r="S25" s="1"/>
  <c r="S26" s="1"/>
  <c r="S27" s="1"/>
  <c r="C21" i="3" s="1"/>
  <c r="M44" i="4"/>
  <c r="C14" i="3" s="1"/>
  <c r="B32" i="4" l="1"/>
  <c r="B33" s="1"/>
  <c r="C9" i="3"/>
  <c r="B36" i="4"/>
  <c r="B47"/>
  <c r="M23"/>
  <c r="M24" s="1"/>
  <c r="M25" s="1"/>
  <c r="M26" s="1"/>
  <c r="M27" s="1"/>
  <c r="C18" i="3" s="1"/>
  <c r="B38" i="4" l="1"/>
  <c r="B40"/>
  <c r="B41" s="1"/>
  <c r="B42" s="1"/>
  <c r="B48" l="1"/>
  <c r="C10" i="3"/>
  <c r="C8" s="1"/>
  <c r="B43" i="4"/>
</calcChain>
</file>

<file path=xl/sharedStrings.xml><?xml version="1.0" encoding="utf-8"?>
<sst xmlns="http://schemas.openxmlformats.org/spreadsheetml/2006/main" count="264" uniqueCount="145">
  <si>
    <t>Value</t>
  </si>
  <si>
    <t>Units</t>
  </si>
  <si>
    <t>Stream Name</t>
  </si>
  <si>
    <t>Connection Stream Information</t>
  </si>
  <si>
    <t>Item Information</t>
  </si>
  <si>
    <t>Equipment Name</t>
  </si>
  <si>
    <t>User Model Output Template</t>
  </si>
  <si>
    <t>Stream Direction</t>
  </si>
  <si>
    <t>Liquid Conductivity</t>
  </si>
  <si>
    <t>Liquid Mass Density</t>
  </si>
  <si>
    <t>Liquid Mass Flow</t>
  </si>
  <si>
    <t>Liquid Specific Heat Capacity</t>
  </si>
  <si>
    <t>Liquid Viscosity</t>
  </si>
  <si>
    <t>Molecular Weight</t>
  </si>
  <si>
    <t>Pressure</t>
  </si>
  <si>
    <t>Surface Tension</t>
  </si>
  <si>
    <t>Temperature</t>
  </si>
  <si>
    <t>Total Mass Flow</t>
  </si>
  <si>
    <t>Vapor Conductivity</t>
  </si>
  <si>
    <t>Vapor Mass Density</t>
  </si>
  <si>
    <t>Vapor Mass Flow</t>
  </si>
  <si>
    <t>Vapor Specific Heat Capacity</t>
  </si>
  <si>
    <t>Vapor Viscosity</t>
  </si>
  <si>
    <t>Liquid Density</t>
  </si>
  <si>
    <t>CUSTOMIZED Project Component</t>
  </si>
  <si>
    <t>User Model Input Template</t>
  </si>
  <si>
    <t>SEPARATOR</t>
  </si>
  <si>
    <t>Total Mass Density</t>
  </si>
  <si>
    <t>CpDesignTemperature</t>
  </si>
  <si>
    <t>CpDesignGaugePressure</t>
  </si>
  <si>
    <t>CpVesselDiameter</t>
  </si>
  <si>
    <t>CpTangentTangentHeight</t>
  </si>
  <si>
    <t>PSIG</t>
  </si>
  <si>
    <t>FEET</t>
  </si>
  <si>
    <t>CpNozzleALocation</t>
  </si>
  <si>
    <t>CpNozzleAQuantity</t>
  </si>
  <si>
    <t>CpNozzleADiameter</t>
  </si>
  <si>
    <t>S</t>
  </si>
  <si>
    <t>INCHES</t>
  </si>
  <si>
    <t>Nozzle Sizing</t>
  </si>
  <si>
    <t>ft/s</t>
  </si>
  <si>
    <t>ft</t>
  </si>
  <si>
    <t>inches</t>
  </si>
  <si>
    <t>minutes</t>
  </si>
  <si>
    <t>feet</t>
  </si>
  <si>
    <t>LB/H</t>
  </si>
  <si>
    <t>PCF</t>
  </si>
  <si>
    <t>Vapor Volumetric Flow</t>
  </si>
  <si>
    <t>CFH</t>
  </si>
  <si>
    <t>Vapor Fraction</t>
  </si>
  <si>
    <t>Liquid Volumetric Flow</t>
  </si>
  <si>
    <t>CFM</t>
  </si>
  <si>
    <r>
      <t>ft</t>
    </r>
    <r>
      <rPr>
        <vertAlign val="superscript"/>
        <sz val="10"/>
        <rFont val="Arial"/>
        <family val="2"/>
      </rPr>
      <t>3</t>
    </r>
    <r>
      <rPr>
        <sz val="10"/>
        <rFont val="Arial"/>
        <family val="2"/>
      </rPr>
      <t>/s</t>
    </r>
  </si>
  <si>
    <r>
      <t>lb/ft</t>
    </r>
    <r>
      <rPr>
        <vertAlign val="superscript"/>
        <sz val="10"/>
        <rFont val="Arial"/>
        <family val="2"/>
      </rPr>
      <t>3</t>
    </r>
  </si>
  <si>
    <t>psig</t>
  </si>
  <si>
    <t>Max. Stream Temperature</t>
  </si>
  <si>
    <t>Max. Stream Pressure</t>
  </si>
  <si>
    <t>Summary of Stream Data from Input Sheet</t>
  </si>
  <si>
    <t>terminal velocity necessary for particles to settle out from gas, ft/s</t>
  </si>
  <si>
    <t>K =</t>
  </si>
  <si>
    <t>empirical constant for separator sizing, ft/s</t>
  </si>
  <si>
    <r>
      <t>liquid phase density, lb/ft</t>
    </r>
    <r>
      <rPr>
        <vertAlign val="superscript"/>
        <sz val="10"/>
        <rFont val="Arial"/>
        <family val="2"/>
      </rPr>
      <t>3</t>
    </r>
  </si>
  <si>
    <r>
      <t>gas phase density, lb/ft</t>
    </r>
    <r>
      <rPr>
        <vertAlign val="superscript"/>
        <sz val="10"/>
        <rFont val="Arial"/>
        <family val="2"/>
      </rPr>
      <t>3</t>
    </r>
  </si>
  <si>
    <t>Determining Vessel Diameter</t>
  </si>
  <si>
    <t>K Coefficient:</t>
  </si>
  <si>
    <r>
      <t>Max Allowable Vap Veloc, V</t>
    </r>
    <r>
      <rPr>
        <vertAlign val="subscript"/>
        <sz val="10"/>
        <rFont val="Arial"/>
        <family val="2"/>
      </rPr>
      <t>t</t>
    </r>
    <r>
      <rPr>
        <sz val="10"/>
        <rFont val="Arial"/>
        <family val="2"/>
      </rPr>
      <t>=</t>
    </r>
  </si>
  <si>
    <r>
      <t>Min. Required Area, A</t>
    </r>
    <r>
      <rPr>
        <vertAlign val="subscript"/>
        <sz val="10"/>
        <rFont val="Arial"/>
        <family val="2"/>
      </rPr>
      <t>p</t>
    </r>
    <r>
      <rPr>
        <sz val="10"/>
        <rFont val="Arial"/>
        <family val="2"/>
      </rPr>
      <t xml:space="preserve"> =</t>
    </r>
  </si>
  <si>
    <r>
      <t>ft</t>
    </r>
    <r>
      <rPr>
        <vertAlign val="superscript"/>
        <sz val="10"/>
        <rFont val="Arial"/>
        <family val="2"/>
      </rPr>
      <t>2</t>
    </r>
  </si>
  <si>
    <r>
      <t>Min. Vessel Diameter, D</t>
    </r>
    <r>
      <rPr>
        <vertAlign val="subscript"/>
        <sz val="10"/>
        <rFont val="Arial"/>
        <family val="2"/>
      </rPr>
      <t>p</t>
    </r>
    <r>
      <rPr>
        <sz val="10"/>
        <rFont val="Arial"/>
        <family val="2"/>
      </rPr>
      <t xml:space="preserve"> =</t>
    </r>
  </si>
  <si>
    <t>Round to Standard Head Size =</t>
  </si>
  <si>
    <t>Liquid Retention Time, t =</t>
  </si>
  <si>
    <t>Rules for Calculating the Size of a Vertical Separator via APEA Custom Model</t>
  </si>
  <si>
    <t>Height required for t =</t>
  </si>
  <si>
    <t>Estimated Mist Eliminator Height =</t>
  </si>
  <si>
    <t>Determining Vessel Height (based on experience rules of thumb and allowances)</t>
  </si>
  <si>
    <t>Est. height between HHLL and LLL =</t>
  </si>
  <si>
    <t>T/T Length =</t>
  </si>
  <si>
    <t>Rounded Vessel T/T Height, L =</t>
  </si>
  <si>
    <t>L/D Check =</t>
  </si>
  <si>
    <t>Vapor Outlet</t>
  </si>
  <si>
    <t>Liquid Outlet</t>
  </si>
  <si>
    <t>Max. Allow. Velocity =</t>
  </si>
  <si>
    <t>Min. cross-sect Area =</t>
  </si>
  <si>
    <t>Diameter =</t>
  </si>
  <si>
    <t>Nozzle ID =</t>
  </si>
  <si>
    <t>Height allowance from Top TL to ME top =</t>
  </si>
  <si>
    <t>Height allowance from ME btm to inlet Nozzle =</t>
  </si>
  <si>
    <t>Height allowance from Inlet Nozzle to HHLL =</t>
  </si>
  <si>
    <t>CpNozzleBLocation</t>
  </si>
  <si>
    <t>CpNozzleBQuantity</t>
  </si>
  <si>
    <t>CpNozzleBDiameter</t>
  </si>
  <si>
    <t>CpLiquidVolume</t>
  </si>
  <si>
    <t>GALLONS</t>
  </si>
  <si>
    <r>
      <t>Diameter Calculation:  V</t>
    </r>
    <r>
      <rPr>
        <vertAlign val="subscript"/>
        <sz val="12"/>
        <rFont val="Arial"/>
        <family val="2"/>
      </rPr>
      <t>t</t>
    </r>
    <r>
      <rPr>
        <sz val="12"/>
        <rFont val="Arial"/>
        <family val="2"/>
      </rPr>
      <t xml:space="preserve"> = K*((r</t>
    </r>
    <r>
      <rPr>
        <vertAlign val="subscript"/>
        <sz val="12"/>
        <rFont val="Arial"/>
        <family val="2"/>
      </rPr>
      <t>l</t>
    </r>
    <r>
      <rPr>
        <sz val="12"/>
        <rFont val="Arial"/>
        <family val="2"/>
      </rPr>
      <t>-r</t>
    </r>
    <r>
      <rPr>
        <vertAlign val="subscript"/>
        <sz val="12"/>
        <rFont val="Arial"/>
        <family val="2"/>
      </rPr>
      <t>g</t>
    </r>
    <r>
      <rPr>
        <sz val="12"/>
        <rFont val="Arial"/>
        <family val="2"/>
      </rPr>
      <t>)/r</t>
    </r>
    <r>
      <rPr>
        <vertAlign val="subscript"/>
        <sz val="12"/>
        <rFont val="Arial"/>
        <family val="2"/>
      </rPr>
      <t>g</t>
    </r>
    <r>
      <rPr>
        <sz val="12"/>
        <rFont val="Arial"/>
        <family val="2"/>
      </rPr>
      <t>)^0.5,  where:</t>
    </r>
  </si>
  <si>
    <r>
      <t>Rounded Vessel ID, D</t>
    </r>
    <r>
      <rPr>
        <b/>
        <vertAlign val="subscript"/>
        <sz val="10"/>
        <rFont val="Arial"/>
        <family val="2"/>
      </rPr>
      <t>v</t>
    </r>
    <r>
      <rPr>
        <b/>
        <sz val="10"/>
        <rFont val="Arial"/>
        <family val="2"/>
      </rPr>
      <t xml:space="preserve"> =</t>
    </r>
  </si>
  <si>
    <r>
      <t>V</t>
    </r>
    <r>
      <rPr>
        <vertAlign val="subscript"/>
        <sz val="10"/>
        <rFont val="Arial"/>
        <family val="2"/>
      </rPr>
      <t>t</t>
    </r>
    <r>
      <rPr>
        <sz val="10"/>
        <rFont val="Arial"/>
        <family val="2"/>
      </rPr>
      <t xml:space="preserve"> =</t>
    </r>
  </si>
  <si>
    <r>
      <t>r</t>
    </r>
    <r>
      <rPr>
        <vertAlign val="subscript"/>
        <sz val="10"/>
        <rFont val="Arial"/>
        <family val="2"/>
      </rPr>
      <t xml:space="preserve">l </t>
    </r>
    <r>
      <rPr>
        <sz val="10"/>
        <rFont val="Arial"/>
        <family val="2"/>
      </rPr>
      <t>=</t>
    </r>
  </si>
  <si>
    <r>
      <t>r</t>
    </r>
    <r>
      <rPr>
        <vertAlign val="subscript"/>
        <sz val="10"/>
        <rFont val="Arial"/>
        <family val="2"/>
      </rPr>
      <t xml:space="preserve">g </t>
    </r>
    <r>
      <rPr>
        <sz val="10"/>
        <rFont val="Arial"/>
        <family val="2"/>
      </rPr>
      <t>=</t>
    </r>
  </si>
  <si>
    <t>Height allowance between LLLL and bottom TL =</t>
  </si>
  <si>
    <t>Minimum 1 ft for stable process control</t>
  </si>
  <si>
    <t>Depends on system/process.  Note:  API 12J recommends 1 minute for gas/oil separation.</t>
  </si>
  <si>
    <t>CpNozzleCLocation</t>
  </si>
  <si>
    <t>CpNozzleCQuantity</t>
  </si>
  <si>
    <t>CpNozzleCDiameter</t>
  </si>
  <si>
    <t>CpNozzleDLocation</t>
  </si>
  <si>
    <t>CpNozzleDDiameter</t>
  </si>
  <si>
    <t>CpNozzleDQuantity</t>
  </si>
  <si>
    <t>CpNozzleELocation</t>
  </si>
  <si>
    <t>CpNozzleEQuantity</t>
  </si>
  <si>
    <t>CpNozzleEDiameter</t>
  </si>
  <si>
    <t>Manway</t>
  </si>
  <si>
    <t>MW ID =</t>
  </si>
  <si>
    <t>Instrument Taps</t>
  </si>
  <si>
    <t>Tap ID =</t>
  </si>
  <si>
    <t>Feed</t>
  </si>
  <si>
    <t>Total Mass Flow Rate =</t>
  </si>
  <si>
    <t>lb/hr</t>
  </si>
  <si>
    <t>Average Mixture Density =</t>
  </si>
  <si>
    <t>Actual Outlet Vapor Volumetric Flowrate:</t>
  </si>
  <si>
    <t>Outlet Vapor Density:</t>
  </si>
  <si>
    <t>Actual Outlet Liquid Volumetric Flowrate:</t>
  </si>
  <si>
    <t>Outlet Liquid Density:</t>
  </si>
  <si>
    <t>CpNumberManholes</t>
  </si>
  <si>
    <t>Minimum vessel ID = 3 ft</t>
  </si>
  <si>
    <t>Vertical Vessel Sizing with Mist Eliminator (Calculations based on Inch Pound Units using Souders and Brown correlation and various Rules of Thumb, reference GPSA)</t>
  </si>
  <si>
    <t>TL = tangent line</t>
  </si>
  <si>
    <t>D+6" or 42" minimum</t>
  </si>
  <si>
    <t>2 ft minimum;  HHLL = High high liquid level</t>
  </si>
  <si>
    <t>Number of MWs =</t>
  </si>
  <si>
    <t>Number of Taps =</t>
  </si>
  <si>
    <t>Note:  these calculations are based on a 2 phase system.  If only a single phase (or if 3 phases) are present, consider other equipment design options.</t>
  </si>
  <si>
    <t>Estimated Vessel Dimensions</t>
  </si>
  <si>
    <t>Inside Diameter</t>
  </si>
  <si>
    <t>Tangent to Tangent Height</t>
  </si>
  <si>
    <t>Number of Nozzles =</t>
  </si>
  <si>
    <t>User supplied value dependent on system, service, design (e.g. w/wo Mist Eliminator) and experience. Use 0.24 as a conservative estimate in this example.</t>
  </si>
  <si>
    <t>Deg F</t>
  </si>
  <si>
    <t>Vapor Density</t>
  </si>
  <si>
    <t>CpManholeDiameter</t>
  </si>
  <si>
    <t>Note:  vapor fraction is on weight basis</t>
  </si>
  <si>
    <t xml:space="preserve">Note:  this custom model is intended to illustrate how to retrieve stream data from a process simulator and use that information to perform simplified sizing calculations to design a vertical vessel.  It is not intended to match the sizing results from APEA.  Nozzle Sizing is also included to demonstrate how nozzles can be defined for a vessel (using a custom model).  However, once nozzles are defined, this will override any system generated default nozzles.  </t>
  </si>
  <si>
    <t>This template has been designed to be used for a Separator with up to three input streams and two output streams.  The calculations contained in this example are based on the default APEA IP project units, custom or metric units will require user conversions in this spreadsheet.</t>
  </si>
  <si>
    <t>Typically &lt; 4 (if liquid/gas ratio is high and/or residence time is dominant, consider horizontal vessel design.)</t>
  </si>
  <si>
    <t>F</t>
  </si>
  <si>
    <t>Note:  Maximum nozzle diameter is 48 inches</t>
  </si>
</sst>
</file>

<file path=xl/styles.xml><?xml version="1.0" encoding="utf-8"?>
<styleSheet xmlns="http://schemas.openxmlformats.org/spreadsheetml/2006/main">
  <numFmts count="3">
    <numFmt numFmtId="164" formatCode="0.0000"/>
    <numFmt numFmtId="165" formatCode="0.000"/>
    <numFmt numFmtId="166" formatCode="0.0"/>
  </numFmts>
  <fonts count="20">
    <font>
      <sz val="10"/>
      <name val="Arial"/>
    </font>
    <font>
      <b/>
      <sz val="10"/>
      <name val="Arial"/>
      <family val="2"/>
    </font>
    <font>
      <sz val="10"/>
      <name val="Arial"/>
      <family val="2"/>
    </font>
    <font>
      <b/>
      <sz val="10"/>
      <color indexed="18"/>
      <name val="Arial"/>
      <family val="2"/>
    </font>
    <font>
      <b/>
      <sz val="10"/>
      <color indexed="12"/>
      <name val="Arial"/>
      <family val="2"/>
    </font>
    <font>
      <b/>
      <sz val="10"/>
      <color indexed="48"/>
      <name val="Arial"/>
      <family val="2"/>
    </font>
    <font>
      <sz val="10"/>
      <color indexed="12"/>
      <name val="Arial"/>
      <family val="2"/>
    </font>
    <font>
      <sz val="10"/>
      <color indexed="48"/>
      <name val="Arial"/>
      <family val="2"/>
    </font>
    <font>
      <sz val="10"/>
      <color indexed="10"/>
      <name val="Arial"/>
      <family val="2"/>
    </font>
    <font>
      <b/>
      <sz val="12"/>
      <color indexed="10"/>
      <name val="Arial"/>
      <family val="2"/>
    </font>
    <font>
      <i/>
      <sz val="10"/>
      <color indexed="12"/>
      <name val="Arial"/>
      <family val="2"/>
    </font>
    <font>
      <vertAlign val="superscript"/>
      <sz val="10"/>
      <name val="Arial"/>
      <family val="2"/>
    </font>
    <font>
      <vertAlign val="subscript"/>
      <sz val="10"/>
      <name val="Arial"/>
      <family val="2"/>
    </font>
    <font>
      <b/>
      <sz val="11"/>
      <name val="Arial"/>
      <family val="2"/>
    </font>
    <font>
      <b/>
      <sz val="12"/>
      <name val="Arial"/>
      <family val="2"/>
    </font>
    <font>
      <sz val="12"/>
      <name val="Arial"/>
      <family val="2"/>
    </font>
    <font>
      <vertAlign val="subscript"/>
      <sz val="12"/>
      <name val="Arial"/>
      <family val="2"/>
    </font>
    <font>
      <b/>
      <vertAlign val="subscript"/>
      <sz val="10"/>
      <name val="Arial"/>
      <family val="2"/>
    </font>
    <font>
      <sz val="10"/>
      <color rgb="FFFF0000"/>
      <name val="Arial"/>
      <family val="2"/>
    </font>
    <font>
      <b/>
      <sz val="11"/>
      <color rgb="FF0070C0"/>
      <name val="Arial"/>
      <family val="2"/>
    </font>
  </fonts>
  <fills count="8">
    <fill>
      <patternFill patternType="none"/>
    </fill>
    <fill>
      <patternFill patternType="gray125"/>
    </fill>
    <fill>
      <patternFill patternType="solid">
        <fgColor indexed="43"/>
        <bgColor indexed="64"/>
      </patternFill>
    </fill>
    <fill>
      <patternFill patternType="solid">
        <fgColor indexed="51"/>
        <bgColor indexed="64"/>
      </patternFill>
    </fill>
    <fill>
      <patternFill patternType="solid">
        <fgColor indexed="42"/>
        <bgColor indexed="64"/>
      </patternFill>
    </fill>
    <fill>
      <patternFill patternType="solid">
        <fgColor indexed="13"/>
        <bgColor indexed="64"/>
      </patternFill>
    </fill>
    <fill>
      <patternFill patternType="solid">
        <fgColor indexed="14"/>
        <bgColor indexed="64"/>
      </patternFill>
    </fill>
    <fill>
      <patternFill patternType="solid">
        <fgColor indexed="45"/>
        <bgColor indexed="64"/>
      </patternFill>
    </fill>
  </fills>
  <borders count="42">
    <border>
      <left/>
      <right/>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114">
    <xf numFmtId="0" fontId="0" fillId="0" borderId="0" xfId="0"/>
    <xf numFmtId="0" fontId="0" fillId="2" borderId="2" xfId="0" applyFill="1" applyBorder="1"/>
    <xf numFmtId="0" fontId="1" fillId="2" borderId="3" xfId="0" applyFont="1" applyFill="1" applyBorder="1"/>
    <xf numFmtId="0" fontId="2" fillId="3" borderId="5" xfId="0" applyFont="1" applyFill="1" applyBorder="1"/>
    <xf numFmtId="0" fontId="0" fillId="3" borderId="6" xfId="0" applyFill="1" applyBorder="1"/>
    <xf numFmtId="164" fontId="1" fillId="0" borderId="7" xfId="0" applyNumberFormat="1" applyFont="1" applyBorder="1"/>
    <xf numFmtId="164" fontId="1" fillId="0" borderId="8" xfId="0" applyNumberFormat="1" applyFont="1" applyBorder="1"/>
    <xf numFmtId="0" fontId="0" fillId="2" borderId="9" xfId="0" applyFill="1" applyBorder="1"/>
    <xf numFmtId="49" fontId="1" fillId="0" borderId="7" xfId="0" applyNumberFormat="1" applyFont="1" applyBorder="1"/>
    <xf numFmtId="0" fontId="2" fillId="3" borderId="6" xfId="0" applyFont="1" applyFill="1" applyBorder="1"/>
    <xf numFmtId="164" fontId="1" fillId="0" borderId="10" xfId="0" applyNumberFormat="1" applyFont="1" applyBorder="1"/>
    <xf numFmtId="49" fontId="1" fillId="0" borderId="11" xfId="0" applyNumberFormat="1" applyFont="1" applyBorder="1"/>
    <xf numFmtId="0" fontId="7" fillId="4" borderId="12" xfId="0" applyFont="1" applyFill="1" applyBorder="1" applyAlignment="1">
      <alignment horizontal="right"/>
    </xf>
    <xf numFmtId="0" fontId="7" fillId="4" borderId="13" xfId="0" applyFont="1" applyFill="1" applyBorder="1" applyAlignment="1">
      <alignment horizontal="right"/>
    </xf>
    <xf numFmtId="0" fontId="7" fillId="4" borderId="14" xfId="0" applyFont="1" applyFill="1" applyBorder="1" applyAlignment="1">
      <alignment horizontal="right"/>
    </xf>
    <xf numFmtId="0" fontId="9" fillId="0" borderId="0" xfId="0" applyFont="1"/>
    <xf numFmtId="164" fontId="1" fillId="0" borderId="16" xfId="0" applyNumberFormat="1" applyFont="1" applyBorder="1"/>
    <xf numFmtId="0" fontId="1" fillId="0" borderId="7" xfId="0" applyFont="1" applyBorder="1"/>
    <xf numFmtId="0" fontId="1" fillId="0" borderId="15" xfId="0" applyFont="1" applyBorder="1"/>
    <xf numFmtId="0" fontId="8" fillId="4" borderId="12" xfId="0" applyFont="1" applyFill="1" applyBorder="1" applyAlignment="1">
      <alignment horizontal="right"/>
    </xf>
    <xf numFmtId="0" fontId="8" fillId="4" borderId="13" xfId="0" applyFont="1" applyFill="1" applyBorder="1" applyAlignment="1">
      <alignment horizontal="right"/>
    </xf>
    <xf numFmtId="0" fontId="8" fillId="4" borderId="14" xfId="0" applyFont="1" applyFill="1" applyBorder="1" applyAlignment="1">
      <alignment horizontal="right"/>
    </xf>
    <xf numFmtId="0" fontId="1" fillId="5" borderId="3" xfId="0" applyFont="1" applyFill="1" applyBorder="1"/>
    <xf numFmtId="0" fontId="1" fillId="5" borderId="1" xfId="0" applyFont="1" applyFill="1" applyBorder="1"/>
    <xf numFmtId="0" fontId="1" fillId="6" borderId="3" xfId="0" applyFont="1" applyFill="1" applyBorder="1"/>
    <xf numFmtId="0" fontId="1" fillId="6" borderId="1" xfId="0" applyFont="1" applyFill="1" applyBorder="1"/>
    <xf numFmtId="0" fontId="0" fillId="7" borderId="2" xfId="0" applyFill="1" applyBorder="1"/>
    <xf numFmtId="0" fontId="2" fillId="7" borderId="2" xfId="0" applyFont="1" applyFill="1" applyBorder="1"/>
    <xf numFmtId="165" fontId="1" fillId="0" borderId="7" xfId="0" applyNumberFormat="1" applyFont="1" applyBorder="1"/>
    <xf numFmtId="0" fontId="2" fillId="0" borderId="0" xfId="0" applyFont="1" applyAlignment="1">
      <alignment vertical="center"/>
    </xf>
    <xf numFmtId="0" fontId="2" fillId="0" borderId="0" xfId="0" applyFont="1" applyAlignment="1">
      <alignment horizontal="right" vertical="center"/>
    </xf>
    <xf numFmtId="0" fontId="1" fillId="0" borderId="0" xfId="0" applyFont="1" applyAlignment="1">
      <alignment vertical="center"/>
    </xf>
    <xf numFmtId="0" fontId="2" fillId="0" borderId="0" xfId="0" quotePrefix="1" applyFont="1" applyAlignment="1">
      <alignment vertical="center"/>
    </xf>
    <xf numFmtId="0" fontId="13" fillId="0" borderId="0" xfId="0" applyFont="1" applyAlignment="1">
      <alignment vertical="center"/>
    </xf>
    <xf numFmtId="0" fontId="1" fillId="0" borderId="0" xfId="0" applyFont="1" applyAlignment="1">
      <alignment horizontal="center" vertical="center"/>
    </xf>
    <xf numFmtId="0" fontId="14" fillId="0" borderId="0" xfId="0" applyFont="1" applyAlignment="1">
      <alignment vertical="center"/>
    </xf>
    <xf numFmtId="0" fontId="2" fillId="7" borderId="9" xfId="0" applyFont="1" applyFill="1" applyBorder="1"/>
    <xf numFmtId="1" fontId="2" fillId="0" borderId="7" xfId="0" applyNumberFormat="1" applyFont="1" applyBorder="1"/>
    <xf numFmtId="164" fontId="2" fillId="0" borderId="17" xfId="0" applyNumberFormat="1" applyFont="1" applyBorder="1"/>
    <xf numFmtId="166" fontId="2" fillId="0" borderId="7" xfId="0" applyNumberFormat="1" applyFont="1" applyBorder="1"/>
    <xf numFmtId="164" fontId="2" fillId="0" borderId="7" xfId="0" applyNumberFormat="1" applyFont="1" applyBorder="1"/>
    <xf numFmtId="164" fontId="2" fillId="0" borderId="16" xfId="0" applyNumberFormat="1" applyFont="1" applyBorder="1"/>
    <xf numFmtId="166" fontId="2" fillId="0" borderId="0" xfId="0" applyNumberFormat="1" applyFont="1" applyAlignment="1">
      <alignment horizontal="right" vertical="center"/>
    </xf>
    <xf numFmtId="165" fontId="2" fillId="0" borderId="0" xfId="0" applyNumberFormat="1" applyFont="1" applyAlignment="1">
      <alignment horizontal="right" vertical="center"/>
    </xf>
    <xf numFmtId="0" fontId="14"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right" vertical="center"/>
    </xf>
    <xf numFmtId="2" fontId="2" fillId="0" borderId="0" xfId="0" applyNumberFormat="1" applyFont="1" applyAlignment="1">
      <alignment vertical="center"/>
    </xf>
    <xf numFmtId="0" fontId="2" fillId="0" borderId="0" xfId="0" applyFont="1" applyAlignment="1">
      <alignment horizontal="center" vertical="center"/>
    </xf>
    <xf numFmtId="1" fontId="2" fillId="0" borderId="0" xfId="0" applyNumberFormat="1" applyFont="1" applyAlignment="1">
      <alignment vertical="center"/>
    </xf>
    <xf numFmtId="0" fontId="14" fillId="0" borderId="0" xfId="0" applyFont="1" applyAlignment="1">
      <alignment horizontal="right" vertical="center"/>
    </xf>
    <xf numFmtId="2" fontId="2" fillId="0" borderId="0" xfId="0" applyNumberFormat="1" applyFont="1"/>
    <xf numFmtId="0" fontId="1" fillId="0" borderId="0" xfId="0" applyFont="1" applyAlignment="1">
      <alignment horizontal="right" vertical="center"/>
    </xf>
    <xf numFmtId="1" fontId="1" fillId="0" borderId="0" xfId="0" applyNumberFormat="1" applyFont="1" applyAlignment="1">
      <alignment vertical="center"/>
    </xf>
    <xf numFmtId="0" fontId="1" fillId="0" borderId="0" xfId="0" applyFont="1" applyAlignment="1">
      <alignment horizontal="left" vertical="center"/>
    </xf>
    <xf numFmtId="164" fontId="1" fillId="0" borderId="0" xfId="0" applyNumberFormat="1" applyFont="1" applyBorder="1"/>
    <xf numFmtId="0" fontId="1" fillId="0" borderId="0" xfId="0" applyFont="1" applyBorder="1"/>
    <xf numFmtId="0" fontId="0" fillId="7" borderId="5" xfId="0" applyFill="1" applyBorder="1"/>
    <xf numFmtId="164" fontId="2" fillId="0" borderId="4" xfId="0" applyNumberFormat="1" applyFont="1" applyBorder="1"/>
    <xf numFmtId="164" fontId="2" fillId="0" borderId="18" xfId="0" applyNumberFormat="1" applyFont="1" applyBorder="1"/>
    <xf numFmtId="164" fontId="2" fillId="0" borderId="8" xfId="0" applyNumberFormat="1" applyFont="1" applyBorder="1"/>
    <xf numFmtId="0" fontId="2" fillId="7" borderId="5" xfId="0" applyFont="1" applyFill="1" applyBorder="1"/>
    <xf numFmtId="2" fontId="2" fillId="0" borderId="0" xfId="0" applyNumberFormat="1" applyFont="1" applyAlignment="1">
      <alignment horizontal="center" vertical="center"/>
    </xf>
    <xf numFmtId="1" fontId="2" fillId="0" borderId="15" xfId="0" applyNumberFormat="1" applyFont="1" applyBorder="1"/>
    <xf numFmtId="164" fontId="2" fillId="0" borderId="7" xfId="0" applyNumberFormat="1" applyFont="1" applyFill="1" applyBorder="1"/>
    <xf numFmtId="1" fontId="2" fillId="0" borderId="7" xfId="0" applyNumberFormat="1" applyFont="1" applyFill="1" applyBorder="1"/>
    <xf numFmtId="164" fontId="2" fillId="0" borderId="4" xfId="0" applyNumberFormat="1" applyFont="1" applyFill="1" applyBorder="1"/>
    <xf numFmtId="2" fontId="1" fillId="0" borderId="7" xfId="0" applyNumberFormat="1" applyFont="1" applyBorder="1"/>
    <xf numFmtId="2" fontId="1" fillId="0" borderId="15" xfId="0" applyNumberFormat="1" applyFont="1" applyBorder="1"/>
    <xf numFmtId="0" fontId="5" fillId="5" borderId="19" xfId="0" applyFont="1" applyFill="1" applyBorder="1" applyAlignment="1">
      <alignment horizontal="center"/>
    </xf>
    <xf numFmtId="0" fontId="5" fillId="5" borderId="1" xfId="0" applyFont="1" applyFill="1" applyBorder="1" applyAlignment="1">
      <alignment horizontal="center"/>
    </xf>
    <xf numFmtId="1" fontId="7" fillId="4" borderId="20" xfId="0" applyNumberFormat="1" applyFont="1" applyFill="1" applyBorder="1" applyAlignment="1">
      <alignment horizontal="right"/>
    </xf>
    <xf numFmtId="1" fontId="7" fillId="4" borderId="21" xfId="0" applyNumberFormat="1" applyFont="1" applyFill="1" applyBorder="1" applyAlignment="1">
      <alignment horizontal="right"/>
    </xf>
    <xf numFmtId="165" fontId="7" fillId="4" borderId="22" xfId="0" applyNumberFormat="1" applyFont="1" applyFill="1" applyBorder="1" applyAlignment="1">
      <alignment horizontal="right"/>
    </xf>
    <xf numFmtId="164" fontId="0" fillId="0" borderId="0" xfId="0" applyNumberFormat="1"/>
    <xf numFmtId="1" fontId="18" fillId="4" borderId="20" xfId="0" applyNumberFormat="1" applyFont="1" applyFill="1" applyBorder="1" applyAlignment="1">
      <alignment horizontal="right"/>
    </xf>
    <xf numFmtId="2" fontId="18" fillId="4" borderId="22" xfId="0" applyNumberFormat="1" applyFont="1" applyFill="1" applyBorder="1" applyAlignment="1">
      <alignment horizontal="right"/>
    </xf>
    <xf numFmtId="1" fontId="18" fillId="4" borderId="21" xfId="0" applyNumberFormat="1" applyFont="1" applyFill="1" applyBorder="1" applyAlignment="1">
      <alignment horizontal="right"/>
    </xf>
    <xf numFmtId="0" fontId="2" fillId="0" borderId="0" xfId="0" applyFont="1"/>
    <xf numFmtId="0" fontId="0" fillId="3" borderId="39" xfId="0" applyFill="1" applyBorder="1"/>
    <xf numFmtId="164" fontId="1" fillId="0" borderId="40" xfId="0" applyNumberFormat="1" applyFont="1" applyBorder="1"/>
    <xf numFmtId="0" fontId="3" fillId="0" borderId="0" xfId="0" applyFont="1" applyAlignment="1"/>
    <xf numFmtId="0" fontId="0" fillId="3" borderId="41" xfId="0" applyFill="1" applyBorder="1"/>
    <xf numFmtId="0" fontId="10" fillId="0" borderId="0" xfId="0" applyFont="1" applyAlignment="1">
      <alignment horizontal="left" vertical="top" wrapText="1"/>
    </xf>
    <xf numFmtId="0" fontId="1" fillId="4" borderId="26" xfId="0" applyFont="1" applyFill="1" applyBorder="1" applyAlignment="1">
      <alignment horizontal="center"/>
    </xf>
    <xf numFmtId="0" fontId="3" fillId="0" borderId="0" xfId="0" applyFont="1" applyAlignment="1">
      <alignment horizontal="center"/>
    </xf>
    <xf numFmtId="0" fontId="5" fillId="5" borderId="23" xfId="0" applyFont="1" applyFill="1" applyBorder="1" applyAlignment="1">
      <alignment horizontal="center"/>
    </xf>
    <xf numFmtId="0" fontId="5" fillId="5" borderId="12" xfId="0" applyFont="1" applyFill="1" applyBorder="1" applyAlignment="1">
      <alignment horizontal="center"/>
    </xf>
    <xf numFmtId="0" fontId="6" fillId="2" borderId="2" xfId="0" applyFont="1" applyFill="1" applyBorder="1" applyAlignment="1">
      <alignment horizontal="center"/>
    </xf>
    <xf numFmtId="0" fontId="6" fillId="2" borderId="7" xfId="0" applyFont="1" applyFill="1" applyBorder="1" applyAlignment="1">
      <alignment horizontal="center"/>
    </xf>
    <xf numFmtId="0" fontId="6" fillId="2" borderId="25" xfId="0" applyFont="1" applyFill="1" applyBorder="1" applyAlignment="1">
      <alignment horizontal="center"/>
    </xf>
    <xf numFmtId="0" fontId="6" fillId="2" borderId="9" xfId="0" applyFont="1" applyFill="1" applyBorder="1" applyAlignment="1">
      <alignment horizontal="center"/>
    </xf>
    <xf numFmtId="0" fontId="6" fillId="2" borderId="15" xfId="0" applyFont="1" applyFill="1" applyBorder="1" applyAlignment="1">
      <alignment horizontal="center"/>
    </xf>
    <xf numFmtId="0" fontId="6" fillId="2" borderId="29" xfId="0" applyFont="1" applyFill="1" applyBorder="1" applyAlignment="1">
      <alignment horizontal="center"/>
    </xf>
    <xf numFmtId="0" fontId="4" fillId="5" borderId="36" xfId="0" applyFont="1" applyFill="1" applyBorder="1" applyAlignment="1">
      <alignment horizontal="center"/>
    </xf>
    <xf numFmtId="0" fontId="4" fillId="5" borderId="37" xfId="0" applyFont="1" applyFill="1" applyBorder="1" applyAlignment="1">
      <alignment horizontal="center"/>
    </xf>
    <xf numFmtId="0" fontId="4" fillId="5" borderId="38" xfId="0" applyFont="1" applyFill="1" applyBorder="1" applyAlignment="1">
      <alignment horizontal="center"/>
    </xf>
    <xf numFmtId="0" fontId="6" fillId="2" borderId="30" xfId="0" applyFont="1" applyFill="1" applyBorder="1" applyAlignment="1">
      <alignment horizontal="center"/>
    </xf>
    <xf numFmtId="0" fontId="6" fillId="2" borderId="31" xfId="0" applyFont="1" applyFill="1" applyBorder="1" applyAlignment="1">
      <alignment horizontal="center"/>
    </xf>
    <xf numFmtId="0" fontId="6" fillId="2" borderId="32" xfId="0" applyFont="1" applyFill="1" applyBorder="1" applyAlignment="1">
      <alignment horizontal="center"/>
    </xf>
    <xf numFmtId="0" fontId="6" fillId="2" borderId="33" xfId="0" applyFont="1" applyFill="1" applyBorder="1" applyAlignment="1">
      <alignment horizontal="center"/>
    </xf>
    <xf numFmtId="0" fontId="6" fillId="2" borderId="34" xfId="0" applyFont="1" applyFill="1" applyBorder="1" applyAlignment="1">
      <alignment horizontal="center"/>
    </xf>
    <xf numFmtId="0" fontId="6" fillId="2" borderId="35" xfId="0" applyFont="1" applyFill="1" applyBorder="1" applyAlignment="1">
      <alignment horizontal="center"/>
    </xf>
    <xf numFmtId="0" fontId="4" fillId="5" borderId="20" xfId="0" applyFont="1" applyFill="1" applyBorder="1" applyAlignment="1">
      <alignment horizontal="center"/>
    </xf>
    <xf numFmtId="0" fontId="4" fillId="5" borderId="27" xfId="0" applyFont="1" applyFill="1" applyBorder="1" applyAlignment="1">
      <alignment horizontal="center"/>
    </xf>
    <xf numFmtId="0" fontId="4" fillId="5" borderId="28" xfId="0" applyFont="1" applyFill="1" applyBorder="1" applyAlignment="1">
      <alignment horizontal="center"/>
    </xf>
    <xf numFmtId="0" fontId="6" fillId="2" borderId="6" xfId="0" applyFont="1" applyFill="1" applyBorder="1" applyAlignment="1">
      <alignment horizontal="center"/>
    </xf>
    <xf numFmtId="0" fontId="6" fillId="2" borderId="10" xfId="0" applyFont="1" applyFill="1" applyBorder="1" applyAlignment="1">
      <alignment horizontal="center"/>
    </xf>
    <xf numFmtId="0" fontId="6" fillId="2" borderId="24" xfId="0" applyFont="1" applyFill="1" applyBorder="1" applyAlignment="1">
      <alignment horizontal="center"/>
    </xf>
    <xf numFmtId="0" fontId="5" fillId="5" borderId="19" xfId="0" applyFont="1" applyFill="1" applyBorder="1" applyAlignment="1">
      <alignment horizontal="center"/>
    </xf>
    <xf numFmtId="0" fontId="5" fillId="5" borderId="1" xfId="0" applyFont="1" applyFill="1" applyBorder="1" applyAlignment="1">
      <alignment horizontal="center"/>
    </xf>
    <xf numFmtId="0" fontId="19" fillId="0" borderId="0" xfId="0" applyFont="1" applyAlignment="1">
      <alignment horizontal="left" vertical="center" wrapText="1"/>
    </xf>
    <xf numFmtId="0" fontId="2" fillId="0" borderId="0" xfId="0" applyFont="1" applyAlignment="1">
      <alignment horizontal="left" vertical="center" wrapText="1"/>
    </xf>
    <xf numFmtId="0" fontId="1" fillId="4"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8</xdr:col>
      <xdr:colOff>1219200</xdr:colOff>
      <xdr:row>16</xdr:row>
      <xdr:rowOff>47625</xdr:rowOff>
    </xdr:from>
    <xdr:to>
      <xdr:col>9</xdr:col>
      <xdr:colOff>1400175</xdr:colOff>
      <xdr:row>43</xdr:row>
      <xdr:rowOff>95250</xdr:rowOff>
    </xdr:to>
    <xdr:grpSp>
      <xdr:nvGrpSpPr>
        <xdr:cNvPr id="2715" name="Group 14"/>
        <xdr:cNvGrpSpPr>
          <a:grpSpLocks/>
        </xdr:cNvGrpSpPr>
      </xdr:nvGrpSpPr>
      <xdr:grpSpPr bwMode="auto">
        <a:xfrm>
          <a:off x="6913033" y="2693458"/>
          <a:ext cx="1609725" cy="4439709"/>
          <a:chOff x="3267722" y="1524000"/>
          <a:chExt cx="1609078" cy="4419600"/>
        </a:xfrm>
      </xdr:grpSpPr>
      <xdr:sp macro="" textlink="">
        <xdr:nvSpPr>
          <xdr:cNvPr id="16" name="Rectangle 15"/>
          <xdr:cNvSpPr/>
        </xdr:nvSpPr>
        <xdr:spPr>
          <a:xfrm>
            <a:off x="3277243" y="2130063"/>
            <a:ext cx="1599557" cy="320747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nvGrpSpPr>
          <xdr:cNvPr id="2722" name="Group 16"/>
          <xdr:cNvGrpSpPr>
            <a:grpSpLocks/>
          </xdr:cNvGrpSpPr>
        </xdr:nvGrpSpPr>
        <xdr:grpSpPr bwMode="auto">
          <a:xfrm>
            <a:off x="3267722" y="1524000"/>
            <a:ext cx="1600200" cy="1219200"/>
            <a:chOff x="3267722" y="1524000"/>
            <a:chExt cx="1600200" cy="1219200"/>
          </a:xfrm>
        </xdr:grpSpPr>
        <xdr:sp macro="" textlink="">
          <xdr:nvSpPr>
            <xdr:cNvPr id="21" name="Arc 20"/>
            <xdr:cNvSpPr/>
          </xdr:nvSpPr>
          <xdr:spPr>
            <a:xfrm rot="16200000">
              <a:off x="3456775" y="1334947"/>
              <a:ext cx="1221450" cy="1599557"/>
            </a:xfrm>
            <a:prstGeom prst="arc">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22" name="Arc 21"/>
            <xdr:cNvSpPr/>
          </xdr:nvSpPr>
          <xdr:spPr>
            <a:xfrm rot="5400000" flipH="1">
              <a:off x="3456775" y="1334947"/>
              <a:ext cx="1221450" cy="1599557"/>
            </a:xfrm>
            <a:prstGeom prst="arc">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2723" name="Group 17"/>
          <xdr:cNvGrpSpPr>
            <a:grpSpLocks/>
          </xdr:cNvGrpSpPr>
        </xdr:nvGrpSpPr>
        <xdr:grpSpPr bwMode="auto">
          <a:xfrm flipV="1">
            <a:off x="3276600" y="4724400"/>
            <a:ext cx="1600200" cy="1219200"/>
            <a:chOff x="3267722" y="1524000"/>
            <a:chExt cx="1600200" cy="1219200"/>
          </a:xfrm>
        </xdr:grpSpPr>
        <xdr:sp macro="" textlink="">
          <xdr:nvSpPr>
            <xdr:cNvPr id="19" name="Arc 18"/>
            <xdr:cNvSpPr/>
          </xdr:nvSpPr>
          <xdr:spPr>
            <a:xfrm rot="16200000">
              <a:off x="3457418" y="1334946"/>
              <a:ext cx="1221450" cy="1599557"/>
            </a:xfrm>
            <a:prstGeom prst="arc">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20" name="Arc 19"/>
            <xdr:cNvSpPr/>
          </xdr:nvSpPr>
          <xdr:spPr>
            <a:xfrm rot="5400000" flipH="1">
              <a:off x="3457418" y="1334946"/>
              <a:ext cx="1221450" cy="1599557"/>
            </a:xfrm>
            <a:prstGeom prst="arc">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clientData/>
  </xdr:twoCellAnchor>
  <xdr:twoCellAnchor>
    <xdr:from>
      <xdr:col>3</xdr:col>
      <xdr:colOff>390525</xdr:colOff>
      <xdr:row>22</xdr:row>
      <xdr:rowOff>38100</xdr:rowOff>
    </xdr:from>
    <xdr:to>
      <xdr:col>8</xdr:col>
      <xdr:colOff>1238250</xdr:colOff>
      <xdr:row>22</xdr:row>
      <xdr:rowOff>38100</xdr:rowOff>
    </xdr:to>
    <xdr:sp macro="" textlink="">
      <xdr:nvSpPr>
        <xdr:cNvPr id="2716" name="Line 4"/>
        <xdr:cNvSpPr>
          <a:spLocks noChangeShapeType="1"/>
        </xdr:cNvSpPr>
      </xdr:nvSpPr>
      <xdr:spPr bwMode="auto">
        <a:xfrm flipV="1">
          <a:off x="2219325" y="3724275"/>
          <a:ext cx="4686300" cy="0"/>
        </a:xfrm>
        <a:prstGeom prst="line">
          <a:avLst/>
        </a:prstGeom>
        <a:noFill/>
        <a:ln w="38100">
          <a:solidFill>
            <a:srgbClr val="000000"/>
          </a:solidFill>
          <a:round/>
          <a:headEnd/>
          <a:tailEnd type="triangle" w="med" len="med"/>
        </a:ln>
      </xdr:spPr>
    </xdr:sp>
    <xdr:clientData/>
  </xdr:twoCellAnchor>
  <xdr:twoCellAnchor>
    <xdr:from>
      <xdr:col>3</xdr:col>
      <xdr:colOff>371475</xdr:colOff>
      <xdr:row>30</xdr:row>
      <xdr:rowOff>19050</xdr:rowOff>
    </xdr:from>
    <xdr:to>
      <xdr:col>8</xdr:col>
      <xdr:colOff>1219200</xdr:colOff>
      <xdr:row>30</xdr:row>
      <xdr:rowOff>19050</xdr:rowOff>
    </xdr:to>
    <xdr:sp macro="" textlink="">
      <xdr:nvSpPr>
        <xdr:cNvPr id="2717" name="Line 4"/>
        <xdr:cNvSpPr>
          <a:spLocks noChangeShapeType="1"/>
        </xdr:cNvSpPr>
      </xdr:nvSpPr>
      <xdr:spPr bwMode="auto">
        <a:xfrm flipV="1">
          <a:off x="2200275" y="5029200"/>
          <a:ext cx="4686300" cy="0"/>
        </a:xfrm>
        <a:prstGeom prst="line">
          <a:avLst/>
        </a:prstGeom>
        <a:noFill/>
        <a:ln w="38100">
          <a:solidFill>
            <a:srgbClr val="000000"/>
          </a:solidFill>
          <a:round/>
          <a:headEnd/>
          <a:tailEnd type="triangle" w="med" len="med"/>
        </a:ln>
      </xdr:spPr>
    </xdr:sp>
    <xdr:clientData/>
  </xdr:twoCellAnchor>
  <xdr:twoCellAnchor>
    <xdr:from>
      <xdr:col>3</xdr:col>
      <xdr:colOff>400050</xdr:colOff>
      <xdr:row>36</xdr:row>
      <xdr:rowOff>38100</xdr:rowOff>
    </xdr:from>
    <xdr:to>
      <xdr:col>8</xdr:col>
      <xdr:colOff>1247775</xdr:colOff>
      <xdr:row>36</xdr:row>
      <xdr:rowOff>38100</xdr:rowOff>
    </xdr:to>
    <xdr:sp macro="" textlink="">
      <xdr:nvSpPr>
        <xdr:cNvPr id="2718" name="Line 4"/>
        <xdr:cNvSpPr>
          <a:spLocks noChangeShapeType="1"/>
        </xdr:cNvSpPr>
      </xdr:nvSpPr>
      <xdr:spPr bwMode="auto">
        <a:xfrm flipV="1">
          <a:off x="2228850" y="6019800"/>
          <a:ext cx="4686300" cy="0"/>
        </a:xfrm>
        <a:prstGeom prst="line">
          <a:avLst/>
        </a:prstGeom>
        <a:noFill/>
        <a:ln w="38100">
          <a:solidFill>
            <a:srgbClr val="000000"/>
          </a:solidFill>
          <a:round/>
          <a:headEnd/>
          <a:tailEnd type="triangle" w="med" len="med"/>
        </a:ln>
      </xdr:spPr>
    </xdr:sp>
    <xdr:clientData/>
  </xdr:twoCellAnchor>
  <xdr:twoCellAnchor>
    <xdr:from>
      <xdr:col>9</xdr:col>
      <xdr:colOff>609600</xdr:colOff>
      <xdr:row>12</xdr:row>
      <xdr:rowOff>28575</xdr:rowOff>
    </xdr:from>
    <xdr:to>
      <xdr:col>13</xdr:col>
      <xdr:colOff>333375</xdr:colOff>
      <xdr:row>16</xdr:row>
      <xdr:rowOff>47625</xdr:rowOff>
    </xdr:to>
    <xdr:cxnSp macro="">
      <xdr:nvCxnSpPr>
        <xdr:cNvPr id="2719" name="Elbow Connector 32"/>
        <xdr:cNvCxnSpPr>
          <a:cxnSpLocks noChangeShapeType="1"/>
        </xdr:cNvCxnSpPr>
      </xdr:nvCxnSpPr>
      <xdr:spPr bwMode="auto">
        <a:xfrm flipV="1">
          <a:off x="7705725" y="2038350"/>
          <a:ext cx="3514725" cy="695325"/>
        </a:xfrm>
        <a:prstGeom prst="bentConnector3">
          <a:avLst>
            <a:gd name="adj1" fmla="val -676"/>
          </a:avLst>
        </a:prstGeom>
        <a:noFill/>
        <a:ln w="38100">
          <a:solidFill>
            <a:srgbClr val="000000"/>
          </a:solidFill>
          <a:round/>
          <a:headEnd/>
          <a:tailEnd type="triangle" w="med" len="med"/>
        </a:ln>
      </xdr:spPr>
    </xdr:cxnSp>
    <xdr:clientData/>
  </xdr:twoCellAnchor>
  <xdr:twoCellAnchor>
    <xdr:from>
      <xdr:col>9</xdr:col>
      <xdr:colOff>628650</xdr:colOff>
      <xdr:row>43</xdr:row>
      <xdr:rowOff>142875</xdr:rowOff>
    </xdr:from>
    <xdr:to>
      <xdr:col>13</xdr:col>
      <xdr:colOff>352425</xdr:colOff>
      <xdr:row>48</xdr:row>
      <xdr:rowOff>9525</xdr:rowOff>
    </xdr:to>
    <xdr:cxnSp macro="">
      <xdr:nvCxnSpPr>
        <xdr:cNvPr id="2720" name="Elbow Connector 34"/>
        <xdr:cNvCxnSpPr>
          <a:cxnSpLocks noChangeShapeType="1"/>
        </xdr:cNvCxnSpPr>
      </xdr:nvCxnSpPr>
      <xdr:spPr bwMode="auto">
        <a:xfrm>
          <a:off x="7724775" y="7296150"/>
          <a:ext cx="3514725" cy="685800"/>
        </a:xfrm>
        <a:prstGeom prst="bentConnector3">
          <a:avLst>
            <a:gd name="adj1" fmla="val -676"/>
          </a:avLst>
        </a:prstGeom>
        <a:noFill/>
        <a:ln w="38100">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B1:L57"/>
  <sheetViews>
    <sheetView zoomScale="80" zoomScaleNormal="80" workbookViewId="0">
      <selection activeCell="B1" sqref="B1:E1"/>
    </sheetView>
  </sheetViews>
  <sheetFormatPr defaultColWidth="9.140625" defaultRowHeight="12.75"/>
  <cols>
    <col min="1" max="1" width="11.7109375" customWidth="1"/>
    <col min="2" max="2" width="30.140625" bestFit="1" customWidth="1"/>
    <col min="3" max="3" width="29.140625" customWidth="1"/>
    <col min="4" max="4" width="18.42578125" bestFit="1" customWidth="1"/>
    <col min="5" max="5" width="29.140625" customWidth="1"/>
    <col min="6" max="6" width="18.42578125" bestFit="1" customWidth="1"/>
    <col min="7" max="7" width="29.140625" customWidth="1"/>
    <col min="8" max="8" width="15.7109375" bestFit="1" customWidth="1"/>
    <col min="9" max="9" width="29.140625" customWidth="1"/>
    <col min="10" max="10" width="18.42578125" bestFit="1" customWidth="1"/>
    <col min="11" max="11" width="29.140625" customWidth="1"/>
    <col min="12" max="12" width="18.42578125" bestFit="1" customWidth="1"/>
  </cols>
  <sheetData>
    <row r="1" spans="2:5" ht="39" customHeight="1">
      <c r="B1" s="83" t="s">
        <v>141</v>
      </c>
      <c r="C1" s="83"/>
      <c r="D1" s="83"/>
      <c r="E1" s="83"/>
    </row>
    <row r="2" spans="2:5">
      <c r="B2" s="85" t="s">
        <v>25</v>
      </c>
      <c r="C2" s="85"/>
      <c r="D2" s="81"/>
    </row>
    <row r="3" spans="2:5" ht="13.5" thickBot="1">
      <c r="B3" s="84" t="s">
        <v>26</v>
      </c>
      <c r="C3" s="84"/>
    </row>
    <row r="4" spans="2:5" ht="13.5" thickBot="1">
      <c r="B4" s="22" t="s">
        <v>4</v>
      </c>
      <c r="C4" s="22" t="s">
        <v>0</v>
      </c>
    </row>
    <row r="5" spans="2:5" ht="13.5" thickBot="1">
      <c r="B5" s="79" t="s">
        <v>5</v>
      </c>
      <c r="C5" s="80"/>
    </row>
    <row r="7" spans="2:5">
      <c r="C7" s="55"/>
      <c r="D7" s="56"/>
    </row>
    <row r="39" spans="2:12" ht="13.5" thickBot="1"/>
    <row r="40" spans="2:12" ht="13.5" thickBot="1">
      <c r="B40" s="22" t="s">
        <v>3</v>
      </c>
      <c r="C40" s="22" t="s">
        <v>0</v>
      </c>
      <c r="D40" s="23" t="s">
        <v>1</v>
      </c>
      <c r="E40" s="22" t="s">
        <v>0</v>
      </c>
      <c r="F40" s="23" t="s">
        <v>1</v>
      </c>
      <c r="G40" s="22" t="s">
        <v>0</v>
      </c>
      <c r="H40" s="23" t="s">
        <v>1</v>
      </c>
      <c r="I40" s="22" t="s">
        <v>0</v>
      </c>
      <c r="J40" s="23" t="s">
        <v>1</v>
      </c>
      <c r="K40" s="22" t="s">
        <v>0</v>
      </c>
      <c r="L40" s="23" t="s">
        <v>1</v>
      </c>
    </row>
    <row r="41" spans="2:12">
      <c r="B41" s="9" t="s">
        <v>2</v>
      </c>
      <c r="C41" s="10"/>
      <c r="D41" s="11"/>
      <c r="E41" s="10"/>
      <c r="F41" s="11"/>
      <c r="G41" s="10"/>
      <c r="H41" s="11"/>
      <c r="I41" s="10"/>
      <c r="J41" s="11"/>
      <c r="K41" s="10"/>
      <c r="L41" s="11"/>
    </row>
    <row r="42" spans="2:12">
      <c r="B42" s="3" t="s">
        <v>7</v>
      </c>
      <c r="C42" s="5"/>
      <c r="D42" s="8"/>
      <c r="E42" s="5"/>
      <c r="F42" s="8"/>
      <c r="G42" s="5"/>
      <c r="H42" s="8"/>
      <c r="I42" s="5"/>
      <c r="J42" s="8"/>
      <c r="K42" s="5"/>
      <c r="L42" s="8"/>
    </row>
    <row r="43" spans="2:12">
      <c r="B43" s="1" t="s">
        <v>49</v>
      </c>
      <c r="C43" s="28"/>
      <c r="D43" s="17"/>
      <c r="E43" s="28"/>
      <c r="F43" s="17"/>
      <c r="G43" s="28"/>
      <c r="H43" s="17"/>
      <c r="I43" s="28"/>
      <c r="J43" s="17"/>
      <c r="K43" s="28"/>
      <c r="L43" s="17"/>
    </row>
    <row r="44" spans="2:12">
      <c r="B44" s="1" t="s">
        <v>13</v>
      </c>
      <c r="C44" s="67"/>
      <c r="D44" s="17"/>
      <c r="E44" s="67"/>
      <c r="F44" s="17"/>
      <c r="G44" s="67"/>
      <c r="H44" s="17"/>
      <c r="I44" s="67"/>
      <c r="J44" s="17"/>
      <c r="K44" s="67"/>
      <c r="L44" s="17"/>
    </row>
    <row r="45" spans="2:12">
      <c r="B45" s="1" t="s">
        <v>16</v>
      </c>
      <c r="C45" s="67"/>
      <c r="D45" s="17" t="s">
        <v>143</v>
      </c>
      <c r="E45" s="67"/>
      <c r="F45" s="17"/>
      <c r="G45" s="67"/>
      <c r="H45" s="17"/>
      <c r="I45" s="67"/>
      <c r="J45" s="17"/>
      <c r="K45" s="67"/>
      <c r="L45" s="17"/>
    </row>
    <row r="46" spans="2:12">
      <c r="B46" s="1" t="s">
        <v>14</v>
      </c>
      <c r="C46" s="67"/>
      <c r="D46" s="17" t="s">
        <v>32</v>
      </c>
      <c r="E46" s="67"/>
      <c r="F46" s="17"/>
      <c r="G46" s="67"/>
      <c r="H46" s="17"/>
      <c r="I46" s="67"/>
      <c r="J46" s="17"/>
      <c r="K46" s="67"/>
      <c r="L46" s="17"/>
    </row>
    <row r="47" spans="2:12">
      <c r="B47" s="1" t="s">
        <v>17</v>
      </c>
      <c r="C47" s="67"/>
      <c r="D47" s="17" t="s">
        <v>45</v>
      </c>
      <c r="E47" s="67"/>
      <c r="F47" s="17"/>
      <c r="G47" s="67"/>
      <c r="H47" s="17"/>
      <c r="I47" s="67"/>
      <c r="J47" s="17"/>
      <c r="K47" s="67"/>
      <c r="L47" s="17"/>
    </row>
    <row r="48" spans="2:12">
      <c r="B48" s="1" t="s">
        <v>19</v>
      </c>
      <c r="C48" s="67"/>
      <c r="D48" s="17" t="s">
        <v>46</v>
      </c>
      <c r="E48" s="67"/>
      <c r="F48" s="17"/>
      <c r="G48" s="67"/>
      <c r="H48" s="17"/>
      <c r="I48" s="67"/>
      <c r="J48" s="17"/>
      <c r="K48" s="67"/>
      <c r="L48" s="17"/>
    </row>
    <row r="49" spans="2:12">
      <c r="B49" s="1" t="s">
        <v>20</v>
      </c>
      <c r="C49" s="67"/>
      <c r="D49" s="17" t="s">
        <v>45</v>
      </c>
      <c r="E49" s="67"/>
      <c r="F49" s="17"/>
      <c r="G49" s="67"/>
      <c r="H49" s="17"/>
      <c r="I49" s="67"/>
      <c r="J49" s="17"/>
      <c r="K49" s="67"/>
      <c r="L49" s="17"/>
    </row>
    <row r="50" spans="2:12">
      <c r="B50" s="1" t="s">
        <v>47</v>
      </c>
      <c r="C50" s="67"/>
      <c r="D50" s="17" t="s">
        <v>48</v>
      </c>
      <c r="E50" s="67"/>
      <c r="F50" s="17"/>
      <c r="G50" s="67"/>
      <c r="H50" s="17"/>
      <c r="I50" s="67"/>
      <c r="J50" s="17"/>
      <c r="K50" s="67"/>
      <c r="L50" s="17"/>
    </row>
    <row r="51" spans="2:12">
      <c r="B51" s="1" t="s">
        <v>9</v>
      </c>
      <c r="C51" s="67"/>
      <c r="D51" s="17" t="s">
        <v>46</v>
      </c>
      <c r="E51" s="67"/>
      <c r="F51" s="17"/>
      <c r="G51" s="67"/>
      <c r="H51" s="17"/>
      <c r="I51" s="67"/>
      <c r="J51" s="17"/>
      <c r="K51" s="67"/>
      <c r="L51" s="17"/>
    </row>
    <row r="52" spans="2:12">
      <c r="B52" s="1" t="s">
        <v>10</v>
      </c>
      <c r="C52" s="67"/>
      <c r="D52" s="17" t="s">
        <v>45</v>
      </c>
      <c r="E52" s="67"/>
      <c r="F52" s="17"/>
      <c r="G52" s="67"/>
      <c r="H52" s="17"/>
      <c r="I52" s="67"/>
      <c r="J52" s="17"/>
      <c r="K52" s="67"/>
      <c r="L52" s="17"/>
    </row>
    <row r="53" spans="2:12" ht="13.5" thickBot="1">
      <c r="B53" s="7" t="s">
        <v>50</v>
      </c>
      <c r="C53" s="68"/>
      <c r="D53" s="18" t="s">
        <v>51</v>
      </c>
      <c r="E53" s="68"/>
      <c r="F53" s="18"/>
      <c r="G53" s="68"/>
      <c r="H53" s="18"/>
      <c r="I53" s="68"/>
      <c r="J53" s="18"/>
      <c r="K53" s="68"/>
      <c r="L53" s="18"/>
    </row>
    <row r="54" spans="2:12" hidden="1">
      <c r="C54" s="74">
        <f>C41</f>
        <v>0</v>
      </c>
      <c r="E54" s="74">
        <f>E41</f>
        <v>0</v>
      </c>
      <c r="G54" s="74">
        <f>G41</f>
        <v>0</v>
      </c>
      <c r="I54" s="74">
        <f>I41</f>
        <v>0</v>
      </c>
      <c r="K54" s="74">
        <f>K41</f>
        <v>0</v>
      </c>
    </row>
    <row r="57" spans="2:12">
      <c r="B57" s="78" t="s">
        <v>139</v>
      </c>
    </row>
  </sheetData>
  <mergeCells count="3">
    <mergeCell ref="B1:E1"/>
    <mergeCell ref="B3:C3"/>
    <mergeCell ref="B2:C2"/>
  </mergeCells>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dimension ref="B1:R47"/>
  <sheetViews>
    <sheetView showGridLines="0" zoomScale="90" zoomScaleNormal="90" workbookViewId="0"/>
  </sheetViews>
  <sheetFormatPr defaultRowHeight="12.75"/>
  <cols>
    <col min="7" max="7" width="21" customWidth="1"/>
    <col min="9" max="9" width="21.42578125" customWidth="1"/>
    <col min="10" max="10" width="25" bestFit="1" customWidth="1"/>
    <col min="12" max="12" width="8.85546875" customWidth="1"/>
    <col min="13" max="13" width="13.85546875" bestFit="1" customWidth="1"/>
    <col min="17" max="17" width="21" customWidth="1"/>
    <col min="19" max="19" width="11.140625" customWidth="1"/>
  </cols>
  <sheetData>
    <row r="1" spans="2:18" ht="15.75">
      <c r="B1" s="15" t="s">
        <v>24</v>
      </c>
    </row>
    <row r="5" spans="2:18" ht="13.5" thickBot="1">
      <c r="I5" s="84" t="str">
        <f>Input!B3</f>
        <v>SEPARATOR</v>
      </c>
      <c r="J5" s="84"/>
    </row>
    <row r="6" spans="2:18" ht="13.5" thickBot="1">
      <c r="I6" s="2" t="s">
        <v>4</v>
      </c>
      <c r="J6" s="2" t="s">
        <v>0</v>
      </c>
    </row>
    <row r="7" spans="2:18" ht="13.5" thickBot="1">
      <c r="I7" s="82" t="s">
        <v>5</v>
      </c>
      <c r="J7" s="16" t="str">
        <f>IF(Input!C5="","",Input!C5)</f>
        <v/>
      </c>
      <c r="K7" t="str">
        <f>IF(Input!D5="","",Input!D5)</f>
        <v/>
      </c>
    </row>
    <row r="13" spans="2:18" ht="13.5" thickBot="1"/>
    <row r="14" spans="2:18" ht="13.5" thickBot="1">
      <c r="N14" s="103" t="s">
        <v>2</v>
      </c>
      <c r="O14" s="104"/>
      <c r="P14" s="105"/>
      <c r="Q14" s="86" t="e">
        <f>IF(HLOOKUP("Output",Input!C42:K43,2,FALSE)&gt;0,HLOOKUP("Output",Input!C42:K54,13,FALSE),HLOOKUP(1,Input!C43:K54,12,TRUE))</f>
        <v>#N/A</v>
      </c>
      <c r="R14" s="87"/>
    </row>
    <row r="15" spans="2:18">
      <c r="N15" s="106" t="s">
        <v>16</v>
      </c>
      <c r="O15" s="107"/>
      <c r="P15" s="108"/>
      <c r="Q15" s="75" t="e">
        <f>IF(HLOOKUP("Output",Input!C42:K43,2,FALSE)&gt;0,HLOOKUP("Output",Input!C42:K54,3,FALSE),HLOOKUP(1,Input!C43:K54,3,TRUE))</f>
        <v>#N/A</v>
      </c>
      <c r="R15" s="19" t="str">
        <f>'Custom Rules'!C6</f>
        <v>Deg F</v>
      </c>
    </row>
    <row r="16" spans="2:18" ht="13.5" thickBot="1">
      <c r="N16" s="88" t="s">
        <v>14</v>
      </c>
      <c r="O16" s="89"/>
      <c r="P16" s="90"/>
      <c r="Q16" s="77" t="e">
        <f>IF(HLOOKUP("Output",Input!C42:K43,2,FALSE)&gt;0,HLOOKUP("Output",Input!C42:K54,4,FALSE),HLOOKUP(1,Input!C43:K54,4,TRUE))</f>
        <v>#N/A</v>
      </c>
      <c r="R16" s="20" t="str">
        <f>Input!D46</f>
        <v>PSIG</v>
      </c>
    </row>
    <row r="17" spans="4:18" ht="13.5" thickBot="1">
      <c r="D17" s="94" t="s">
        <v>2</v>
      </c>
      <c r="E17" s="95"/>
      <c r="F17" s="96"/>
      <c r="G17" s="109" t="str">
        <f>IF(Input!C42="Input",Input!C41,"")</f>
        <v/>
      </c>
      <c r="H17" s="110"/>
      <c r="N17" s="88" t="s">
        <v>17</v>
      </c>
      <c r="O17" s="89"/>
      <c r="P17" s="90"/>
      <c r="Q17" s="77" t="e">
        <f>IF(HLOOKUP("Output",Input!C42:K43,2,FALSE)&gt;0,HLOOKUP("Output",Input!C42:K54,4,FALSE),HLOOKUP(1,Input!C43:K54,7,TRUE))</f>
        <v>#N/A</v>
      </c>
      <c r="R17" s="20" t="str">
        <f>Input!D47</f>
        <v>LB/H</v>
      </c>
    </row>
    <row r="18" spans="4:18" ht="13.5" thickBot="1">
      <c r="D18" s="97" t="s">
        <v>16</v>
      </c>
      <c r="E18" s="98"/>
      <c r="F18" s="99"/>
      <c r="G18" s="71" t="str">
        <f>IF(Input!C45="","",Input!C45)</f>
        <v/>
      </c>
      <c r="H18" s="12" t="str">
        <f>'Custom Rules'!C6</f>
        <v>Deg F</v>
      </c>
      <c r="N18" s="91" t="s">
        <v>137</v>
      </c>
      <c r="O18" s="92"/>
      <c r="P18" s="93"/>
      <c r="Q18" s="76" t="e">
        <f>'Custom Rules'!B9</f>
        <v>#N/A</v>
      </c>
      <c r="R18" s="21" t="str">
        <f>'Custom Rules'!C9</f>
        <v>lb/ft3</v>
      </c>
    </row>
    <row r="19" spans="4:18">
      <c r="D19" s="100" t="s">
        <v>14</v>
      </c>
      <c r="E19" s="101"/>
      <c r="F19" s="102"/>
      <c r="G19" s="72" t="str">
        <f>IF(Input!C46="","",Input!C46)</f>
        <v/>
      </c>
      <c r="H19" s="13" t="str">
        <f>IF(Input!D46="","",Input!D46)</f>
        <v>PSIG</v>
      </c>
    </row>
    <row r="20" spans="4:18">
      <c r="D20" s="88" t="s">
        <v>17</v>
      </c>
      <c r="E20" s="89"/>
      <c r="F20" s="90"/>
      <c r="G20" s="72" t="str">
        <f>IF(Input!C47="","",Input!C47)</f>
        <v/>
      </c>
      <c r="H20" s="13" t="str">
        <f>IF(Input!D47="","",Input!D47)</f>
        <v>LB/H</v>
      </c>
    </row>
    <row r="21" spans="4:18" ht="13.5" thickBot="1">
      <c r="D21" s="91" t="s">
        <v>49</v>
      </c>
      <c r="E21" s="92"/>
      <c r="F21" s="93"/>
      <c r="G21" s="73" t="str">
        <f>IF(Input!C43="","",Input!C43)</f>
        <v/>
      </c>
      <c r="H21" s="14"/>
    </row>
    <row r="24" spans="4:18" ht="13.5" thickBot="1"/>
    <row r="25" spans="4:18" ht="13.5" thickBot="1">
      <c r="D25" s="94" t="s">
        <v>2</v>
      </c>
      <c r="E25" s="95"/>
      <c r="F25" s="96"/>
      <c r="G25" s="69" t="str">
        <f>IF(Input!E42="Input",Input!E41,"")</f>
        <v/>
      </c>
      <c r="H25" s="70"/>
    </row>
    <row r="26" spans="4:18">
      <c r="D26" s="97" t="s">
        <v>16</v>
      </c>
      <c r="E26" s="98"/>
      <c r="F26" s="99"/>
      <c r="G26" s="71" t="str">
        <f>IF(Input!E42="Input",Input!E45,"")</f>
        <v/>
      </c>
      <c r="H26" s="12" t="str">
        <f>IF(G26="","",'Custom Rules'!C6)</f>
        <v/>
      </c>
    </row>
    <row r="27" spans="4:18">
      <c r="D27" s="100" t="s">
        <v>14</v>
      </c>
      <c r="E27" s="101"/>
      <c r="F27" s="102"/>
      <c r="G27" s="72" t="str">
        <f>IF(Input!E42="Input",Input!E46,"")</f>
        <v/>
      </c>
      <c r="H27" s="13" t="str">
        <f>IF(G27="","",Input!F46)</f>
        <v/>
      </c>
    </row>
    <row r="28" spans="4:18">
      <c r="D28" s="88" t="s">
        <v>17</v>
      </c>
      <c r="E28" s="89"/>
      <c r="F28" s="90"/>
      <c r="G28" s="72" t="str">
        <f>IF(Input!E42="Input",Input!E47,"")</f>
        <v/>
      </c>
      <c r="H28" s="13" t="str">
        <f>IF(G28="","",Input!F47)</f>
        <v/>
      </c>
    </row>
    <row r="29" spans="4:18" ht="13.5" thickBot="1">
      <c r="D29" s="91" t="s">
        <v>49</v>
      </c>
      <c r="E29" s="92"/>
      <c r="F29" s="93"/>
      <c r="G29" s="73" t="str">
        <f>IF(Input!E42="Input",Input!E43,"")</f>
        <v/>
      </c>
      <c r="H29" s="14"/>
    </row>
    <row r="38" spans="4:18" ht="13.5" thickBot="1"/>
    <row r="39" spans="4:18" ht="13.5" thickBot="1">
      <c r="D39" s="103" t="s">
        <v>2</v>
      </c>
      <c r="E39" s="104"/>
      <c r="F39" s="105"/>
      <c r="G39" s="86" t="str">
        <f>IF(Input!G42="Input",Input!G41,"")</f>
        <v/>
      </c>
      <c r="H39" s="87" t="str">
        <f>IF(Input!F56="Input",Input!F55,"")</f>
        <v/>
      </c>
    </row>
    <row r="40" spans="4:18">
      <c r="D40" s="106" t="s">
        <v>16</v>
      </c>
      <c r="E40" s="107"/>
      <c r="F40" s="108"/>
      <c r="G40" s="71" t="str">
        <f>IF(Input!G42="Input",Input!G45,"")</f>
        <v/>
      </c>
      <c r="H40" s="12" t="str">
        <f>IF(G40="","",'Custom Rules'!C6)</f>
        <v/>
      </c>
    </row>
    <row r="41" spans="4:18">
      <c r="D41" s="88" t="s">
        <v>14</v>
      </c>
      <c r="E41" s="89"/>
      <c r="F41" s="90"/>
      <c r="G41" s="72" t="str">
        <f>IF(Input!G42="Input",Input!G46,"")</f>
        <v/>
      </c>
      <c r="H41" s="13" t="str">
        <f>IF(G41="","",Input!F46)</f>
        <v/>
      </c>
    </row>
    <row r="42" spans="4:18" ht="13.5" thickBot="1">
      <c r="D42" s="88" t="s">
        <v>17</v>
      </c>
      <c r="E42" s="89"/>
      <c r="F42" s="90"/>
      <c r="G42" s="72" t="str">
        <f>IF(Input!G42="Input",Input!G47,"")</f>
        <v/>
      </c>
      <c r="H42" s="13" t="str">
        <f>IF(G42="","",Input!F47)</f>
        <v/>
      </c>
    </row>
    <row r="43" spans="4:18" ht="13.5" thickBot="1">
      <c r="D43" s="91" t="s">
        <v>49</v>
      </c>
      <c r="E43" s="92"/>
      <c r="F43" s="93"/>
      <c r="G43" s="73" t="str">
        <f>IF(Input!G42="Input",Input!G43,"")</f>
        <v/>
      </c>
      <c r="H43" s="14"/>
      <c r="N43" s="103" t="s">
        <v>2</v>
      </c>
      <c r="O43" s="104"/>
      <c r="P43" s="105"/>
      <c r="Q43" s="86" t="e">
        <f>IF(HLOOKUP("Output",Input!C42:K43,2,FALSE)=0,HLOOKUP("Output",Input!C42:K54,13,FALSE),HLOOKUP(1,Input!C43:K54,12,TRUE))</f>
        <v>#N/A</v>
      </c>
      <c r="R43" s="87"/>
    </row>
    <row r="44" spans="4:18">
      <c r="N44" s="106" t="s">
        <v>16</v>
      </c>
      <c r="O44" s="107"/>
      <c r="P44" s="108"/>
      <c r="Q44" s="75" t="e">
        <f>Q15</f>
        <v>#N/A</v>
      </c>
      <c r="R44" s="19" t="str">
        <f>'Custom Rules'!C6</f>
        <v>Deg F</v>
      </c>
    </row>
    <row r="45" spans="4:18">
      <c r="N45" s="88" t="s">
        <v>14</v>
      </c>
      <c r="O45" s="89"/>
      <c r="P45" s="90"/>
      <c r="Q45" s="77" t="e">
        <f>Q16</f>
        <v>#N/A</v>
      </c>
      <c r="R45" s="20" t="str">
        <f>Input!D46</f>
        <v>PSIG</v>
      </c>
    </row>
    <row r="46" spans="4:18">
      <c r="N46" s="88" t="s">
        <v>17</v>
      </c>
      <c r="O46" s="89"/>
      <c r="P46" s="90"/>
      <c r="Q46" s="77" t="e">
        <f>IF(HLOOKUP("Output",Input!C42:K43,2,FALSE)=0,HLOOKUP("Output",Input!C42:K54,11,FALSE),HLOOKUP(1,Input!C43:K54,11,TRUE))</f>
        <v>#N/A</v>
      </c>
      <c r="R46" s="20" t="str">
        <f>Input!D47</f>
        <v>LB/H</v>
      </c>
    </row>
    <row r="47" spans="4:18" ht="13.5" thickBot="1">
      <c r="N47" s="91" t="s">
        <v>23</v>
      </c>
      <c r="O47" s="92"/>
      <c r="P47" s="93"/>
      <c r="Q47" s="76" t="e">
        <f>'Custom Rules'!B11</f>
        <v>#N/A</v>
      </c>
      <c r="R47" s="21" t="str">
        <f>'Custom Rules'!C11</f>
        <v>lb/ft3</v>
      </c>
    </row>
  </sheetData>
  <mergeCells count="30">
    <mergeCell ref="N18:P18"/>
    <mergeCell ref="D39:F39"/>
    <mergeCell ref="G39:H39"/>
    <mergeCell ref="G17:H17"/>
    <mergeCell ref="D18:F18"/>
    <mergeCell ref="D19:F19"/>
    <mergeCell ref="D20:F20"/>
    <mergeCell ref="D21:F21"/>
    <mergeCell ref="D17:F17"/>
    <mergeCell ref="I5:J5"/>
    <mergeCell ref="Q14:R14"/>
    <mergeCell ref="N15:P15"/>
    <mergeCell ref="N16:P16"/>
    <mergeCell ref="N17:P17"/>
    <mergeCell ref="N14:P14"/>
    <mergeCell ref="Q43:R43"/>
    <mergeCell ref="N45:P45"/>
    <mergeCell ref="N46:P46"/>
    <mergeCell ref="N47:P47"/>
    <mergeCell ref="D25:F25"/>
    <mergeCell ref="D26:F26"/>
    <mergeCell ref="D27:F27"/>
    <mergeCell ref="N43:P43"/>
    <mergeCell ref="D41:F41"/>
    <mergeCell ref="D28:F28"/>
    <mergeCell ref="D29:F29"/>
    <mergeCell ref="N44:P44"/>
    <mergeCell ref="D43:F43"/>
    <mergeCell ref="D40:F40"/>
    <mergeCell ref="D42:F42"/>
  </mergeCells>
  <phoneticPr fontId="0"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dimension ref="A1:T48"/>
  <sheetViews>
    <sheetView tabSelected="1" zoomScale="90" zoomScaleNormal="90" workbookViewId="0"/>
  </sheetViews>
  <sheetFormatPr defaultRowHeight="12.75"/>
  <cols>
    <col min="1" max="1" width="43" style="29" customWidth="1"/>
    <col min="2" max="2" width="10.85546875" style="29" customWidth="1"/>
    <col min="3" max="10" width="9.140625" style="29"/>
    <col min="11" max="11" width="13.5703125" style="29" bestFit="1" customWidth="1"/>
    <col min="12" max="12" width="9.85546875" style="29" bestFit="1" customWidth="1"/>
    <col min="13" max="16384" width="9.140625" style="29"/>
  </cols>
  <sheetData>
    <row r="1" spans="1:13" ht="15.75">
      <c r="A1" s="35" t="s">
        <v>71</v>
      </c>
    </row>
    <row r="2" spans="1:13" ht="65.25" customHeight="1">
      <c r="A2" s="111" t="s">
        <v>140</v>
      </c>
      <c r="B2" s="111"/>
      <c r="C2" s="111"/>
      <c r="D2" s="111"/>
      <c r="E2" s="111"/>
      <c r="F2" s="111"/>
      <c r="G2" s="111"/>
      <c r="H2" s="111"/>
      <c r="I2" s="111"/>
      <c r="J2" s="111"/>
      <c r="K2" s="111"/>
    </row>
    <row r="3" spans="1:13" ht="33" customHeight="1">
      <c r="A3" s="111" t="s">
        <v>130</v>
      </c>
      <c r="B3" s="111"/>
      <c r="C3" s="111"/>
      <c r="D3" s="111"/>
      <c r="E3" s="111"/>
      <c r="F3" s="111"/>
      <c r="G3" s="111"/>
      <c r="H3" s="111"/>
      <c r="I3" s="111"/>
      <c r="J3" s="111"/>
      <c r="K3" s="111"/>
    </row>
    <row r="4" spans="1:13" ht="15">
      <c r="A4" s="33"/>
    </row>
    <row r="5" spans="1:13">
      <c r="A5" s="31" t="s">
        <v>57</v>
      </c>
      <c r="M5" s="32"/>
    </row>
    <row r="6" spans="1:13">
      <c r="A6" s="30" t="s">
        <v>55</v>
      </c>
      <c r="B6" s="42" t="e">
        <f>IF((Input!D45="C"),(LARGE(Input!C45:L45,1)*1.8+32),LARGE(Input!C45:L45,1))</f>
        <v>#NUM!</v>
      </c>
      <c r="C6" s="29" t="s">
        <v>136</v>
      </c>
      <c r="M6" s="32"/>
    </row>
    <row r="7" spans="1:13">
      <c r="A7" s="30" t="s">
        <v>56</v>
      </c>
      <c r="B7" s="42" t="e">
        <f>LARGE(Input!C46:L46,1)</f>
        <v>#NUM!</v>
      </c>
      <c r="C7" s="29" t="s">
        <v>54</v>
      </c>
      <c r="M7" s="32"/>
    </row>
    <row r="8" spans="1:13" ht="14.25">
      <c r="A8" s="30" t="s">
        <v>118</v>
      </c>
      <c r="B8" s="43" t="e">
        <f>IF(HLOOKUP("Output",Input!C42:K53,9,FALSE)=0,HLOOKUP(1,Input!C43:K53,8,TRUE))/3600</f>
        <v>#N/A</v>
      </c>
      <c r="C8" s="29" t="s">
        <v>52</v>
      </c>
      <c r="M8" s="32"/>
    </row>
    <row r="9" spans="1:13" ht="14.25">
      <c r="A9" s="30" t="s">
        <v>119</v>
      </c>
      <c r="B9" s="43" t="e">
        <f>IF(HLOOKUP("Output",Input!C42:K53,7,FALSE)&gt;0,HLOOKUP("Output",Input!C42:K53,7,FALSE),HLOOKUP(1,Input!C43:K53,6,TRUE))</f>
        <v>#N/A</v>
      </c>
      <c r="C9" s="29" t="s">
        <v>53</v>
      </c>
    </row>
    <row r="10" spans="1:13" ht="14.25">
      <c r="A10" s="30" t="s">
        <v>120</v>
      </c>
      <c r="B10" s="43" t="e">
        <f>IF(HLOOKUP("Output",Input!C42:K53,12,FALSE)&gt;0,HLOOKUP("Output",Input!C42:K53,12,FALSE),HLOOKUP(0,Input!C43:K53,11,FALSE))/60</f>
        <v>#N/A</v>
      </c>
      <c r="C10" s="29" t="s">
        <v>52</v>
      </c>
    </row>
    <row r="11" spans="1:13" ht="14.25">
      <c r="A11" s="30" t="s">
        <v>121</v>
      </c>
      <c r="B11" s="43" t="e">
        <f>IF(HLOOKUP("Output",Input!C42:K53,10,FALSE)&gt;0,HLOOKUP("Output",Input!C42:K53,10,FALSE),HLOOKUP(1,Input!C43:K53,9,TRUE))</f>
        <v>#N/A</v>
      </c>
      <c r="C11" s="29" t="s">
        <v>53</v>
      </c>
    </row>
    <row r="14" spans="1:13" ht="15.75">
      <c r="A14" s="44" t="s">
        <v>124</v>
      </c>
    </row>
    <row r="15" spans="1:13" ht="19.5">
      <c r="A15" s="45" t="s">
        <v>93</v>
      </c>
    </row>
    <row r="16" spans="1:13" ht="15.75">
      <c r="A16" s="30" t="s">
        <v>95</v>
      </c>
      <c r="B16" s="29" t="s">
        <v>58</v>
      </c>
    </row>
    <row r="17" spans="1:20">
      <c r="A17" s="30" t="s">
        <v>59</v>
      </c>
      <c r="B17" s="29" t="s">
        <v>60</v>
      </c>
    </row>
    <row r="18" spans="1:20" ht="15.75">
      <c r="A18" s="30" t="s">
        <v>96</v>
      </c>
      <c r="B18" s="29" t="s">
        <v>61</v>
      </c>
    </row>
    <row r="19" spans="1:20" ht="15.75">
      <c r="A19" s="30" t="s">
        <v>97</v>
      </c>
      <c r="B19" s="29" t="s">
        <v>62</v>
      </c>
    </row>
    <row r="20" spans="1:20" ht="15">
      <c r="A20" s="46"/>
    </row>
    <row r="21" spans="1:20" ht="15.75">
      <c r="A21" s="44" t="s">
        <v>63</v>
      </c>
      <c r="K21" s="31" t="s">
        <v>39</v>
      </c>
    </row>
    <row r="22" spans="1:20" ht="41.25" customHeight="1">
      <c r="A22" s="30" t="s">
        <v>64</v>
      </c>
      <c r="B22" s="47">
        <v>0.24</v>
      </c>
      <c r="C22" s="112" t="s">
        <v>135</v>
      </c>
      <c r="D22" s="112"/>
      <c r="E22" s="112"/>
      <c r="F22" s="112"/>
      <c r="G22" s="112"/>
      <c r="H22" s="112"/>
      <c r="I22" s="112"/>
      <c r="K22" s="34" t="s">
        <v>79</v>
      </c>
      <c r="L22" s="48"/>
      <c r="Q22" s="34" t="s">
        <v>80</v>
      </c>
    </row>
    <row r="23" spans="1:20" ht="15.75">
      <c r="A23" s="30" t="s">
        <v>65</v>
      </c>
      <c r="B23" s="47" t="e">
        <f>B22*((B11-B9)/B9)^0.5</f>
        <v>#N/A</v>
      </c>
      <c r="C23" s="29" t="s">
        <v>40</v>
      </c>
      <c r="L23" s="30" t="s">
        <v>81</v>
      </c>
      <c r="M23" s="47" t="e">
        <f>50/(B9)^0.5</f>
        <v>#N/A</v>
      </c>
      <c r="N23" s="29" t="s">
        <v>40</v>
      </c>
      <c r="R23" s="30" t="s">
        <v>81</v>
      </c>
      <c r="S23" s="62">
        <v>3.3</v>
      </c>
      <c r="T23" s="29" t="s">
        <v>40</v>
      </c>
    </row>
    <row r="24" spans="1:20" ht="15.75">
      <c r="A24" s="30" t="s">
        <v>66</v>
      </c>
      <c r="B24" s="47" t="e">
        <f>B8/B23</f>
        <v>#N/A</v>
      </c>
      <c r="C24" s="29" t="s">
        <v>67</v>
      </c>
      <c r="L24" s="30" t="s">
        <v>82</v>
      </c>
      <c r="M24" s="47" t="e">
        <f>B8/M23</f>
        <v>#N/A</v>
      </c>
      <c r="N24" s="29" t="s">
        <v>67</v>
      </c>
      <c r="R24" s="30" t="s">
        <v>82</v>
      </c>
      <c r="S24" s="62" t="e">
        <f>B10/S23</f>
        <v>#N/A</v>
      </c>
      <c r="T24" s="29" t="s">
        <v>67</v>
      </c>
    </row>
    <row r="25" spans="1:20" ht="15.75">
      <c r="A25" s="30" t="s">
        <v>68</v>
      </c>
      <c r="B25" s="47" t="e">
        <f>(4*B24/PI())^0.5</f>
        <v>#N/A</v>
      </c>
      <c r="C25" s="29" t="s">
        <v>41</v>
      </c>
      <c r="D25" s="49"/>
      <c r="L25" s="30" t="s">
        <v>83</v>
      </c>
      <c r="M25" s="47" t="e">
        <f>(4*M24/PI())^0.5</f>
        <v>#N/A</v>
      </c>
      <c r="N25" s="29" t="s">
        <v>41</v>
      </c>
      <c r="R25" s="30" t="s">
        <v>83</v>
      </c>
      <c r="S25" s="62" t="e">
        <f>(4*S24/PI())^0.5</f>
        <v>#N/A</v>
      </c>
      <c r="T25" s="29" t="s">
        <v>41</v>
      </c>
    </row>
    <row r="26" spans="1:20">
      <c r="A26" s="30" t="s">
        <v>69</v>
      </c>
      <c r="B26" s="47" t="e">
        <f>EVEN(B25)</f>
        <v>#N/A</v>
      </c>
      <c r="C26" s="29" t="s">
        <v>41</v>
      </c>
      <c r="L26" s="30"/>
      <c r="M26" s="47" t="e">
        <f>M25*12</f>
        <v>#N/A</v>
      </c>
      <c r="N26" s="29" t="s">
        <v>42</v>
      </c>
      <c r="R26" s="30"/>
      <c r="S26" s="62" t="e">
        <f>S25*12</f>
        <v>#N/A</v>
      </c>
      <c r="T26" s="29" t="s">
        <v>42</v>
      </c>
    </row>
    <row r="27" spans="1:20">
      <c r="A27" s="30"/>
      <c r="B27" s="29" t="e">
        <f>B26*12</f>
        <v>#N/A</v>
      </c>
      <c r="C27" s="29" t="s">
        <v>42</v>
      </c>
      <c r="L27" s="30" t="s">
        <v>84</v>
      </c>
      <c r="M27" s="29" t="e">
        <f>EVEN(M26)</f>
        <v>#N/A</v>
      </c>
      <c r="N27" s="29" t="s">
        <v>42</v>
      </c>
      <c r="R27" s="30" t="s">
        <v>84</v>
      </c>
      <c r="S27" s="48" t="e">
        <f>EVEN(S26)</f>
        <v>#N/A</v>
      </c>
      <c r="T27" s="29" t="s">
        <v>42</v>
      </c>
    </row>
    <row r="28" spans="1:20" ht="14.25">
      <c r="A28" s="52" t="s">
        <v>94</v>
      </c>
      <c r="B28" s="31" t="e">
        <f>IF(B27&lt;36,36,B27)</f>
        <v>#N/A</v>
      </c>
      <c r="C28" s="31" t="s">
        <v>42</v>
      </c>
      <c r="D28" s="29" t="s">
        <v>123</v>
      </c>
    </row>
    <row r="29" spans="1:20" ht="15.75">
      <c r="A29" s="50"/>
      <c r="B29" s="35"/>
      <c r="C29" s="35"/>
      <c r="K29" s="31" t="s">
        <v>110</v>
      </c>
      <c r="Q29" s="31" t="s">
        <v>112</v>
      </c>
      <c r="S29" s="48"/>
    </row>
    <row r="30" spans="1:20">
      <c r="A30" s="54" t="s">
        <v>74</v>
      </c>
      <c r="L30" s="30" t="s">
        <v>128</v>
      </c>
      <c r="M30" s="48">
        <v>2</v>
      </c>
      <c r="R30" s="30" t="s">
        <v>129</v>
      </c>
      <c r="S30" s="48">
        <v>4</v>
      </c>
    </row>
    <row r="31" spans="1:20" ht="29.25" customHeight="1">
      <c r="A31" s="30" t="s">
        <v>70</v>
      </c>
      <c r="B31" s="30">
        <v>1</v>
      </c>
      <c r="C31" s="29" t="s">
        <v>43</v>
      </c>
      <c r="D31" s="112" t="s">
        <v>100</v>
      </c>
      <c r="E31" s="112"/>
      <c r="F31" s="112"/>
      <c r="G31" s="112"/>
      <c r="H31" s="112"/>
      <c r="I31" s="112"/>
      <c r="L31" s="30" t="s">
        <v>111</v>
      </c>
      <c r="M31" s="48">
        <v>18</v>
      </c>
      <c r="N31" s="29" t="s">
        <v>42</v>
      </c>
      <c r="R31" s="30" t="s">
        <v>113</v>
      </c>
      <c r="S31" s="48">
        <v>2</v>
      </c>
      <c r="T31" s="29" t="s">
        <v>42</v>
      </c>
    </row>
    <row r="32" spans="1:20">
      <c r="A32" s="30" t="s">
        <v>72</v>
      </c>
      <c r="B32" s="51" t="e">
        <f>4/PI()*(B31*60*B10)/(B28/12)^2</f>
        <v>#N/A</v>
      </c>
      <c r="C32" s="29" t="s">
        <v>41</v>
      </c>
    </row>
    <row r="33" spans="1:20">
      <c r="A33" s="30"/>
      <c r="B33" s="47" t="e">
        <f>ROUNDUP(B32*12,0)</f>
        <v>#N/A</v>
      </c>
      <c r="C33" s="29" t="s">
        <v>42</v>
      </c>
      <c r="R33" s="30" t="s">
        <v>129</v>
      </c>
      <c r="S33" s="48">
        <v>2</v>
      </c>
    </row>
    <row r="34" spans="1:20">
      <c r="A34" s="30" t="s">
        <v>73</v>
      </c>
      <c r="B34" s="47">
        <v>6</v>
      </c>
      <c r="C34" s="29" t="s">
        <v>42</v>
      </c>
      <c r="R34" s="30" t="s">
        <v>113</v>
      </c>
      <c r="S34" s="48">
        <v>1</v>
      </c>
      <c r="T34" s="29" t="s">
        <v>42</v>
      </c>
    </row>
    <row r="35" spans="1:20">
      <c r="A35" s="30" t="s">
        <v>85</v>
      </c>
      <c r="B35" s="49">
        <v>12</v>
      </c>
      <c r="C35" s="29" t="s">
        <v>42</v>
      </c>
      <c r="D35" s="29" t="s">
        <v>125</v>
      </c>
    </row>
    <row r="36" spans="1:20">
      <c r="A36" s="30" t="s">
        <v>86</v>
      </c>
      <c r="B36" s="29" t="e">
        <f>IF(((B28+6))&gt;42,(B28+6),42)</f>
        <v>#N/A</v>
      </c>
      <c r="C36" s="29" t="s">
        <v>42</v>
      </c>
      <c r="D36" s="29" t="s">
        <v>126</v>
      </c>
      <c r="K36" s="31" t="s">
        <v>114</v>
      </c>
    </row>
    <row r="37" spans="1:20">
      <c r="A37" s="30" t="s">
        <v>87</v>
      </c>
      <c r="B37" s="29">
        <v>24</v>
      </c>
      <c r="C37" s="29" t="s">
        <v>42</v>
      </c>
      <c r="D37" s="29" t="s">
        <v>127</v>
      </c>
      <c r="L37" s="30" t="s">
        <v>115</v>
      </c>
      <c r="M37" s="49">
        <f>IF(Input!C42="Input",Input!C47,0)+IF(Input!E42="Input",Input!E47,0)+IF(Input!G42="Input",Input!G47,0)</f>
        <v>0</v>
      </c>
      <c r="N37" s="29" t="s">
        <v>116</v>
      </c>
    </row>
    <row r="38" spans="1:20" ht="14.25">
      <c r="A38" s="30" t="s">
        <v>75</v>
      </c>
      <c r="B38" s="49" t="e">
        <f>IF(B33&gt;12,B33,12)</f>
        <v>#N/A</v>
      </c>
      <c r="C38" s="29" t="s">
        <v>42</v>
      </c>
      <c r="D38" s="29" t="s">
        <v>99</v>
      </c>
      <c r="L38" s="30" t="s">
        <v>117</v>
      </c>
      <c r="M38" s="47">
        <f>IF(Input!C42="Input",(((Input!C48*Input!C43+Input!C51*(1-Input!C43))*Input!C47/'Custom Rules'!M37)),0)+IF(Input!E42="Input",(((Input!E48*Input!E43+Input!E51*(1-Input!E43))*Input!E47/'Custom Rules'!M37)),0)+IF(Input!G42="Input",(((Input!G48*Input!G43+Input!G51*(1-Input!G43))*Input!G47/'Custom Rules'!M37)),0)</f>
        <v>0</v>
      </c>
      <c r="N38" s="29" t="s">
        <v>53</v>
      </c>
    </row>
    <row r="39" spans="1:20">
      <c r="A39" s="30" t="s">
        <v>98</v>
      </c>
      <c r="B39" s="29">
        <v>6</v>
      </c>
      <c r="C39" s="29" t="s">
        <v>42</v>
      </c>
      <c r="L39" s="30" t="s">
        <v>81</v>
      </c>
      <c r="M39" s="47" t="e">
        <f>50/(M38)^0.5</f>
        <v>#DIV/0!</v>
      </c>
      <c r="N39" s="29" t="s">
        <v>40</v>
      </c>
    </row>
    <row r="40" spans="1:20" ht="14.25">
      <c r="A40" s="30" t="s">
        <v>76</v>
      </c>
      <c r="B40" s="49" t="e">
        <f>SUM(B33:B39)</f>
        <v>#N/A</v>
      </c>
      <c r="C40" s="29" t="s">
        <v>42</v>
      </c>
      <c r="L40" s="30" t="s">
        <v>82</v>
      </c>
      <c r="M40" s="47" t="e">
        <f>M37/M38/3600</f>
        <v>#DIV/0!</v>
      </c>
      <c r="N40" s="29" t="s">
        <v>67</v>
      </c>
    </row>
    <row r="41" spans="1:20">
      <c r="A41" s="30"/>
      <c r="B41" s="47" t="e">
        <f>B40/12</f>
        <v>#N/A</v>
      </c>
      <c r="C41" s="29" t="s">
        <v>44</v>
      </c>
      <c r="L41" s="30" t="s">
        <v>83</v>
      </c>
      <c r="M41" s="47" t="e">
        <f>IF(((4*M40/PI())^0.5)&gt;4,(((4*M40)/(2*PI()))^0.5),((4*M40/PI())^0.5))</f>
        <v>#DIV/0!</v>
      </c>
      <c r="N41" s="29" t="s">
        <v>41</v>
      </c>
      <c r="O41" s="29" t="s">
        <v>144</v>
      </c>
    </row>
    <row r="42" spans="1:20">
      <c r="A42" s="52" t="s">
        <v>77</v>
      </c>
      <c r="B42" s="53" t="e">
        <f>ROUNDUP(B41,0)</f>
        <v>#N/A</v>
      </c>
      <c r="C42" s="31" t="s">
        <v>44</v>
      </c>
      <c r="L42" s="30"/>
      <c r="M42" s="47" t="e">
        <f>M41*12</f>
        <v>#DIV/0!</v>
      </c>
      <c r="N42" s="29" t="s">
        <v>42</v>
      </c>
    </row>
    <row r="43" spans="1:20" ht="28.5" customHeight="1">
      <c r="A43" s="30" t="s">
        <v>78</v>
      </c>
      <c r="B43" s="47" t="e">
        <f>B42*12/B28</f>
        <v>#N/A</v>
      </c>
      <c r="C43" s="112" t="s">
        <v>142</v>
      </c>
      <c r="D43" s="112"/>
      <c r="E43" s="112"/>
      <c r="F43" s="112"/>
      <c r="G43" s="112"/>
      <c r="H43" s="112"/>
      <c r="I43" s="112"/>
      <c r="L43" s="30" t="s">
        <v>84</v>
      </c>
      <c r="M43" s="29" t="e">
        <f>EVEN(M42)</f>
        <v>#DIV/0!</v>
      </c>
      <c r="N43" s="29" t="s">
        <v>42</v>
      </c>
    </row>
    <row r="44" spans="1:20">
      <c r="A44" s="30"/>
      <c r="B44" s="47"/>
      <c r="L44" s="30" t="s">
        <v>134</v>
      </c>
      <c r="M44" s="29" t="e">
        <f>IF(((4*M40/PI())^0.5)&gt;4,2,1)</f>
        <v>#DIV/0!</v>
      </c>
    </row>
    <row r="45" spans="1:20" ht="15.75">
      <c r="A45" s="35"/>
    </row>
    <row r="46" spans="1:20">
      <c r="A46" s="31" t="s">
        <v>131</v>
      </c>
    </row>
    <row r="47" spans="1:20">
      <c r="A47" s="52" t="s">
        <v>132</v>
      </c>
      <c r="B47" s="29" t="e">
        <f>B28/12</f>
        <v>#N/A</v>
      </c>
      <c r="C47" s="29" t="s">
        <v>44</v>
      </c>
    </row>
    <row r="48" spans="1:20">
      <c r="A48" s="52" t="s">
        <v>133</v>
      </c>
      <c r="B48" s="49" t="e">
        <f>B42</f>
        <v>#N/A</v>
      </c>
      <c r="C48" s="29" t="s">
        <v>44</v>
      </c>
    </row>
  </sheetData>
  <mergeCells count="5">
    <mergeCell ref="A2:K2"/>
    <mergeCell ref="D31:I31"/>
    <mergeCell ref="C22:I22"/>
    <mergeCell ref="A3:K3"/>
    <mergeCell ref="C43:I43"/>
  </mergeCells>
  <pageMargins left="0.7" right="0.7" top="0.75" bottom="0.75" header="0.3" footer="0.3"/>
  <pageSetup orientation="portrait" horizontalDpi="0" verticalDpi="0" r:id="rId1"/>
  <ignoredErrors>
    <ignoredError sqref="B32" evalError="1"/>
  </ignoredErrors>
</worksheet>
</file>

<file path=xl/worksheets/sheet4.xml><?xml version="1.0" encoding="utf-8"?>
<worksheet xmlns="http://schemas.openxmlformats.org/spreadsheetml/2006/main" xmlns:r="http://schemas.openxmlformats.org/officeDocument/2006/relationships">
  <dimension ref="B2:L67"/>
  <sheetViews>
    <sheetView workbookViewId="0"/>
  </sheetViews>
  <sheetFormatPr defaultRowHeight="12.75"/>
  <cols>
    <col min="1" max="1" width="11.7109375" customWidth="1"/>
    <col min="2" max="2" width="30.140625" bestFit="1" customWidth="1"/>
    <col min="3" max="3" width="29.140625" bestFit="1" customWidth="1"/>
    <col min="4" max="4" width="18.42578125" bestFit="1" customWidth="1"/>
    <col min="5" max="5" width="29.140625" bestFit="1" customWidth="1"/>
    <col min="6" max="6" width="18.42578125" bestFit="1" customWidth="1"/>
    <col min="7" max="7" width="29.140625" bestFit="1" customWidth="1"/>
    <col min="8" max="8" width="15.7109375" bestFit="1" customWidth="1"/>
    <col min="9" max="9" width="29.140625" bestFit="1" customWidth="1"/>
    <col min="10" max="10" width="15.7109375" bestFit="1" customWidth="1"/>
    <col min="11" max="11" width="29.140625" bestFit="1" customWidth="1"/>
    <col min="12" max="12" width="15.7109375" bestFit="1" customWidth="1"/>
  </cols>
  <sheetData>
    <row r="2" spans="2:4">
      <c r="B2" s="85" t="s">
        <v>6</v>
      </c>
      <c r="C2" s="85"/>
      <c r="D2" s="85"/>
    </row>
    <row r="3" spans="2:4" ht="13.5" thickBot="1">
      <c r="B3" s="113" t="s">
        <v>26</v>
      </c>
      <c r="C3" s="113"/>
      <c r="D3" s="113"/>
    </row>
    <row r="4" spans="2:4" ht="13.5" thickBot="1">
      <c r="B4" s="24" t="s">
        <v>4</v>
      </c>
      <c r="C4" s="24" t="s">
        <v>0</v>
      </c>
      <c r="D4" s="25" t="s">
        <v>1</v>
      </c>
    </row>
    <row r="5" spans="2:4">
      <c r="B5" s="4" t="s">
        <v>5</v>
      </c>
      <c r="C5" s="5" t="str">
        <f>Diagram!J7</f>
        <v/>
      </c>
      <c r="D5" s="6" t="str">
        <f>Diagram!K7</f>
        <v/>
      </c>
    </row>
    <row r="6" spans="2:4">
      <c r="B6" s="27" t="s">
        <v>28</v>
      </c>
      <c r="C6" s="37" t="e">
        <f>ROUNDUP('Custom Rules'!B6+50,1)</f>
        <v>#NUM!</v>
      </c>
      <c r="D6" s="38" t="str">
        <f>'Custom Rules'!C6</f>
        <v>Deg F</v>
      </c>
    </row>
    <row r="7" spans="2:4">
      <c r="B7" s="27" t="s">
        <v>29</v>
      </c>
      <c r="C7" s="37" t="e">
        <f>IF(ROUNDUP('Custom Rules'!B7*1.15,1)&lt;50,50,ROUNDUP('Custom Rules'!B7*1.15,-1))</f>
        <v>#NUM!</v>
      </c>
      <c r="D7" s="38" t="str">
        <f>Input!D46</f>
        <v>PSIG</v>
      </c>
    </row>
    <row r="8" spans="2:4">
      <c r="B8" s="27" t="s">
        <v>91</v>
      </c>
      <c r="C8" s="37" t="e">
        <f>PI()*(C9/2)^2*C10*7.481</f>
        <v>#N/A</v>
      </c>
      <c r="D8" s="38" t="s">
        <v>92</v>
      </c>
    </row>
    <row r="9" spans="2:4">
      <c r="B9" s="27" t="s">
        <v>30</v>
      </c>
      <c r="C9" s="39" t="e">
        <f>'Custom Rules'!B28/12</f>
        <v>#N/A</v>
      </c>
      <c r="D9" s="38" t="s">
        <v>33</v>
      </c>
    </row>
    <row r="10" spans="2:4">
      <c r="B10" s="27" t="s">
        <v>31</v>
      </c>
      <c r="C10" s="39" t="e">
        <f>'Custom Rules'!B42</f>
        <v>#N/A</v>
      </c>
      <c r="D10" s="38" t="s">
        <v>33</v>
      </c>
    </row>
    <row r="11" spans="2:4">
      <c r="B11" s="27" t="s">
        <v>122</v>
      </c>
      <c r="C11" s="37">
        <f>'Custom Rules'!M30</f>
        <v>2</v>
      </c>
      <c r="D11" s="38"/>
    </row>
    <row r="12" spans="2:4">
      <c r="B12" s="27" t="s">
        <v>138</v>
      </c>
      <c r="C12" s="37">
        <f>'Custom Rules'!M31</f>
        <v>18</v>
      </c>
      <c r="D12" s="38" t="s">
        <v>38</v>
      </c>
    </row>
    <row r="13" spans="2:4">
      <c r="B13" s="26" t="s">
        <v>34</v>
      </c>
      <c r="C13" s="40" t="s">
        <v>37</v>
      </c>
      <c r="D13" s="38"/>
    </row>
    <row r="14" spans="2:4">
      <c r="B14" s="26" t="s">
        <v>35</v>
      </c>
      <c r="C14" s="37" t="e">
        <f>'Custom Rules'!M44</f>
        <v>#DIV/0!</v>
      </c>
      <c r="D14" s="38"/>
    </row>
    <row r="15" spans="2:4">
      <c r="B15" s="26" t="s">
        <v>36</v>
      </c>
      <c r="C15" s="37" t="e">
        <f>'Custom Rules'!M43</f>
        <v>#DIV/0!</v>
      </c>
      <c r="D15" s="38" t="s">
        <v>38</v>
      </c>
    </row>
    <row r="16" spans="2:4">
      <c r="B16" s="27" t="s">
        <v>88</v>
      </c>
      <c r="C16" s="64" t="s">
        <v>37</v>
      </c>
      <c r="D16" s="38"/>
    </row>
    <row r="17" spans="2:4">
      <c r="B17" s="27" t="s">
        <v>89</v>
      </c>
      <c r="C17" s="65">
        <v>1</v>
      </c>
      <c r="D17" s="38"/>
    </row>
    <row r="18" spans="2:4">
      <c r="B18" s="27" t="s">
        <v>90</v>
      </c>
      <c r="C18" s="65" t="e">
        <f>'Custom Rules'!M27</f>
        <v>#N/A</v>
      </c>
      <c r="D18" s="60" t="s">
        <v>38</v>
      </c>
    </row>
    <row r="19" spans="2:4">
      <c r="B19" s="57" t="s">
        <v>101</v>
      </c>
      <c r="C19" s="66" t="s">
        <v>37</v>
      </c>
      <c r="D19" s="59"/>
    </row>
    <row r="20" spans="2:4">
      <c r="B20" s="26" t="s">
        <v>102</v>
      </c>
      <c r="C20" s="65">
        <v>1</v>
      </c>
      <c r="D20" s="38"/>
    </row>
    <row r="21" spans="2:4">
      <c r="B21" s="26" t="s">
        <v>103</v>
      </c>
      <c r="C21" s="65" t="e">
        <f>'Custom Rules'!S27</f>
        <v>#N/A</v>
      </c>
      <c r="D21" s="38" t="s">
        <v>38</v>
      </c>
    </row>
    <row r="22" spans="2:4">
      <c r="B22" s="61" t="s">
        <v>104</v>
      </c>
      <c r="C22" s="58" t="s">
        <v>37</v>
      </c>
      <c r="D22" s="59"/>
    </row>
    <row r="23" spans="2:4">
      <c r="B23" s="27" t="s">
        <v>106</v>
      </c>
      <c r="C23" s="37">
        <f>'Custom Rules'!S30</f>
        <v>4</v>
      </c>
      <c r="D23" s="38"/>
    </row>
    <row r="24" spans="2:4">
      <c r="B24" s="27" t="s">
        <v>105</v>
      </c>
      <c r="C24" s="37">
        <f>'Custom Rules'!S31</f>
        <v>2</v>
      </c>
      <c r="D24" s="38" t="s">
        <v>38</v>
      </c>
    </row>
    <row r="25" spans="2:4">
      <c r="B25" s="27" t="s">
        <v>107</v>
      </c>
      <c r="C25" s="40" t="s">
        <v>37</v>
      </c>
      <c r="D25" s="38"/>
    </row>
    <row r="26" spans="2:4">
      <c r="B26" s="27" t="s">
        <v>108</v>
      </c>
      <c r="C26" s="37">
        <f>'Custom Rules'!S33</f>
        <v>2</v>
      </c>
      <c r="D26" s="38"/>
    </row>
    <row r="27" spans="2:4" ht="13.5" thickBot="1">
      <c r="B27" s="36" t="s">
        <v>109</v>
      </c>
      <c r="C27" s="63">
        <f>'Custom Rules'!S34</f>
        <v>1</v>
      </c>
      <c r="D27" s="41" t="s">
        <v>38</v>
      </c>
    </row>
    <row r="48" ht="13.5" thickBot="1"/>
    <row r="49" spans="2:12" ht="13.5" thickBot="1">
      <c r="B49" s="24" t="s">
        <v>3</v>
      </c>
      <c r="C49" s="24" t="s">
        <v>0</v>
      </c>
      <c r="D49" s="25" t="s">
        <v>1</v>
      </c>
      <c r="E49" s="24" t="s">
        <v>0</v>
      </c>
      <c r="F49" s="25" t="s">
        <v>1</v>
      </c>
      <c r="G49" s="24" t="s">
        <v>0</v>
      </c>
      <c r="H49" s="25" t="s">
        <v>1</v>
      </c>
      <c r="I49" s="24" t="s">
        <v>0</v>
      </c>
      <c r="J49" s="25" t="s">
        <v>1</v>
      </c>
      <c r="K49" s="24" t="s">
        <v>0</v>
      </c>
      <c r="L49" s="25" t="s">
        <v>1</v>
      </c>
    </row>
    <row r="50" spans="2:12">
      <c r="B50" s="3" t="s">
        <v>2</v>
      </c>
      <c r="C50" s="17" t="str">
        <f>IF(Input!C41="","",Input!C41)</f>
        <v/>
      </c>
      <c r="D50" s="17" t="str">
        <f>IF(Input!D41="","",Input!D41)</f>
        <v/>
      </c>
      <c r="E50" s="17" t="str">
        <f>IF(Input!E41="","",Input!E41)</f>
        <v/>
      </c>
      <c r="F50" s="17" t="str">
        <f>IF(Input!F41="","",Input!F41)</f>
        <v/>
      </c>
      <c r="G50" s="17" t="str">
        <f>IF(Input!G41="","",Input!G41)</f>
        <v/>
      </c>
      <c r="H50" s="17" t="str">
        <f>IF(Input!H41="","",Input!H41)</f>
        <v/>
      </c>
      <c r="I50" s="17" t="str">
        <f>IF(Input!K41="","",Input!K41)</f>
        <v/>
      </c>
      <c r="J50" s="17" t="str">
        <f>IF(Input!L41="","",Input!L41)</f>
        <v/>
      </c>
      <c r="K50" s="17" t="str">
        <f>IF(Input!M41="","",Input!M41)</f>
        <v/>
      </c>
      <c r="L50" s="17" t="str">
        <f>IF(Input!N41="","",Input!N41)</f>
        <v/>
      </c>
    </row>
    <row r="51" spans="2:12">
      <c r="B51" s="3" t="s">
        <v>7</v>
      </c>
      <c r="C51" s="17" t="str">
        <f>IF(Input!C42="","",Input!C42)</f>
        <v/>
      </c>
      <c r="D51" s="17" t="str">
        <f>IF(Input!D42="","",Input!D42)</f>
        <v/>
      </c>
      <c r="E51" s="17" t="str">
        <f>IF(Input!E42="","",Input!E42)</f>
        <v/>
      </c>
      <c r="F51" s="17" t="str">
        <f>IF(Input!F42="","",Input!F42)</f>
        <v/>
      </c>
      <c r="G51" s="17" t="str">
        <f>IF(Input!G42="","",Input!G42)</f>
        <v/>
      </c>
      <c r="H51" s="17" t="str">
        <f>IF(Input!H42="","",Input!H42)</f>
        <v/>
      </c>
      <c r="I51" s="17" t="str">
        <f>IF(Input!K42="","",Input!K42)</f>
        <v/>
      </c>
      <c r="J51" s="17" t="str">
        <f>IF(Input!L42="","",Input!L42)</f>
        <v/>
      </c>
      <c r="K51" s="17" t="str">
        <f>IF(Input!M42="","",Input!M42)</f>
        <v/>
      </c>
      <c r="L51" s="17" t="str">
        <f>IF(Input!N42="","",Input!N42)</f>
        <v/>
      </c>
    </row>
    <row r="52" spans="2:12">
      <c r="B52" s="1" t="s">
        <v>16</v>
      </c>
      <c r="C52" s="17" t="str">
        <f>IF(Input!C45="","",Input!C45)</f>
        <v/>
      </c>
      <c r="D52" s="17" t="str">
        <f>IF(Input!D45="","",Input!D45)</f>
        <v>F</v>
      </c>
      <c r="E52" s="17" t="str">
        <f>IF(Input!E45="","",Input!E45)</f>
        <v/>
      </c>
      <c r="F52" s="17" t="str">
        <f>IF(Input!F45="","",Input!F45)</f>
        <v/>
      </c>
      <c r="G52" s="17" t="str">
        <f>IF(Input!G45="","",Input!G45)</f>
        <v/>
      </c>
      <c r="H52" s="17" t="str">
        <f>IF(Input!H45="","",Input!H45)</f>
        <v/>
      </c>
      <c r="I52" s="17" t="str">
        <f>IF(Input!I45="","",Input!I45)</f>
        <v/>
      </c>
      <c r="J52" s="17" t="str">
        <f>IF(Input!J45="","",Input!J45)</f>
        <v/>
      </c>
      <c r="K52" s="17" t="str">
        <f>IF(Input!K45="","",Input!K45)</f>
        <v/>
      </c>
      <c r="L52" s="17" t="str">
        <f>IF(Input!L45="","",Input!L45)</f>
        <v/>
      </c>
    </row>
    <row r="53" spans="2:12">
      <c r="B53" s="1" t="s">
        <v>14</v>
      </c>
      <c r="C53" s="17" t="str">
        <f>IF(Input!C46="","",Input!C46)</f>
        <v/>
      </c>
      <c r="D53" s="17" t="str">
        <f>IF(Input!D46="","",Input!D46)</f>
        <v>PSIG</v>
      </c>
      <c r="E53" s="17" t="str">
        <f>IF(Input!E46="","",Input!E46)</f>
        <v/>
      </c>
      <c r="F53" s="17" t="str">
        <f>IF(Input!F46="","",Input!F46)</f>
        <v/>
      </c>
      <c r="G53" s="17" t="str">
        <f>IF(Input!G46="","",Input!G46)</f>
        <v/>
      </c>
      <c r="H53" s="17" t="str">
        <f>IF(Input!H46="","",Input!H46)</f>
        <v/>
      </c>
      <c r="I53" s="17" t="str">
        <f>IF(Input!I46="","",Input!I46)</f>
        <v/>
      </c>
      <c r="J53" s="17" t="str">
        <f>IF(Input!J46="","",Input!J46)</f>
        <v/>
      </c>
      <c r="K53" s="17" t="str">
        <f>IF(Input!K46="","",Input!K46)</f>
        <v/>
      </c>
      <c r="L53" s="17" t="str">
        <f>IF(Input!L46="","",Input!L46)</f>
        <v/>
      </c>
    </row>
    <row r="54" spans="2:12">
      <c r="B54" s="1" t="s">
        <v>17</v>
      </c>
      <c r="C54" s="17" t="str">
        <f>IF(Input!C47="","",Input!C47)</f>
        <v/>
      </c>
      <c r="D54" s="17" t="str">
        <f>IF(Input!D47="","",Input!D47)</f>
        <v>LB/H</v>
      </c>
      <c r="E54" s="17" t="str">
        <f>IF(Input!E47="","",Input!E47)</f>
        <v/>
      </c>
      <c r="F54" s="17" t="str">
        <f>IF(Input!F47="","",Input!F47)</f>
        <v/>
      </c>
      <c r="G54" s="17" t="str">
        <f>IF(Input!G47="","",Input!G47)</f>
        <v/>
      </c>
      <c r="H54" s="17" t="str">
        <f>IF(Input!H47="","",Input!H47)</f>
        <v/>
      </c>
      <c r="I54" s="17" t="str">
        <f>IF(Input!I47="","",Input!I47)</f>
        <v/>
      </c>
      <c r="J54" s="17" t="str">
        <f>IF(Input!J47="","",Input!J47)</f>
        <v/>
      </c>
      <c r="K54" s="17" t="str">
        <f>IF(Input!K47="","",Input!K47)</f>
        <v/>
      </c>
      <c r="L54" s="17" t="str">
        <f>IF(Input!L47="","",Input!L47)</f>
        <v/>
      </c>
    </row>
    <row r="55" spans="2:12">
      <c r="B55" s="1" t="s">
        <v>27</v>
      </c>
      <c r="C55" s="17" t="e">
        <f>IF(Input!#REF!="","",Input!#REF!)</f>
        <v>#REF!</v>
      </c>
      <c r="D55" s="17" t="e">
        <f>IF(Input!#REF!="","",Input!#REF!)</f>
        <v>#REF!</v>
      </c>
      <c r="E55" s="17" t="e">
        <f>IF(Input!#REF!="","",Input!#REF!)</f>
        <v>#REF!</v>
      </c>
      <c r="F55" s="17" t="e">
        <f>IF(Input!#REF!="","",Input!#REF!)</f>
        <v>#REF!</v>
      </c>
      <c r="G55" s="17" t="e">
        <f>IF(Input!#REF!="","",Input!#REF!)</f>
        <v>#REF!</v>
      </c>
      <c r="H55" s="17" t="e">
        <f>IF(Input!#REF!="","",Input!#REF!)</f>
        <v>#REF!</v>
      </c>
      <c r="I55" s="17" t="e">
        <f>IF(Input!#REF!="","",Input!#REF!)</f>
        <v>#REF!</v>
      </c>
      <c r="J55" s="17" t="e">
        <f>IF(Input!#REF!="","",Input!#REF!)</f>
        <v>#REF!</v>
      </c>
      <c r="K55" s="17" t="e">
        <f>IF(Input!#REF!="","",Input!#REF!)</f>
        <v>#REF!</v>
      </c>
      <c r="L55" s="17" t="e">
        <f>IF(Input!#REF!="","",Input!#REF!)</f>
        <v>#REF!</v>
      </c>
    </row>
    <row r="56" spans="2:12">
      <c r="B56" s="1" t="s">
        <v>13</v>
      </c>
      <c r="C56" s="17" t="str">
        <f>IF(Input!C44="","",Input!C44)</f>
        <v/>
      </c>
      <c r="D56" s="17" t="str">
        <f>IF(Input!D44="","",Input!D44)</f>
        <v/>
      </c>
      <c r="E56" s="17" t="str">
        <f>IF(Input!E44="","",Input!E44)</f>
        <v/>
      </c>
      <c r="F56" s="17" t="str">
        <f>IF(Input!F44="","",Input!F44)</f>
        <v/>
      </c>
      <c r="G56" s="17" t="str">
        <f>IF(Input!G44="","",Input!G44)</f>
        <v/>
      </c>
      <c r="H56" s="17" t="str">
        <f>IF(Input!H44="","",Input!H44)</f>
        <v/>
      </c>
      <c r="I56" s="17" t="str">
        <f>IF(Input!I44="","",Input!I44)</f>
        <v/>
      </c>
      <c r="J56" s="17" t="str">
        <f>IF(Input!J44="","",Input!J44)</f>
        <v/>
      </c>
      <c r="K56" s="17" t="str">
        <f>IF(Input!K44="","",Input!K44)</f>
        <v/>
      </c>
      <c r="L56" s="17" t="str">
        <f>IF(Input!L44="","",Input!L44)</f>
        <v/>
      </c>
    </row>
    <row r="57" spans="2:12">
      <c r="B57" s="1" t="s">
        <v>18</v>
      </c>
      <c r="C57" s="17" t="str">
        <f>IF(Input!C43="","",Input!C43)</f>
        <v/>
      </c>
      <c r="D57" s="17" t="str">
        <f>IF(Input!D43="","",Input!D43)</f>
        <v/>
      </c>
      <c r="E57" s="17" t="str">
        <f>IF(Input!E43="","",Input!E43)</f>
        <v/>
      </c>
      <c r="F57" s="17" t="str">
        <f>IF(Input!F43="","",Input!F43)</f>
        <v/>
      </c>
      <c r="G57" s="17" t="str">
        <f>IF(Input!G43="","",Input!G43)</f>
        <v/>
      </c>
      <c r="H57" s="17" t="str">
        <f>IF(Input!H43="","",Input!H43)</f>
        <v/>
      </c>
      <c r="I57" s="17" t="str">
        <f>IF(Input!I43="","",Input!I43)</f>
        <v/>
      </c>
      <c r="J57" s="17" t="str">
        <f>IF(Input!J43="","",Input!J43)</f>
        <v/>
      </c>
      <c r="K57" s="17" t="str">
        <f>IF(Input!K43="","",Input!K43)</f>
        <v/>
      </c>
      <c r="L57" s="17" t="str">
        <f>IF(Input!L43="","",Input!L43)</f>
        <v/>
      </c>
    </row>
    <row r="58" spans="2:12">
      <c r="B58" s="1" t="s">
        <v>19</v>
      </c>
      <c r="C58" s="17" t="str">
        <f>IF(Input!C48="","",Input!C48)</f>
        <v/>
      </c>
      <c r="D58" s="17" t="str">
        <f>IF(Input!D48="","",Input!D48)</f>
        <v>PCF</v>
      </c>
      <c r="E58" s="17" t="str">
        <f>IF(Input!E48="","",Input!E48)</f>
        <v/>
      </c>
      <c r="F58" s="17" t="str">
        <f>IF(Input!F48="","",Input!F48)</f>
        <v/>
      </c>
      <c r="G58" s="17" t="str">
        <f>IF(Input!G48="","",Input!G48)</f>
        <v/>
      </c>
      <c r="H58" s="17" t="str">
        <f>IF(Input!H48="","",Input!H48)</f>
        <v/>
      </c>
      <c r="I58" s="17" t="str">
        <f>IF(Input!I48="","",Input!I48)</f>
        <v/>
      </c>
      <c r="J58" s="17" t="str">
        <f>IF(Input!J48="","",Input!J48)</f>
        <v/>
      </c>
      <c r="K58" s="17" t="str">
        <f>IF(Input!K48="","",Input!K48)</f>
        <v/>
      </c>
      <c r="L58" s="17" t="str">
        <f>IF(Input!L48="","",Input!L48)</f>
        <v/>
      </c>
    </row>
    <row r="59" spans="2:12">
      <c r="B59" s="1" t="s">
        <v>20</v>
      </c>
      <c r="C59" s="17" t="str">
        <f>IF(Input!C49="","",Input!C49)</f>
        <v/>
      </c>
      <c r="D59" s="17" t="str">
        <f>IF(Input!D49="","",Input!D49)</f>
        <v>LB/H</v>
      </c>
      <c r="E59" s="17" t="str">
        <f>IF(Input!E49="","",Input!E49)</f>
        <v/>
      </c>
      <c r="F59" s="17" t="str">
        <f>IF(Input!F49="","",Input!F49)</f>
        <v/>
      </c>
      <c r="G59" s="17" t="str">
        <f>IF(Input!G49="","",Input!G49)</f>
        <v/>
      </c>
      <c r="H59" s="17" t="str">
        <f>IF(Input!H49="","",Input!H49)</f>
        <v/>
      </c>
      <c r="I59" s="17" t="str">
        <f>IF(Input!I49="","",Input!I49)</f>
        <v/>
      </c>
      <c r="J59" s="17" t="str">
        <f>IF(Input!J49="","",Input!J49)</f>
        <v/>
      </c>
      <c r="K59" s="17" t="str">
        <f>IF(Input!K49="","",Input!K49)</f>
        <v/>
      </c>
      <c r="L59" s="17" t="str">
        <f>IF(Input!L49="","",Input!L49)</f>
        <v/>
      </c>
    </row>
    <row r="60" spans="2:12">
      <c r="B60" s="1" t="s">
        <v>21</v>
      </c>
      <c r="C60" s="17" t="str">
        <f>IF(Input!C50="","",Input!C50)</f>
        <v/>
      </c>
      <c r="D60" s="17" t="str">
        <f>IF(Input!D50="","",Input!D50)</f>
        <v>CFH</v>
      </c>
      <c r="E60" s="17" t="str">
        <f>IF(Input!E50="","",Input!E50)</f>
        <v/>
      </c>
      <c r="F60" s="17" t="str">
        <f>IF(Input!F50="","",Input!F50)</f>
        <v/>
      </c>
      <c r="G60" s="17" t="str">
        <f>IF(Input!G50="","",Input!G50)</f>
        <v/>
      </c>
      <c r="H60" s="17" t="str">
        <f>IF(Input!H50="","",Input!H50)</f>
        <v/>
      </c>
      <c r="I60" s="17" t="str">
        <f>IF(Input!I50="","",Input!I50)</f>
        <v/>
      </c>
      <c r="J60" s="17" t="str">
        <f>IF(Input!J50="","",Input!J50)</f>
        <v/>
      </c>
      <c r="K60" s="17" t="str">
        <f>IF(Input!K50="","",Input!K50)</f>
        <v/>
      </c>
      <c r="L60" s="17" t="str">
        <f>IF(Input!L50="","",Input!L50)</f>
        <v/>
      </c>
    </row>
    <row r="61" spans="2:12">
      <c r="B61" s="1" t="s">
        <v>22</v>
      </c>
      <c r="C61" s="17" t="e">
        <f>IF(Input!#REF!="","",Input!#REF!)</f>
        <v>#REF!</v>
      </c>
      <c r="D61" s="17" t="e">
        <f>IF(Input!#REF!="","",Input!#REF!)</f>
        <v>#REF!</v>
      </c>
      <c r="E61" s="17" t="e">
        <f>IF(Input!#REF!="","",Input!#REF!)</f>
        <v>#REF!</v>
      </c>
      <c r="F61" s="17" t="e">
        <f>IF(Input!#REF!="","",Input!#REF!)</f>
        <v>#REF!</v>
      </c>
      <c r="G61" s="17" t="e">
        <f>IF(Input!#REF!="","",Input!#REF!)</f>
        <v>#REF!</v>
      </c>
      <c r="H61" s="17" t="e">
        <f>IF(Input!#REF!="","",Input!#REF!)</f>
        <v>#REF!</v>
      </c>
      <c r="I61" s="17" t="e">
        <f>IF(Input!#REF!="","",Input!#REF!)</f>
        <v>#REF!</v>
      </c>
      <c r="J61" s="17" t="e">
        <f>IF(Input!#REF!="","",Input!#REF!)</f>
        <v>#REF!</v>
      </c>
      <c r="K61" s="17" t="e">
        <f>IF(Input!#REF!="","",Input!#REF!)</f>
        <v>#REF!</v>
      </c>
      <c r="L61" s="17" t="e">
        <f>IF(Input!#REF!="","",Input!#REF!)</f>
        <v>#REF!</v>
      </c>
    </row>
    <row r="62" spans="2:12">
      <c r="B62" s="1" t="s">
        <v>8</v>
      </c>
      <c r="C62" s="17" t="e">
        <f>IF(Input!#REF!="","",Input!#REF!)</f>
        <v>#REF!</v>
      </c>
      <c r="D62" s="17" t="e">
        <f>IF(Input!#REF!="","",Input!#REF!)</f>
        <v>#REF!</v>
      </c>
      <c r="E62" s="17" t="e">
        <f>IF(Input!#REF!="","",Input!#REF!)</f>
        <v>#REF!</v>
      </c>
      <c r="F62" s="17" t="e">
        <f>IF(Input!#REF!="","",Input!#REF!)</f>
        <v>#REF!</v>
      </c>
      <c r="G62" s="17" t="e">
        <f>IF(Input!#REF!="","",Input!#REF!)</f>
        <v>#REF!</v>
      </c>
      <c r="H62" s="17" t="e">
        <f>IF(Input!#REF!="","",Input!#REF!)</f>
        <v>#REF!</v>
      </c>
      <c r="I62" s="17" t="e">
        <f>IF(Input!#REF!="","",Input!#REF!)</f>
        <v>#REF!</v>
      </c>
      <c r="J62" s="17" t="e">
        <f>IF(Input!#REF!="","",Input!#REF!)</f>
        <v>#REF!</v>
      </c>
      <c r="K62" s="17" t="e">
        <f>IF(Input!#REF!="","",Input!#REF!)</f>
        <v>#REF!</v>
      </c>
      <c r="L62" s="17" t="e">
        <f>IF(Input!#REF!="","",Input!#REF!)</f>
        <v>#REF!</v>
      </c>
    </row>
    <row r="63" spans="2:12">
      <c r="B63" s="1" t="s">
        <v>9</v>
      </c>
      <c r="C63" s="17" t="str">
        <f>IF(Input!C51="","",Input!C51)</f>
        <v/>
      </c>
      <c r="D63" s="17" t="str">
        <f>IF(Input!D51="","",Input!D51)</f>
        <v>PCF</v>
      </c>
      <c r="E63" s="17" t="str">
        <f>IF(Input!E51="","",Input!E51)</f>
        <v/>
      </c>
      <c r="F63" s="17" t="str">
        <f>IF(Input!F51="","",Input!F51)</f>
        <v/>
      </c>
      <c r="G63" s="17" t="str">
        <f>IF(Input!G51="","",Input!G51)</f>
        <v/>
      </c>
      <c r="H63" s="17" t="str">
        <f>IF(Input!H51="","",Input!H51)</f>
        <v/>
      </c>
      <c r="I63" s="17" t="str">
        <f>IF(Input!I51="","",Input!I51)</f>
        <v/>
      </c>
      <c r="J63" s="17" t="str">
        <f>IF(Input!J51="","",Input!J51)</f>
        <v/>
      </c>
      <c r="K63" s="17" t="str">
        <f>IF(Input!K51="","",Input!K51)</f>
        <v/>
      </c>
      <c r="L63" s="17" t="str">
        <f>IF(Input!L51="","",Input!L51)</f>
        <v/>
      </c>
    </row>
    <row r="64" spans="2:12">
      <c r="B64" s="1" t="s">
        <v>10</v>
      </c>
      <c r="C64" s="17" t="str">
        <f>IF(Input!C52="","",Input!C52)</f>
        <v/>
      </c>
      <c r="D64" s="17" t="str">
        <f>IF(Input!D52="","",Input!D52)</f>
        <v>LB/H</v>
      </c>
      <c r="E64" s="17" t="str">
        <f>IF(Input!E52="","",Input!E52)</f>
        <v/>
      </c>
      <c r="F64" s="17" t="str">
        <f>IF(Input!F52="","",Input!F52)</f>
        <v/>
      </c>
      <c r="G64" s="17" t="str">
        <f>IF(Input!G52="","",Input!G52)</f>
        <v/>
      </c>
      <c r="H64" s="17" t="str">
        <f>IF(Input!H52="","",Input!H52)</f>
        <v/>
      </c>
      <c r="I64" s="17" t="str">
        <f>IF(Input!I52="","",Input!I52)</f>
        <v/>
      </c>
      <c r="J64" s="17" t="str">
        <f>IF(Input!J52="","",Input!J52)</f>
        <v/>
      </c>
      <c r="K64" s="17" t="str">
        <f>IF(Input!K52="","",Input!K52)</f>
        <v/>
      </c>
      <c r="L64" s="17" t="str">
        <f>IF(Input!L52="","",Input!L52)</f>
        <v/>
      </c>
    </row>
    <row r="65" spans="2:12">
      <c r="B65" s="1" t="s">
        <v>11</v>
      </c>
      <c r="C65" s="17" t="str">
        <f>IF(Input!C53="","",Input!C53)</f>
        <v/>
      </c>
      <c r="D65" s="17" t="str">
        <f>IF(Input!D53="","",Input!D53)</f>
        <v>CFM</v>
      </c>
      <c r="E65" s="17" t="str">
        <f>IF(Input!E53="","",Input!E53)</f>
        <v/>
      </c>
      <c r="F65" s="17" t="str">
        <f>IF(Input!F53="","",Input!F53)</f>
        <v/>
      </c>
      <c r="G65" s="17" t="str">
        <f>IF(Input!G53="","",Input!G53)</f>
        <v/>
      </c>
      <c r="H65" s="17" t="str">
        <f>IF(Input!H53="","",Input!H53)</f>
        <v/>
      </c>
      <c r="I65" s="17" t="str">
        <f>IF(Input!I53="","",Input!I53)</f>
        <v/>
      </c>
      <c r="J65" s="17" t="str">
        <f>IF(Input!J53="","",Input!J53)</f>
        <v/>
      </c>
      <c r="K65" s="17" t="str">
        <f>IF(Input!K53="","",Input!K53)</f>
        <v/>
      </c>
      <c r="L65" s="17" t="str">
        <f>IF(Input!L53="","",Input!L53)</f>
        <v/>
      </c>
    </row>
    <row r="66" spans="2:12">
      <c r="B66" s="1" t="s">
        <v>12</v>
      </c>
      <c r="C66" s="17" t="e">
        <f>IF(Input!#REF!="","",Input!#REF!)</f>
        <v>#REF!</v>
      </c>
      <c r="D66" s="17" t="e">
        <f>IF(Input!#REF!="","",Input!#REF!)</f>
        <v>#REF!</v>
      </c>
      <c r="E66" s="17" t="e">
        <f>IF(Input!#REF!="","",Input!#REF!)</f>
        <v>#REF!</v>
      </c>
      <c r="F66" s="17" t="e">
        <f>IF(Input!#REF!="","",Input!#REF!)</f>
        <v>#REF!</v>
      </c>
      <c r="G66" s="17" t="e">
        <f>IF(Input!#REF!="","",Input!#REF!)</f>
        <v>#REF!</v>
      </c>
      <c r="H66" s="17" t="e">
        <f>IF(Input!#REF!="","",Input!#REF!)</f>
        <v>#REF!</v>
      </c>
      <c r="I66" s="17" t="e">
        <f>IF(Input!#REF!="","",Input!#REF!)</f>
        <v>#REF!</v>
      </c>
      <c r="J66" s="17" t="e">
        <f>IF(Input!#REF!="","",Input!#REF!)</f>
        <v>#REF!</v>
      </c>
      <c r="K66" s="17" t="e">
        <f>IF(Input!#REF!="","",Input!#REF!)</f>
        <v>#REF!</v>
      </c>
      <c r="L66" s="17" t="e">
        <f>IF(Input!#REF!="","",Input!#REF!)</f>
        <v>#REF!</v>
      </c>
    </row>
    <row r="67" spans="2:12" ht="13.5" thickBot="1">
      <c r="B67" s="7" t="s">
        <v>15</v>
      </c>
      <c r="C67" s="18" t="e">
        <f>IF(Input!#REF!="","",Input!#REF!)</f>
        <v>#REF!</v>
      </c>
      <c r="D67" s="18" t="e">
        <f>IF(Input!#REF!="","",Input!#REF!)</f>
        <v>#REF!</v>
      </c>
      <c r="E67" s="18" t="e">
        <f>IF(Input!#REF!="","",Input!#REF!)</f>
        <v>#REF!</v>
      </c>
      <c r="F67" s="18" t="e">
        <f>IF(Input!#REF!="","",Input!#REF!)</f>
        <v>#REF!</v>
      </c>
      <c r="G67" s="18" t="e">
        <f>IF(Input!#REF!="","",Input!#REF!)</f>
        <v>#REF!</v>
      </c>
      <c r="H67" s="18" t="e">
        <f>IF(Input!#REF!="","",Input!#REF!)</f>
        <v>#REF!</v>
      </c>
      <c r="I67" s="18" t="e">
        <f>IF(Input!#REF!="","",Input!#REF!)</f>
        <v>#REF!</v>
      </c>
      <c r="J67" s="18" t="e">
        <f>IF(Input!#REF!="","",Input!#REF!)</f>
        <v>#REF!</v>
      </c>
      <c r="K67" s="18" t="e">
        <f>IF(Input!#REF!="","",Input!#REF!)</f>
        <v>#REF!</v>
      </c>
      <c r="L67" s="18" t="e">
        <f>IF(Input!#REF!="","",Input!#REF!)</f>
        <v>#REF!</v>
      </c>
    </row>
  </sheetData>
  <mergeCells count="2">
    <mergeCell ref="B2:D2"/>
    <mergeCell ref="B3:D3"/>
  </mergeCells>
  <phoneticPr fontId="0" type="noConversion"/>
  <pageMargins left="0.75" right="0.75" top="1" bottom="1" header="0.5" footer="0.5"/>
  <pageSetup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vt:lpstr>
      <vt:lpstr>Diagram</vt:lpstr>
      <vt:lpstr>Custom Rules</vt:lpstr>
      <vt:lpstr>Output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khannar</dc:creator>
  <cp:lastModifiedBy>mazzorae</cp:lastModifiedBy>
  <dcterms:created xsi:type="dcterms:W3CDTF">2001-11-27T16:36:30Z</dcterms:created>
  <dcterms:modified xsi:type="dcterms:W3CDTF">2011-08-09T13:28:55Z</dcterms:modified>
</cp:coreProperties>
</file>